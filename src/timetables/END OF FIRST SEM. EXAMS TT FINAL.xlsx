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wmf" ContentType="image/x-wmf"/>
  <Default Extension="emf" ContentType="image/x-emf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Exams Office_kmd\Examinations\Time Table\Exams\FS\2025_26_Exams TT\FS\End of Sem\"/>
    </mc:Choice>
  </mc:AlternateContent>
  <xr:revisionPtr revIDLastSave="0" documentId="8_{184F1535-5F6F-44C3-9E87-E95B497976FD}" xr6:coauthVersionLast="47" xr6:coauthVersionMax="47" xr10:uidLastSave="{00000000-0000-0000-0000-000000000000}"/>
  <bookViews>
    <workbookView activeTab="0" tabRatio="679" windowHeight="15720" windowWidth="29040" xWindow="28680" xr2:uid="{00000000-000D-0000-FFFF-FFFF00000000}" yWindow="-165"/>
  </bookViews>
  <sheets>
    <sheet name="TT" sheetId="75" r:id="rId1"/>
    <sheet name="Lecturers" sheetId="104" r:id="rId2"/>
    <sheet name="TALLY" sheetId="97" r:id="rId3"/>
    <sheet name="WATER" sheetId="95" r:id="rId4"/>
    <sheet name="ROOMS" sheetId="98" r:id="rId5"/>
    <sheet name="cenG_PROJECT (2nd Sem)" sheetId="99" r:id="rId6"/>
    <sheet name="Invigilation + Meals(2nd Sem)" sheetId="102" r:id="rId7"/>
    <sheet name="supp" sheetId="103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0" hidden="1">TT!$L$442:$L$442</definedName>
    <definedName name="CLASS" localSheetId="5">#REF!</definedName>
    <definedName name="CLASS" localSheetId="6">#REF!</definedName>
    <definedName name="CLASS" localSheetId="4">#REF!</definedName>
    <definedName name="CLASS" localSheetId="7">#REF!</definedName>
    <definedName name="CLASS">#REF!</definedName>
    <definedName name="CODE" localSheetId="5">#REF!</definedName>
    <definedName name="CODE" localSheetId="6">#REF!</definedName>
    <definedName name="CODE" localSheetId="1">#REF!</definedName>
    <definedName name="CODE" localSheetId="4">#REF!</definedName>
    <definedName name="CODE" localSheetId="7">#REF!</definedName>
    <definedName name="CODE" localSheetId="2">#REF!</definedName>
    <definedName name="CODE" localSheetId="3">#REF!</definedName>
    <definedName name="CODE">#REF!</definedName>
    <definedName name="COURSE_NAME" localSheetId="5">#REF!</definedName>
    <definedName name="COURSE_NAME" localSheetId="6">#REF!</definedName>
    <definedName name="COURSE_NAME" localSheetId="1">#REF!</definedName>
    <definedName name="COURSE_NAME" localSheetId="4">#REF!</definedName>
    <definedName name="COURSE_NAME" localSheetId="7">#REF!</definedName>
    <definedName name="COURSE_NAME" localSheetId="2">#REF!</definedName>
    <definedName name="COURSE_NAME" localSheetId="3">#REF!</definedName>
    <definedName name="COURSE_NAME">#REF!</definedName>
    <definedName name="EA">#REF!</definedName>
    <definedName name="EXAMINER" localSheetId="5">#REF!</definedName>
    <definedName name="EXAMINER" localSheetId="6">#REF!</definedName>
    <definedName name="EXAMINER" localSheetId="1">#REF!</definedName>
    <definedName name="EXAMINER" localSheetId="4">#REF!</definedName>
    <definedName name="EXAMINER" localSheetId="7">#REF!</definedName>
    <definedName name="EXAMINER" localSheetId="2">#REF!</definedName>
    <definedName name="EXAMINER" localSheetId="3">#REF!</definedName>
    <definedName name="EXAMINER">#REF!</definedName>
    <definedName name="hy" localSheetId="6">#REF!</definedName>
    <definedName name="hy">#REF!</definedName>
    <definedName name="po" localSheetId="6">#REF!</definedName>
    <definedName name="po">#REF!</definedName>
    <definedName name="_xlnm.Print_Area" localSheetId="5">'cenG_PROJECT (2nd Sem)'!$A$1:$I$254</definedName>
    <definedName name="_xlnm.Print_Area" localSheetId="6">'Invigilation + Meals(2nd Sem)'!$A$1:$M$602</definedName>
    <definedName name="_xlnm.Print_Area" localSheetId="4">ROOMS!$A$1:$F$33</definedName>
    <definedName name="_xlnm.Print_Area" localSheetId="7">supp!$A$1:$K$18</definedName>
    <definedName name="_xlnm.Print_Area" localSheetId="0">TT!$A$3:$H$791</definedName>
    <definedName name="_xlnm.Print_Area" localSheetId="3">WATER!$A$1:$BD$47</definedName>
    <definedName name="room_no" localSheetId="6">#REF!</definedName>
    <definedName name="room_no" localSheetId="1">#REF!</definedName>
    <definedName name="room_no">#REF!</definedName>
    <definedName name="ROOM_NO." localSheetId="5">#REF!</definedName>
    <definedName name="ROOM_NO." localSheetId="6">#REF!</definedName>
    <definedName name="ROOM_NO." localSheetId="4">#REF!</definedName>
    <definedName name="ROOM_NO." localSheetId="7">#REF!</definedName>
    <definedName name="ROOM_NO." localSheetId="2">#REF!</definedName>
    <definedName name="ROOM_NO." localSheetId="3">#REF!</definedName>
    <definedName name="ROOM_NO.">#REF!</definedName>
    <definedName name="STDS" localSheetId="5">#REF!</definedName>
    <definedName name="STDS" localSheetId="6">#REF!</definedName>
    <definedName name="STDS" localSheetId="1">#REF!</definedName>
    <definedName name="STDS" localSheetId="4">#REF!</definedName>
    <definedName name="STDS" localSheetId="7">#REF!</definedName>
    <definedName name="STDS" localSheetId="2">#REF!</definedName>
    <definedName name="STDS" localSheetId="3">#REF!</definedName>
    <definedName name="STDS">#REF!</definedName>
    <definedName name="TO_PRT" localSheetId="5">#REF!</definedName>
    <definedName name="TO_PRT" localSheetId="6">#REF!</definedName>
    <definedName name="TO_PRT" localSheetId="1">#REF!</definedName>
    <definedName name="TO_PRT" localSheetId="4">#REF!</definedName>
    <definedName name="TO_PRT" localSheetId="7">#REF!</definedName>
    <definedName name="TO_PRT" localSheetId="2">#REF!</definedName>
    <definedName name="TO_PRT" localSheetId="3">#REF!</definedName>
    <definedName name="TO_PRT">#REF!</definedName>
    <definedName name="Total_F1">'[1]TT (Working)'!$D$668:$D$683</definedName>
    <definedName name="Total_F1_1" localSheetId="5">[2]TT!$D$206:$D$219</definedName>
    <definedName name="Total_F1_1" localSheetId="6">[2]TT!$D$206:$D$219</definedName>
    <definedName name="Total_F1_1" localSheetId="1">'[3]TT (MAIN)'!$D$183:$D$215</definedName>
    <definedName name="Total_F1_1" localSheetId="4">[2]TT!$D$206:$D$219</definedName>
    <definedName name="Total_F1_1" localSheetId="7">[2]TT!$D$206:$D$219</definedName>
    <definedName name="Total_F1_1" localSheetId="2">'[3]TT (MAIN)'!$D$179:$D$212</definedName>
    <definedName name="Total_F1_1" localSheetId="3">[4]TT!$D$205:$D$218</definedName>
    <definedName name="Total_F1_1">TT!$D$179:$D$277</definedName>
    <definedName name="Total_F1_2" localSheetId="5">[2]TT!$D$225:$D$227</definedName>
    <definedName name="Total_F1_2" localSheetId="6">[2]TT!$D$225:$D$227</definedName>
    <definedName name="Total_F1_2" localSheetId="1">[2]TT!$D$225:$D$227</definedName>
    <definedName name="Total_F1_2" localSheetId="4">[2]TT!$D$225:$D$227</definedName>
    <definedName name="Total_F1_2" localSheetId="7">[2]TT!$D$225:$D$227</definedName>
    <definedName name="Total_F1_2">[4]TT!$D$224:$D$238</definedName>
    <definedName name="Total_F1_3" localSheetId="5">[2]TT!$D$245:$D$261</definedName>
    <definedName name="Total_F1_3" localSheetId="6">[2]TT!$D$245:$D$261</definedName>
    <definedName name="Total_F1_3" localSheetId="1">[2]TT!$D$245:$D$261</definedName>
    <definedName name="Total_F1_3" localSheetId="4">[2]TT!$D$245:$D$261</definedName>
    <definedName name="Total_F1_3" localSheetId="7">[2]TT!$D$245:$D$261</definedName>
    <definedName name="Total_F1_3" localSheetId="2">'[3]TT (MAIN)'!$D$218:$D$449</definedName>
    <definedName name="Total_F1_3" localSheetId="3">[4]TT!$D$244:$D$260</definedName>
    <definedName name="Total_F1_3">TT!$D$161:$D$425</definedName>
    <definedName name="Total_F2">'[1]TT (Working)'!$D$690:$D$712</definedName>
    <definedName name="Total_F2_1" localSheetId="5">[2]TT!$D$503:$D$520</definedName>
    <definedName name="Total_F2_1" localSheetId="6">[2]TT!$D$503:$D$520</definedName>
    <definedName name="Total_F2_1" localSheetId="1">'[3]TT (MAIN)'!$D$459:$D$472</definedName>
    <definedName name="Total_F2_1" localSheetId="4">[2]TT!$D$503:$D$520</definedName>
    <definedName name="Total_F2_1" localSheetId="7">[2]TT!$D$503:$D$520</definedName>
    <definedName name="Total_F2_1" localSheetId="2">'[3]TT (MAIN)'!$D$458:$D$471</definedName>
    <definedName name="Total_F2_1" localSheetId="3">[4]TT!$D$502:$D$519</definedName>
    <definedName name="Total_F2_1">TT!#REF!</definedName>
    <definedName name="Total_F2_2" localSheetId="5">[2]TT!$D$526:$D$536</definedName>
    <definedName name="Total_F2_2" localSheetId="6">[2]TT!$D$526:$D$536</definedName>
    <definedName name="Total_F2_2" localSheetId="1">'[3]TT (MAIN)'!$D$486:$D$500</definedName>
    <definedName name="Total_F2_2" localSheetId="4">[2]TT!$D$526:$D$536</definedName>
    <definedName name="Total_F2_2" localSheetId="7">[2]TT!$D$526:$D$536</definedName>
    <definedName name="Total_F2_2" localSheetId="2">'[3]TT (MAIN)'!$D$477:$D$492</definedName>
    <definedName name="Total_F2_2" localSheetId="3">[4]TT!$D$525:$D$535</definedName>
    <definedName name="Total_F2_2">TT!#REF!</definedName>
    <definedName name="Total_F2_3" localSheetId="5">[2]TT!$D$542:$D$559</definedName>
    <definedName name="Total_F2_3" localSheetId="6">[2]TT!$D$542:$D$559</definedName>
    <definedName name="Total_F2_3" localSheetId="1">[2]TT!$D$542:$D$559</definedName>
    <definedName name="Total_F2_3" localSheetId="4">[2]TT!$D$542:$D$559</definedName>
    <definedName name="Total_F2_3" localSheetId="7">[2]TT!$D$542:$D$559</definedName>
    <definedName name="Total_F2_3" localSheetId="2">'[3]TT (MAIN)'!$D$498:$D$502</definedName>
    <definedName name="Total_F2_3" localSheetId="3">[4]TT!$D$541:$D$558</definedName>
    <definedName name="Total_F2_3">TT!#REF!</definedName>
    <definedName name="Total_F3">'[1]TT (Working)'!$D$718:$D$731</definedName>
    <definedName name="Total_F3_1" localSheetId="5">[2]TT!$D$801:$D$817</definedName>
    <definedName name="Total_F3_1" localSheetId="6">[2]TT!$D$801:$D$817</definedName>
    <definedName name="Total_F3_1" localSheetId="1">'[3]TT (MAIN)'!$D$759:$D$771</definedName>
    <definedName name="Total_F3_1" localSheetId="4">[2]TT!$D$801:$D$817</definedName>
    <definedName name="Total_F3_1" localSheetId="7">[2]TT!$D$801:$D$817</definedName>
    <definedName name="Total_F3_1" localSheetId="2">'[3]TT (MAIN)'!$D$765:$D$779</definedName>
    <definedName name="Total_F3_1" localSheetId="3">[4]TT!$D$800:$D$816</definedName>
    <definedName name="Total_F3_1">TT!$D$743:$D$789</definedName>
    <definedName name="Total_F3_2" localSheetId="5">[2]TT!$D$823:$D$836</definedName>
    <definedName name="Total_F3_2" localSheetId="6">[2]TT!$D$823:$D$836</definedName>
    <definedName name="Total_F3_2" localSheetId="1">[2]TT!$D$823:$D$836</definedName>
    <definedName name="Total_F3_2" localSheetId="4">[2]TT!$D$823:$D$836</definedName>
    <definedName name="Total_F3_2" localSheetId="7">[2]TT!$D$823:$D$836</definedName>
    <definedName name="Total_F3_2">[4]TT!$D$822:$D$835</definedName>
    <definedName name="Total_F3_3" localSheetId="5">[2]TT!$D$842:$D$858</definedName>
    <definedName name="Total_F3_3" localSheetId="6">[2]TT!$D$842:$D$858</definedName>
    <definedName name="Total_F3_3" localSheetId="1">[2]TT!$D$842:$D$858</definedName>
    <definedName name="Total_F3_3" localSheetId="4">[2]TT!$D$842:$D$858</definedName>
    <definedName name="Total_F3_3" localSheetId="7">[2]TT!$D$842:$D$858</definedName>
    <definedName name="Total_F3_3">[4]TT!$D$841:$D$857</definedName>
    <definedName name="Total_F4">'[1]TT (Working)'!$D$737:$D$746</definedName>
    <definedName name="Total_F5">'[1]TT (Working)'!$D$753:$D$766</definedName>
    <definedName name="Total_F6">'[1]TT (Working)'!$D$773:$D$787</definedName>
    <definedName name="Total_F7">'[1]TT (Working)'!$D$793:$D$802</definedName>
    <definedName name="Total_H1">'[1]TT (Working)'!$D$510:$D$528</definedName>
    <definedName name="Total_H1_1" localSheetId="5">[2]TT!$D$147:$D$161</definedName>
    <definedName name="Total_H1_1" localSheetId="6">[2]TT!$D$147:$D$161</definedName>
    <definedName name="Total_H1_1" localSheetId="1">[2]TT!$D$147:$D$161</definedName>
    <definedName name="Total_H1_1" localSheetId="4">[2]TT!$D$147:$D$161</definedName>
    <definedName name="Total_H1_1" localSheetId="7">[2]TT!$D$147:$D$161</definedName>
    <definedName name="Total_H1_1">[4]TT!$D$147:$D$161</definedName>
    <definedName name="Total_H1_2" localSheetId="5">[2]TT!$D$167:$D$178</definedName>
    <definedName name="Total_H1_2" localSheetId="6">[2]TT!$D$167:$D$178</definedName>
    <definedName name="Total_H1_2" localSheetId="1">[2]TT!$D$167:$D$178</definedName>
    <definedName name="Total_H1_2" localSheetId="4">[2]TT!$D$167:$D$178</definedName>
    <definedName name="Total_H1_2" localSheetId="7">[2]TT!$D$167:$D$178</definedName>
    <definedName name="Total_H1_2">[4]TT!$D$167:$D$177</definedName>
    <definedName name="Total_H1_3" localSheetId="5">[2]TT!$D$184:$D$239</definedName>
    <definedName name="Total_H1_3" localSheetId="6">[2]TT!$D$184:$D$239</definedName>
    <definedName name="Total_H1_3" localSheetId="1">[2]TT!$D$184:$D$239</definedName>
    <definedName name="Total_H1_3" localSheetId="4">[2]TT!$D$184:$D$239</definedName>
    <definedName name="Total_H1_3" localSheetId="7">[2]TT!$D$184:$D$239</definedName>
    <definedName name="Total_H1_3">[4]TT!$D$183:$D$199</definedName>
    <definedName name="Total_H2">'[1]TT (Working)'!$D$540:$D$552</definedName>
    <definedName name="Total_H2_1" localSheetId="5">[2]TT!$D$450:$D$709</definedName>
    <definedName name="Total_H2_1" localSheetId="6">[2]TT!$D$450:$D$709</definedName>
    <definedName name="Total_H2_1" localSheetId="1">'[3]TT (MAIN)'!$D$402:$D$413</definedName>
    <definedName name="Total_H2_1" localSheetId="4">[2]TT!$D$450:$D$709</definedName>
    <definedName name="Total_H2_1" localSheetId="7">[2]TT!$D$450:$D$709</definedName>
    <definedName name="Total_H2_1" localSheetId="2">'[3]TT (MAIN)'!$D$400:$D$411</definedName>
    <definedName name="Total_H2_1" localSheetId="3">[4]TT!$D$449:$D$463</definedName>
    <definedName name="Total_H2_1">TT!$D$389:$D$782</definedName>
    <definedName name="Total_H2_2" localSheetId="5">[2]TT!$D$470:$D$692</definedName>
    <definedName name="Total_H2_2" localSheetId="6">[2]TT!$D$470:$D$692</definedName>
    <definedName name="Total_H2_2" localSheetId="1">'[3]TT (MAIN)'!$D$419:$D$435</definedName>
    <definedName name="Total_H2_2" localSheetId="4">[2]TT!$D$470:$D$692</definedName>
    <definedName name="Total_H2_2" localSheetId="7">[2]TT!$D$470:$D$692</definedName>
    <definedName name="Total_H2_2" localSheetId="2">'[3]TT (MAIN)'!$D$417:$D$433</definedName>
    <definedName name="Total_H2_2" localSheetId="3">[4]TT!$D$469:$D$479</definedName>
    <definedName name="Total_H2_2">TT!$D$411:$D$532</definedName>
    <definedName name="Total_H2_3" localSheetId="5">[2]TT!$D$486:$D$696</definedName>
    <definedName name="Total_H2_3" localSheetId="6">[2]TT!$D$486:$D$696</definedName>
    <definedName name="Total_H2_3" localSheetId="1">'[3]TT (MAIN)'!$D$441:$D$453</definedName>
    <definedName name="Total_H2_3" localSheetId="4">[2]TT!$D$486:$D$696</definedName>
    <definedName name="Total_H2_3" localSheetId="7">[2]TT!$D$486:$D$696</definedName>
    <definedName name="Total_H2_3" localSheetId="2">'[3]TT (MAIN)'!$D$439:$D$452</definedName>
    <definedName name="Total_H2_3" localSheetId="3">[4]TT!$D$485:$D$496</definedName>
    <definedName name="Total_H2_3">TT!$D$426:$D$593</definedName>
    <definedName name="Total_H3">'[1]TT (Working)'!$D$564:$D$577</definedName>
    <definedName name="Total_H3_1" localSheetId="5">[2]TT!$D$744:$D$760</definedName>
    <definedName name="Total_H3_1" localSheetId="6">[2]TT!$D$744:$D$760</definedName>
    <definedName name="Total_H3_1" localSheetId="1">'[3]TT (MAIN)'!$D$692:$D$712</definedName>
    <definedName name="Total_H3_1" localSheetId="4">[2]TT!$D$744:$D$760</definedName>
    <definedName name="Total_H3_1" localSheetId="7">[2]TT!$D$744:$D$760</definedName>
    <definedName name="Total_H3_1" localSheetId="2">'[3]TT (MAIN)'!$D$697:$D$715</definedName>
    <definedName name="Total_H3_1" localSheetId="3">[4]TT!$D$743:$D$759</definedName>
    <definedName name="Total_H3_1">TT!$D$691:$D$734</definedName>
    <definedName name="Total_H3_2" localSheetId="5">[2]TT!$D$766:$D$775</definedName>
    <definedName name="Total_H3_2" localSheetId="6">[2]TT!$D$766:$D$775</definedName>
    <definedName name="Total_H3_2" localSheetId="1">'[3]TT (MAIN)'!$D$718:$D$728</definedName>
    <definedName name="Total_H3_2" localSheetId="4">[2]TT!$D$766:$D$775</definedName>
    <definedName name="Total_H3_2" localSheetId="7">[2]TT!$D$766:$D$775</definedName>
    <definedName name="Total_H3_2" localSheetId="2">'[3]TT (MAIN)'!$D$721:$D$733</definedName>
    <definedName name="Total_H3_2" localSheetId="3">[4]TT!$D$765:$D$774</definedName>
    <definedName name="Total_H3_2">TT!$D$708:$D$721</definedName>
    <definedName name="Total_H3_3" localSheetId="5">[2]TT!$D$781:$D$795</definedName>
    <definedName name="Total_H3_3" localSheetId="6">[2]TT!$D$781:$D$795</definedName>
    <definedName name="Total_H3_3" localSheetId="1">'[3]TT (MAIN)'!$D$734:$D$753</definedName>
    <definedName name="Total_H3_3" localSheetId="4">[2]TT!$D$781:$D$795</definedName>
    <definedName name="Total_H3_3" localSheetId="7">[2]TT!$D$781:$D$795</definedName>
    <definedName name="Total_H3_3" localSheetId="2">'[3]TT (MAIN)'!$D$739:$D$759</definedName>
    <definedName name="Total_H3_3" localSheetId="3">[4]TT!$D$780:$D$794</definedName>
    <definedName name="Total_H3_3">TT!$D$727:$D$737</definedName>
    <definedName name="Total_H4">'[1]TT (Working)'!$D$585:$D$607</definedName>
    <definedName name="Total_H5">'[1]TT (Working)'!$D$614:$D$677</definedName>
    <definedName name="Total_H6">'[1]TT (Working)'!$D$631:$D$646</definedName>
    <definedName name="Total_H7">'[1]TT (Working)'!$D$653:$D$662</definedName>
    <definedName name="Total_M1">'[1]TT (Working)'!$D$3:$D$471</definedName>
    <definedName name="Total_M1_1" localSheetId="5">[2]TT!$D$3:$D$13</definedName>
    <definedName name="Total_M1_1" localSheetId="6">[2]TT!$D$3:$D$13</definedName>
    <definedName name="Total_M1_1" localSheetId="1">'[3]TT (MAIN)'!$D$3:$D$15</definedName>
    <definedName name="Total_M1_1" localSheetId="4">[2]TT!$D$3:$D$13</definedName>
    <definedName name="Total_M1_1" localSheetId="7">[2]TT!$D$3:$D$13</definedName>
    <definedName name="Total_M1_1" localSheetId="2">'[3]TT (MAIN)'!$D$3:$D$15</definedName>
    <definedName name="Total_M1_1" localSheetId="3">[4]TT!$D$3:$D$13</definedName>
    <definedName name="Total_M1_1">TT!$D$443:$D$457</definedName>
    <definedName name="Total_M1_2" localSheetId="5">[2]TT!$D$19:$D$29</definedName>
    <definedName name="Total_M1_2" localSheetId="6">[2]TT!$D$19:$D$29</definedName>
    <definedName name="Total_M1_2" localSheetId="1">'[3]TT (MAIN)'!$D$21:$D$33</definedName>
    <definedName name="Total_M1_2" localSheetId="4">[2]TT!$D$19:$D$29</definedName>
    <definedName name="Total_M1_2" localSheetId="7">[2]TT!$D$19:$D$29</definedName>
    <definedName name="Total_M1_2" localSheetId="2">'[3]TT (MAIN)'!$D$21:$D$33</definedName>
    <definedName name="Total_M1_2" localSheetId="3">[4]TT!$D$19:$D$29</definedName>
    <definedName name="Total_M1_2">TT!$D$463:$D$685</definedName>
    <definedName name="Total_M1_3" localSheetId="5">[2]TT!$D$35:$D$45</definedName>
    <definedName name="Total_M1_3" localSheetId="6">[2]TT!$D$35:$D$45</definedName>
    <definedName name="Total_M1_3" localSheetId="1">'[3]TT (MAIN)'!$D$39:$D$52</definedName>
    <definedName name="Total_M1_3" localSheetId="4">[2]TT!$D$35:$D$45</definedName>
    <definedName name="Total_M1_3" localSheetId="7">[2]TT!$D$35:$D$45</definedName>
    <definedName name="Total_M1_3" localSheetId="2">'[3]TT (MAIN)'!$D$39:$D$52</definedName>
    <definedName name="Total_M1_3" localSheetId="3">[4]TT!$D$35:$D$45</definedName>
    <definedName name="Total_M1_3">TT!$D$480:$D$494</definedName>
    <definedName name="Total_M2">'[1]TT (Working)'!$D$31:$D$240</definedName>
    <definedName name="Total_M2_1" localSheetId="5">[2]TT!$D$267:$D$285</definedName>
    <definedName name="Total_M2_1" localSheetId="6">[2]TT!$D$267:$D$285</definedName>
    <definedName name="Total_M2_1" localSheetId="1">'[3]TT (MAIN)'!$D$226:$D$242</definedName>
    <definedName name="Total_M2_1" localSheetId="4">[2]TT!$D$267:$D$285</definedName>
    <definedName name="Total_M2_1" localSheetId="7">[2]TT!$D$267:$D$285</definedName>
    <definedName name="Total_M2_1" localSheetId="2">'[3]TT (MAIN)'!$D$224:$D$240</definedName>
    <definedName name="Total_M2_1" localSheetId="3">[4]TT!$D$266:$D$284</definedName>
    <definedName name="Total_M2_1">TT!$D$236:$D$249</definedName>
    <definedName name="Total_M2_2" localSheetId="5">[2]TT!$D$291:$D$442</definedName>
    <definedName name="Total_M2_2" localSheetId="6">[2]TT!$D$291:$D$442</definedName>
    <definedName name="Total_M2_2" localSheetId="1">'[3]TT (MAIN)'!$D$248:$D$260</definedName>
    <definedName name="Total_M2_2" localSheetId="4">[2]TT!$D$291:$D$442</definedName>
    <definedName name="Total_M2_2" localSheetId="7">[2]TT!$D$291:$D$442</definedName>
    <definedName name="Total_M2_2" localSheetId="2">'[3]TT (MAIN)'!$D$246:$D$258</definedName>
    <definedName name="Total_M2_2" localSheetId="3">[4]TT!$D$290:$D$304</definedName>
    <definedName name="Total_M2_2">TT!$D$255:$D$264</definedName>
    <definedName name="Total_M2_3" localSheetId="5">[2]TT!$D$311:$D$325</definedName>
    <definedName name="Total_M2_3" localSheetId="6">[2]TT!$D$311:$D$325</definedName>
    <definedName name="Total_M2_3" localSheetId="1">'[3]TT (MAIN)'!$D$266:$D$282</definedName>
    <definedName name="Total_M2_3" localSheetId="4">[2]TT!$D$311:$D$325</definedName>
    <definedName name="Total_M2_3" localSheetId="7">[2]TT!$D$311:$D$325</definedName>
    <definedName name="Total_M2_3" localSheetId="2">'[3]TT (MAIN)'!$D$264:$D$280</definedName>
    <definedName name="Total_M2_3" localSheetId="3">[4]TT!$D$310:$D$324</definedName>
    <definedName name="Total_M2_3">TT!$D$270:$D$286</definedName>
    <definedName name="Total_M3">'[1]TT (Working)'!$D$62:$D$77</definedName>
    <definedName name="Total_M3_1" localSheetId="5">[2]TT!$D$565:$D$577</definedName>
    <definedName name="Total_M3_1" localSheetId="6">[2]TT!$D$565:$D$577</definedName>
    <definedName name="Total_M3_1" localSheetId="1">'[3]TT (MAIN)'!$D$506:$D$526</definedName>
    <definedName name="Total_M3_1" localSheetId="4">[2]TT!$D$565:$D$577</definedName>
    <definedName name="Total_M3_1" localSheetId="7">[2]TT!$D$565:$D$577</definedName>
    <definedName name="Total_M3_1" localSheetId="2">'[3]TT (MAIN)'!$D$563:$D$582</definedName>
    <definedName name="Total_M3_1" localSheetId="3">[4]TT!$D$564:$D$576</definedName>
    <definedName name="Total_M3_1">TT!$D$429:$D$485</definedName>
    <definedName name="Total_M3_2" localSheetId="5">[2]TT!$D$583:$D$595</definedName>
    <definedName name="Total_M3_2" localSheetId="6">[2]TT!$D$583:$D$595</definedName>
    <definedName name="Total_M3_2" localSheetId="1">'[3]TT (MAIN)'!$D$532:$D$544</definedName>
    <definedName name="Total_M3_2" localSheetId="4">[2]TT!$D$583:$D$595</definedName>
    <definedName name="Total_M3_2" localSheetId="7">[2]TT!$D$583:$D$595</definedName>
    <definedName name="Total_M3_2" localSheetId="2">'[3]TT (MAIN)'!$D$588:$D$600</definedName>
    <definedName name="Total_M3_2" localSheetId="3">[4]TT!$D$582:$D$594</definedName>
    <definedName name="Total_M3_2">TT!$D$590:$D$601</definedName>
    <definedName name="Total_M3_3" localSheetId="5">[2]TT!$D$601:$D$621</definedName>
    <definedName name="Total_M3_3" localSheetId="6">[2]TT!$D$601:$D$621</definedName>
    <definedName name="Total_M3_3" localSheetId="1">'[3]TT (MAIN)'!$D$550:$D$565</definedName>
    <definedName name="Total_M3_3" localSheetId="4">[2]TT!$D$601:$D$621</definedName>
    <definedName name="Total_M3_3" localSheetId="7">[2]TT!$D$601:$D$621</definedName>
    <definedName name="Total_M3_3" localSheetId="2">'[3]TT (MAIN)'!$D$606:$D$622</definedName>
    <definedName name="Total_M3_3" localSheetId="3">[4]TT!$D$600:$D$620</definedName>
    <definedName name="Total_M3_3">TT!$D$607:$D$619</definedName>
    <definedName name="Total_M4">'[1]TT (Working)'!$D$84:$D$100</definedName>
    <definedName name="Total_M5">'[1]TT (Working)'!$D$114:$D$124</definedName>
    <definedName name="Total_M6">'[1]TT (Working)'!$D$134:$D$146</definedName>
    <definedName name="Total_M7">'[1]TT (Working)'!$D$159:$D$173</definedName>
    <definedName name="Total_T1">'[1]TT (Working)'!$D$185:$D$196</definedName>
    <definedName name="Total_T1_1" localSheetId="5">[2]TT!$D$51:$D$61</definedName>
    <definedName name="Total_T1_1" localSheetId="6">[2]TT!$D$51:$D$61</definedName>
    <definedName name="Total_T1_1" localSheetId="1">'[3]TT (MAIN)'!$D$58:$D$69</definedName>
    <definedName name="Total_T1_1" localSheetId="4">[2]TT!$D$51:$D$61</definedName>
    <definedName name="Total_T1_1" localSheetId="7">[2]TT!$D$51:$D$61</definedName>
    <definedName name="Total_T1_1" localSheetId="2">'[3]TT (MAIN)'!$D$58:$D$68</definedName>
    <definedName name="Total_T1_1" localSheetId="3">[4]TT!$D$51:$D$61</definedName>
    <definedName name="Total_T1_1">TT!$D$5:$D$239</definedName>
    <definedName name="Total_T1_2" localSheetId="5">[2]TT!$D$67:$D$77</definedName>
    <definedName name="Total_T1_2" localSheetId="6">[2]TT!$D$67:$D$77</definedName>
    <definedName name="Total_T1_2" localSheetId="1">#REF!</definedName>
    <definedName name="Total_T1_2" localSheetId="4">[2]TT!$D$67:$D$77</definedName>
    <definedName name="Total_T1_2" localSheetId="7">[2]TT!$D$67:$D$77</definedName>
    <definedName name="Total_T1_2" localSheetId="2">'[3]TT (MAIN)'!$D$74:$D$88</definedName>
    <definedName name="Total_T1_2" localSheetId="3">[4]TT!$D$67:$D$77</definedName>
    <definedName name="Total_T1_2">TT!$D$21:$D$32</definedName>
    <definedName name="Total_T1_3" localSheetId="5">[2]TT!$D$83:$D$93</definedName>
    <definedName name="Total_T1_3" localSheetId="6">[2]TT!$D$83:$D$93</definedName>
    <definedName name="Total_T1_3" localSheetId="1">'[3]TT (MAIN)'!$D$96:$D$109</definedName>
    <definedName name="Total_T1_3" localSheetId="4">[2]TT!$D$83:$D$93</definedName>
    <definedName name="Total_T1_3" localSheetId="7">[2]TT!$D$83:$D$93</definedName>
    <definedName name="Total_T1_3" localSheetId="2">'[3]TT (MAIN)'!$D$94:$D$107</definedName>
    <definedName name="Total_T1_3" localSheetId="3">[4]TT!$D$83:$D$93</definedName>
    <definedName name="Total_T1_3">TT!$D$38:$D$49</definedName>
    <definedName name="Total_T2">'[1]TT (Working)'!$D$211:$D$225</definedName>
    <definedName name="Total_T2_1" localSheetId="5">[2]TT!$D$331:$D$346</definedName>
    <definedName name="Total_T2_1" localSheetId="6">[2]TT!$D$331:$D$346</definedName>
    <definedName name="Total_T2_1" localSheetId="1">'[3]TT (MAIN)'!$D$288:$D$300</definedName>
    <definedName name="Total_T2_1" localSheetId="4">[2]TT!$D$331:$D$346</definedName>
    <definedName name="Total_T2_1" localSheetId="7">[2]TT!$D$331:$D$346</definedName>
    <definedName name="Total_T2_1" localSheetId="2">'[3]TT (MAIN)'!$D$286:$D$298</definedName>
    <definedName name="Total_T2_1" localSheetId="3">[4]TT!$D$330:$D$345</definedName>
    <definedName name="Total_T2_1">TT!$D$292:$D$359</definedName>
    <definedName name="Total_T2_2" localSheetId="5">[2]TT!$D$352:$D$365</definedName>
    <definedName name="Total_T2_2" localSheetId="6">[2]TT!$D$352:$D$365</definedName>
    <definedName name="Total_T2_2" localSheetId="1">'[3]TT (MAIN)'!$D$306:$D$318</definedName>
    <definedName name="Total_T2_2" localSheetId="4">[2]TT!$D$352:$D$365</definedName>
    <definedName name="Total_T2_2" localSheetId="7">[2]TT!$D$352:$D$365</definedName>
    <definedName name="Total_T2_2" localSheetId="2">'[3]TT (MAIN)'!$D$304:$D$316</definedName>
    <definedName name="Total_T2_2" localSheetId="3">[4]TT!$D$351:$D$364</definedName>
    <definedName name="Total_T2_2">TT!$D$306:$D$359</definedName>
    <definedName name="Total_T2_3" localSheetId="5">[2]TT!$D$371:$D$381</definedName>
    <definedName name="Total_T2_3" localSheetId="6">[2]TT!$D$371:$D$381</definedName>
    <definedName name="Total_T2_3" localSheetId="1">'[3]TT (MAIN)'!$D$324:$D$337</definedName>
    <definedName name="Total_T2_3" localSheetId="4">[2]TT!$D$371:$D$381</definedName>
    <definedName name="Total_T2_3" localSheetId="7">[2]TT!$D$371:$D$381</definedName>
    <definedName name="Total_T2_3" localSheetId="2">'[3]TT (MAIN)'!$D$322:$D$335</definedName>
    <definedName name="Total_T2_3" localSheetId="3">[4]TT!$D$370:$D$380</definedName>
    <definedName name="Total_T2_3">TT!$D$325:$D$334</definedName>
    <definedName name="Total_T3">'[1]TT (Working)'!$D$233:$D$247</definedName>
    <definedName name="Total_T3_1" localSheetId="5">[2]TT!$D$627:$D$642</definedName>
    <definedName name="Total_T3_1" localSheetId="6">[2]TT!$D$627:$D$642</definedName>
    <definedName name="Total_T3_1" localSheetId="1">'[3]TT (MAIN)'!$D$571:$D$585</definedName>
    <definedName name="Total_T3_1" localSheetId="4">[2]TT!$D$627:$D$642</definedName>
    <definedName name="Total_T3_1" localSheetId="7">[2]TT!$D$627:$D$642</definedName>
    <definedName name="Total_T3_1" localSheetId="2">'[3]TT (MAIN)'!$D$508:$D$523</definedName>
    <definedName name="Total_T3_1" localSheetId="3">[4]TT!$D$626:$D$641</definedName>
    <definedName name="Total_T3_1">TT!#REF!</definedName>
    <definedName name="Total_T3_2" localSheetId="5">[2]TT!$D$648:$D$659</definedName>
    <definedName name="Total_T3_2" localSheetId="6">[2]TT!$D$648:$D$659</definedName>
    <definedName name="Total_T3_2" localSheetId="1">'[3]TT (MAIN)'!$D$591:$D$602</definedName>
    <definedName name="Total_T3_2" localSheetId="4">[2]TT!$D$648:$D$659</definedName>
    <definedName name="Total_T3_2" localSheetId="7">[2]TT!$D$648:$D$659</definedName>
    <definedName name="Total_T3_2" localSheetId="2">'[3]TT (MAIN)'!$D$529:$D$540</definedName>
    <definedName name="Total_T3_2" localSheetId="3">[4]TT!$D$647:$D$658</definedName>
    <definedName name="Total_T3_2">TT!#REF!</definedName>
    <definedName name="Total_T3_3" localSheetId="5">[2]TT!$D$665:$D$680</definedName>
    <definedName name="Total_T3_3" localSheetId="6">[2]TT!$D$665:$D$680</definedName>
    <definedName name="Total_T3_3" localSheetId="1">'[3]TT (MAIN)'!$D$608:$D$619</definedName>
    <definedName name="Total_T3_3" localSheetId="4">[2]TT!$D$665:$D$680</definedName>
    <definedName name="Total_T3_3" localSheetId="7">[2]TT!$D$665:$D$680</definedName>
    <definedName name="Total_T3_3" localSheetId="2">'[3]TT (MAIN)'!$D$546:$D$557</definedName>
    <definedName name="Total_T3_3" localSheetId="3">[4]TT!$D$664:$D$679</definedName>
    <definedName name="Total_T3_3">TT!#REF!</definedName>
    <definedName name="Total_T4">'[1]TT (Working)'!$D$261:$D$274</definedName>
    <definedName name="Total_T5">'[1]TT (Working)'!$D$284:$D$295</definedName>
    <definedName name="Total_T6">'[1]TT (Working)'!$D$304:$D$319</definedName>
    <definedName name="Total_T7">'[1]TT (Working)'!$D$329:$D$338</definedName>
    <definedName name="Total_W1">'[1]TT (Working)'!$D$345:$D$359</definedName>
    <definedName name="Total_W1_1" localSheetId="5">[2]TT!$D$99:$D$109</definedName>
    <definedName name="Total_W1_1" localSheetId="6">[2]TT!$D$99:$D$109</definedName>
    <definedName name="Total_W1_1" localSheetId="1">'[3]TT (MAIN)'!$D$116:$D$127</definedName>
    <definedName name="Total_W1_1" localSheetId="4">[2]TT!$D$99:$D$109</definedName>
    <definedName name="Total_W1_1" localSheetId="7">[2]TT!$D$99:$D$109</definedName>
    <definedName name="Total_W1_1" localSheetId="2">'[3]TT (MAIN)'!$D$114:$D$124</definedName>
    <definedName name="Total_W1_1" localSheetId="3">[4]TT!$D$99:$D$109</definedName>
    <definedName name="Total_W1_1">TT!$D$56:$D$231</definedName>
    <definedName name="Total_W1_2" localSheetId="5">[2]TT!$D$115:$D$125</definedName>
    <definedName name="Total_W1_2" localSheetId="6">[2]TT!$D$115:$D$125</definedName>
    <definedName name="Total_W1_2" localSheetId="1">'[3]TT (MAIN)'!$D$133:$D$156</definedName>
    <definedName name="Total_W1_2" localSheetId="4">[2]TT!$D$115:$D$125</definedName>
    <definedName name="Total_W1_2" localSheetId="7">[2]TT!$D$115:$D$125</definedName>
    <definedName name="Total_W1_2" localSheetId="2">'[3]TT (MAIN)'!$D$130:$D$152</definedName>
    <definedName name="Total_W1_2" localSheetId="3">[4]TT!$D$115:$D$125</definedName>
    <definedName name="Total_W1_2">TT!$D$73:$D$86</definedName>
    <definedName name="Total_W1_3" localSheetId="5">[2]TT!$D$131:$D$141</definedName>
    <definedName name="Total_W1_3" localSheetId="6">[2]TT!$D$131:$D$141</definedName>
    <definedName name="Total_W1_3" localSheetId="1">'[3]TT (MAIN)'!$D$162:$D$177</definedName>
    <definedName name="Total_W1_3" localSheetId="4">[2]TT!$D$131:$D$141</definedName>
    <definedName name="Total_W1_3" localSheetId="7">[2]TT!$D$131:$D$141</definedName>
    <definedName name="Total_W1_3" localSheetId="2">'[3]TT (MAIN)'!$D$158:$D$173</definedName>
    <definedName name="Total_W1_3" localSheetId="3">[4]TT!$D$131:$D$141</definedName>
    <definedName name="Total_W1_3">TT!$D$92:$D$107</definedName>
    <definedName name="Total_W2">'[1]TT (Working)'!$D$368:$D$381</definedName>
    <definedName name="Total_W2_1" localSheetId="5">[2]TT!$D$387:$D$405</definedName>
    <definedName name="Total_W2_1" localSheetId="6">[2]TT!$D$387:$D$405</definedName>
    <definedName name="Total_W2_1" localSheetId="1">'[3]TT (MAIN)'!$D$343:$D$360</definedName>
    <definedName name="Total_W2_1" localSheetId="4">[2]TT!$D$387:$D$405</definedName>
    <definedName name="Total_W2_1" localSheetId="7">[2]TT!$D$387:$D$405</definedName>
    <definedName name="Total_W2_1" localSheetId="2">'[3]TT (MAIN)'!$D$341:$D$358</definedName>
    <definedName name="Total_W2_1" localSheetId="3">[4]TT!$D$386:$D$404</definedName>
    <definedName name="Total_W2_1">TT!$D$340:$D$486</definedName>
    <definedName name="Total_W2_2" localSheetId="5">[2]TT!$D$411:$D$424</definedName>
    <definedName name="Total_W2_2" localSheetId="6">[2]TT!$D$411:$D$424</definedName>
    <definedName name="Total_W2_2" localSheetId="1">'[3]TT (MAIN)'!$D$366:$D$375</definedName>
    <definedName name="Total_W2_2" localSheetId="4">[2]TT!$D$411:$D$424</definedName>
    <definedName name="Total_W2_2" localSheetId="7">[2]TT!$D$411:$D$424</definedName>
    <definedName name="Total_W2_2" localSheetId="2">'[3]TT (MAIN)'!$D$364:$D$373</definedName>
    <definedName name="Total_W2_2" localSheetId="3">[4]TT!$D$410:$D$423</definedName>
    <definedName name="Total_W2_2">TT!$D$356:$D$366</definedName>
    <definedName name="Total_W2_3" localSheetId="5">[2]TT!$D$430:$D$444</definedName>
    <definedName name="Total_W2_3" localSheetId="6">[2]TT!$D$430:$D$444</definedName>
    <definedName name="Total_W2_3" localSheetId="1">'[3]TT (MAIN)'!$D$381:$D$396</definedName>
    <definedName name="Total_W2_3" localSheetId="4">[2]TT!$D$430:$D$444</definedName>
    <definedName name="Total_W2_3" localSheetId="7">[2]TT!$D$430:$D$444</definedName>
    <definedName name="Total_W2_3" localSheetId="2">'[3]TT (MAIN)'!$D$379:$D$394</definedName>
    <definedName name="Total_W2_3" localSheetId="3">[4]TT!$D$429:$D$443</definedName>
    <definedName name="Total_W2_3">TT!$D$372:$D$383</definedName>
    <definedName name="Total_W3">'[1]TT (Working)'!$D$389:$D$402</definedName>
    <definedName name="Total_W3_1" localSheetId="5">[2]TT!$D$686:$D$696</definedName>
    <definedName name="Total_W3_1" localSheetId="6">[2]TT!$D$686:$D$696</definedName>
    <definedName name="Total_W3_1" localSheetId="1">'[3]TT (MAIN)'!$D$625:$D$653</definedName>
    <definedName name="Total_W3_1" localSheetId="4">[2]TT!$D$686:$D$696</definedName>
    <definedName name="Total_W3_1" localSheetId="7">[2]TT!$D$686:$D$696</definedName>
    <definedName name="Total_W3_1" localSheetId="2">'[3]TT (MAIN)'!$D$630:$D$658</definedName>
    <definedName name="Total_W3_1" localSheetId="3">[4]TT!$D$685:$D$695</definedName>
    <definedName name="Total_W3_1">TT!$D$627:$D$647</definedName>
    <definedName name="Total_W3_2" localSheetId="5">[2]TT!$D$702:$D$753</definedName>
    <definedName name="Total_W3_2" localSheetId="6">[2]TT!$D$702:$D$753</definedName>
    <definedName name="Total_W3_2" localSheetId="1">'[3]TT (MAIN)'!$D$659:$D$670</definedName>
    <definedName name="Total_W3_2" localSheetId="4">[2]TT!$D$702:$D$753</definedName>
    <definedName name="Total_W3_2" localSheetId="7">[2]TT!$D$702:$D$753</definedName>
    <definedName name="Total_W3_2" localSheetId="2">'[3]TT (MAIN)'!$D$664:$D$675</definedName>
    <definedName name="Total_W3_2" localSheetId="3">[4]TT!$D$701:$D$715</definedName>
    <definedName name="Total_W3_2">TT!$D$653:$D$668</definedName>
    <definedName name="Total_W3_3" localSheetId="5">[2]TT!$D$722:$D$738</definedName>
    <definedName name="Total_W3_3" localSheetId="6">[2]TT!$D$722:$D$738</definedName>
    <definedName name="Total_W3_3" localSheetId="1">'[3]TT (MAIN)'!$D$676:$D$686</definedName>
    <definedName name="Total_W3_3" localSheetId="4">[2]TT!$D$722:$D$738</definedName>
    <definedName name="Total_W3_3" localSheetId="7">[2]TT!$D$722:$D$738</definedName>
    <definedName name="Total_W3_3" localSheetId="2">'[3]TT (MAIN)'!$D$681:$D$691</definedName>
    <definedName name="Total_W3_3" localSheetId="3">[4]TT!$D$721:$D$737</definedName>
    <definedName name="Total_W3_3">TT!$D$674:$D$685</definedName>
    <definedName name="Total_W4">'[1]TT (Working)'!$D$410:$D$423</definedName>
    <definedName name="Total_W5">'[1]TT (Working)'!$D$432:$D$676</definedName>
    <definedName name="Total_W6">'[1]TT (Working)'!$D$464:$D$480</definedName>
    <definedName name="Total_W7">'[1]TT (Working)'!$D$487:$D$502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</authors>
  <commentList>
    <comment ref="AW69" authorId="0" shapeId="0" xr:uid="{8CD17515-697B-405B-BD47-8DC8DE23B34A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F69" authorId="0" shapeId="0" xr:uid="{A1847F92-EE29-4BE5-90A5-EF694EC89B84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  <author>Admin</author>
  </authors>
  <commentList>
    <comment ref="AZ13" authorId="0" shapeId="0" xr:uid="{C484B9D1-4EBB-4BF9-832E-82E293D25A0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Z20" authorId="0" shapeId="0" xr:uid="{0CEDE55F-3D78-4543-8C45-EEFB03285426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W23" authorId="1" shapeId="0" xr:uid="{4AB3F519-EC87-43DA-B6A5-ACA81E40C3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two electives</t>
        </r>
      </text>
    </comment>
    <comment ref="AZ23" authorId="0" shapeId="0" xr:uid="{1FCD78BA-B255-423C-B305-38D320CA2485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39" authorId="1" shapeId="0" xr:uid="{ECB72C9A-2B35-48FC-8AF7-E513E417EA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39" authorId="0" shapeId="0" xr:uid="{C78F5437-DAEB-4EE4-90C9-4FA406109BFC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51" authorId="1" shapeId="0" xr:uid="{47BEEBC5-2797-4609-8B1C-8AD8DD0C7C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51" authorId="0" shapeId="0" xr:uid="{F284ABA7-8AAA-4850-8B7B-B03E6DF2D1E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54" authorId="0" shapeId="0" xr:uid="{4D01A355-2CE3-4A0A-8A02-8413AF80EDB3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55" authorId="1" shapeId="0" xr:uid="{F78DAFBA-DB30-4D85-9852-1D58D739BC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55" authorId="0" shapeId="0" xr:uid="{C63FE0E2-FD3C-4A44-92AC-4C4E5C61FE83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61" authorId="0" shapeId="0" xr:uid="{5BE3CE1B-310D-49B9-B18B-CB89085D996C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V72" authorId="0" shapeId="0" xr:uid="{2EA5DCD1-FBDD-4367-BEE6-8448B9576686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72" authorId="0" shapeId="0" xr:uid="{861D4992-86C7-46ED-A11C-D0E0D1FACC09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72" authorId="0" shapeId="0" xr:uid="{C169969F-4F1F-4A2B-A199-C44621A522B2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72" authorId="0" shapeId="0" xr:uid="{8AADD5B0-9EDD-4C68-AB59-C5CEF2A8EFC8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C72" authorId="0" shapeId="0" xr:uid="{B3F2FBEA-F541-45E3-B32C-99C3117183BD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<sst xmlns="http://schemas.openxmlformats.org/spreadsheetml/2006/main" count="7270" uniqueCount="2404">
  <si>
    <t>ENGL 157</t>
  </si>
  <si>
    <t>ED1-AERO</t>
  </si>
  <si>
    <t>ED1-AUTO</t>
  </si>
  <si>
    <t>ED1-IND</t>
  </si>
  <si>
    <t>LT</t>
  </si>
  <si>
    <t>ED1-MARI</t>
  </si>
  <si>
    <t>ED1-GEOL</t>
  </si>
  <si>
    <t>ED1-EE</t>
  </si>
  <si>
    <t>ED1-CHE</t>
  </si>
  <si>
    <t>ED1-ME</t>
  </si>
  <si>
    <t>ED1-GEOM</t>
  </si>
  <si>
    <t>ED1-METE</t>
  </si>
  <si>
    <t>PB014</t>
  </si>
  <si>
    <t>A110</t>
  </si>
  <si>
    <t>ME 473</t>
  </si>
  <si>
    <t>ED4-ME</t>
  </si>
  <si>
    <t>ME 451</t>
  </si>
  <si>
    <t>ED4-AERO</t>
  </si>
  <si>
    <t>CE 451</t>
  </si>
  <si>
    <t>ED4-CE</t>
  </si>
  <si>
    <t>N1</t>
  </si>
  <si>
    <t>GED 475</t>
  </si>
  <si>
    <t>ED4-GEOL</t>
  </si>
  <si>
    <t>N2</t>
  </si>
  <si>
    <t xml:space="preserve">CODE </t>
  </si>
  <si>
    <t xml:space="preserve">COURSE NAME </t>
  </si>
  <si>
    <t xml:space="preserve">EXAMINER </t>
  </si>
  <si>
    <t>CLASS</t>
  </si>
  <si>
    <t>ROOM NO.</t>
  </si>
  <si>
    <t>INVIGILATORS</t>
  </si>
  <si>
    <t>ED1-PCE</t>
  </si>
  <si>
    <t>ED1-TEL</t>
  </si>
  <si>
    <t>ED1-COE</t>
  </si>
  <si>
    <t>ED1-BME</t>
  </si>
  <si>
    <t>PB208</t>
  </si>
  <si>
    <t>ED1-MSE</t>
  </si>
  <si>
    <t>ED1-CE</t>
  </si>
  <si>
    <t>ED1-AE</t>
  </si>
  <si>
    <t>CHE 255</t>
  </si>
  <si>
    <t>ED2-CHE</t>
  </si>
  <si>
    <t>ED2-PCE</t>
  </si>
  <si>
    <t>ED4-AE</t>
  </si>
  <si>
    <t>ME 265</t>
  </si>
  <si>
    <t>ED2-AE</t>
  </si>
  <si>
    <t>VCR</t>
  </si>
  <si>
    <t>PCE 351</t>
  </si>
  <si>
    <t>ED3-PCE</t>
  </si>
  <si>
    <t>MATH 351</t>
  </si>
  <si>
    <t>ED3-AERO</t>
  </si>
  <si>
    <t>ED3-ME</t>
  </si>
  <si>
    <t>ED3-AE</t>
  </si>
  <si>
    <t>ED3-CE</t>
  </si>
  <si>
    <t>ED3-GEOL</t>
  </si>
  <si>
    <t>ED3-EE</t>
  </si>
  <si>
    <t>ED3-TEL</t>
  </si>
  <si>
    <t>ED3-COE</t>
  </si>
  <si>
    <t>ED3-BME</t>
  </si>
  <si>
    <t>GE 461</t>
  </si>
  <si>
    <t>ED4-GEOM</t>
  </si>
  <si>
    <t>CE 471</t>
  </si>
  <si>
    <t>GED 451</t>
  </si>
  <si>
    <t>METE 457</t>
  </si>
  <si>
    <t>ED4-METE</t>
  </si>
  <si>
    <t>MSE 453</t>
  </si>
  <si>
    <t>ED4-MSE</t>
  </si>
  <si>
    <t>MATH 151</t>
  </si>
  <si>
    <t>BME 397</t>
  </si>
  <si>
    <t>PB008</t>
  </si>
  <si>
    <t>PB212</t>
  </si>
  <si>
    <t>PB214</t>
  </si>
  <si>
    <t>PB201</t>
  </si>
  <si>
    <t>GED 251</t>
  </si>
  <si>
    <t>ED2-METE</t>
  </si>
  <si>
    <t>ED2-GEOL</t>
  </si>
  <si>
    <t>BME 451</t>
  </si>
  <si>
    <t>ED4-BME</t>
  </si>
  <si>
    <t>ME 465</t>
  </si>
  <si>
    <t>CHE 461</t>
  </si>
  <si>
    <t>ED4-CHE</t>
  </si>
  <si>
    <t>ED4-PCE</t>
  </si>
  <si>
    <t>ED2-AERO</t>
  </si>
  <si>
    <t>PB001</t>
  </si>
  <si>
    <t>ED2-ME</t>
  </si>
  <si>
    <t>ENGL 263</t>
  </si>
  <si>
    <t>ED2-CE</t>
  </si>
  <si>
    <t>ED2-GEOM</t>
  </si>
  <si>
    <t>ED2-BME</t>
  </si>
  <si>
    <t>ED2-COE</t>
  </si>
  <si>
    <t>BME 461</t>
  </si>
  <si>
    <t>MSE 451</t>
  </si>
  <si>
    <t>METE 453</t>
  </si>
  <si>
    <t>CHE 153</t>
  </si>
  <si>
    <t>PB020</t>
  </si>
  <si>
    <t>GE 151</t>
  </si>
  <si>
    <t>MSE 151</t>
  </si>
  <si>
    <t>BME 161</t>
  </si>
  <si>
    <t>ME 251</t>
  </si>
  <si>
    <t>EE 287</t>
  </si>
  <si>
    <t>ED2-EE</t>
  </si>
  <si>
    <t>ED2-TEL</t>
  </si>
  <si>
    <t>EE 367</t>
  </si>
  <si>
    <t>ED2-AUTO</t>
  </si>
  <si>
    <t>ED2-IND</t>
  </si>
  <si>
    <t>ED2-MARI</t>
  </si>
  <si>
    <t>ED2-MSE</t>
  </si>
  <si>
    <t>ED3-AUTO</t>
  </si>
  <si>
    <t>ED3-CHE</t>
  </si>
  <si>
    <t>ED3-GEOM</t>
  </si>
  <si>
    <t>ED3-IND</t>
  </si>
  <si>
    <t>ED3-MARI</t>
  </si>
  <si>
    <t>ED3-METE</t>
  </si>
  <si>
    <t>ED3-MSE</t>
  </si>
  <si>
    <t>ED4-AUTO</t>
  </si>
  <si>
    <t>ED4-COE</t>
  </si>
  <si>
    <t>ED4-EE</t>
  </si>
  <si>
    <t>ED4-IND</t>
  </si>
  <si>
    <t>ED4-MARI</t>
  </si>
  <si>
    <t>ED4-TEL</t>
  </si>
  <si>
    <t>College of Engineering</t>
  </si>
  <si>
    <t>Available Rooms</t>
  </si>
  <si>
    <t>Rooms</t>
  </si>
  <si>
    <t>ECR</t>
  </si>
  <si>
    <t>AE 153</t>
  </si>
  <si>
    <t>CE 151</t>
  </si>
  <si>
    <t>MSE 251</t>
  </si>
  <si>
    <t>CHE 259</t>
  </si>
  <si>
    <t>PCE 253</t>
  </si>
  <si>
    <t>GE 261</t>
  </si>
  <si>
    <t>MSE 357</t>
  </si>
  <si>
    <t>AERO 483</t>
  </si>
  <si>
    <t>AE 471</t>
  </si>
  <si>
    <t>CE 467</t>
  </si>
  <si>
    <t>TE 481</t>
  </si>
  <si>
    <t>COE 457</t>
  </si>
  <si>
    <t>CHE 151</t>
  </si>
  <si>
    <t>ME 363</t>
  </si>
  <si>
    <t>CE 367</t>
  </si>
  <si>
    <t>BME 471</t>
  </si>
  <si>
    <t>CHE 467</t>
  </si>
  <si>
    <t>PCE 455</t>
  </si>
  <si>
    <t>MATH 251</t>
  </si>
  <si>
    <t>CHE 357</t>
  </si>
  <si>
    <t>AE 353</t>
  </si>
  <si>
    <t>TE 385</t>
  </si>
  <si>
    <t>MSE 351</t>
  </si>
  <si>
    <t>AERO 495</t>
  </si>
  <si>
    <t>AE 457</t>
  </si>
  <si>
    <t>CE 475</t>
  </si>
  <si>
    <t>GED 459</t>
  </si>
  <si>
    <t>GE 463</t>
  </si>
  <si>
    <t>METE 451</t>
  </si>
  <si>
    <t>EE 467</t>
  </si>
  <si>
    <t>COE 453</t>
  </si>
  <si>
    <t>ME 453</t>
  </si>
  <si>
    <t>ME 161</t>
  </si>
  <si>
    <t>CE 155</t>
  </si>
  <si>
    <t>MME 155</t>
  </si>
  <si>
    <t>CE 355</t>
  </si>
  <si>
    <t>GED 357</t>
  </si>
  <si>
    <t>ME 477</t>
  </si>
  <si>
    <t>ME 159</t>
  </si>
  <si>
    <t>MSE 253</t>
  </si>
  <si>
    <t>BME 285</t>
  </si>
  <si>
    <t>CHE 257</t>
  </si>
  <si>
    <t>CE 477</t>
  </si>
  <si>
    <t>COE 485</t>
  </si>
  <si>
    <t>GED 151</t>
  </si>
  <si>
    <t>EE 261</t>
  </si>
  <si>
    <t>ME 281</t>
  </si>
  <si>
    <t>GE 251</t>
  </si>
  <si>
    <t>GE 361</t>
  </si>
  <si>
    <t>AE 459</t>
  </si>
  <si>
    <t>AERO 473</t>
  </si>
  <si>
    <t>CHE 451</t>
  </si>
  <si>
    <t>BME 463</t>
  </si>
  <si>
    <t>PCE 359</t>
  </si>
  <si>
    <t>PCE 457</t>
  </si>
  <si>
    <t>ECON 151</t>
  </si>
  <si>
    <t>EE 371</t>
  </si>
  <si>
    <t>COE 371</t>
  </si>
  <si>
    <t>CHE 459</t>
  </si>
  <si>
    <t>GED 153</t>
  </si>
  <si>
    <t>GE 281</t>
  </si>
  <si>
    <t>GED 365</t>
  </si>
  <si>
    <t>MSE 353</t>
  </si>
  <si>
    <t>EE 365</t>
  </si>
  <si>
    <t>CHE 471</t>
  </si>
  <si>
    <t>AERO 157</t>
  </si>
  <si>
    <t>MSE 153</t>
  </si>
  <si>
    <t>GE 171</t>
  </si>
  <si>
    <t>ME 355</t>
  </si>
  <si>
    <t>GED 375</t>
  </si>
  <si>
    <t>CE 153</t>
  </si>
  <si>
    <t>ME 255</t>
  </si>
  <si>
    <t>METE 351</t>
  </si>
  <si>
    <t>CHE 371</t>
  </si>
  <si>
    <t>AE 373</t>
  </si>
  <si>
    <t>CE 457</t>
  </si>
  <si>
    <t>CE 473</t>
  </si>
  <si>
    <t>CHE 455</t>
  </si>
  <si>
    <t>ME 483</t>
  </si>
  <si>
    <t>CHE 253</t>
  </si>
  <si>
    <t>CE 259</t>
  </si>
  <si>
    <t>CHE 363</t>
  </si>
  <si>
    <t>GE 371</t>
  </si>
  <si>
    <t>AERO 391</t>
  </si>
  <si>
    <t>MSE 457</t>
  </si>
  <si>
    <t>GED 267</t>
  </si>
  <si>
    <t>ME 259</t>
  </si>
  <si>
    <t>CE 359</t>
  </si>
  <si>
    <t>EE 387</t>
  </si>
  <si>
    <t>COE 387</t>
  </si>
  <si>
    <t>ME 467</t>
  </si>
  <si>
    <t>CHE 261</t>
  </si>
  <si>
    <t>GE 263</t>
  </si>
  <si>
    <t>METE 251</t>
  </si>
  <si>
    <t>ME 365</t>
  </si>
  <si>
    <t>CHE 361</t>
  </si>
  <si>
    <t>PCE 355</t>
  </si>
  <si>
    <t>CE 463</t>
  </si>
  <si>
    <t>GE 351</t>
  </si>
  <si>
    <t>CHE 251</t>
  </si>
  <si>
    <t>AERO 351</t>
  </si>
  <si>
    <t>ME 361</t>
  </si>
  <si>
    <t>GE 381</t>
  </si>
  <si>
    <t>AE 451</t>
  </si>
  <si>
    <t>GE 451</t>
  </si>
  <si>
    <t>EE 271</t>
  </si>
  <si>
    <t>COE 271</t>
  </si>
  <si>
    <t>EE 151</t>
  </si>
  <si>
    <t>ME 261</t>
  </si>
  <si>
    <t>CHE 351</t>
  </si>
  <si>
    <t>MSE 355</t>
  </si>
  <si>
    <t>COE 475</t>
  </si>
  <si>
    <t>PCE 451</t>
  </si>
  <si>
    <t>MSE 255</t>
  </si>
  <si>
    <t>CE 257</t>
  </si>
  <si>
    <t>GED 253</t>
  </si>
  <si>
    <t>GE 271</t>
  </si>
  <si>
    <t>ME 373</t>
  </si>
  <si>
    <t>CE 353</t>
  </si>
  <si>
    <t>GE 161</t>
  </si>
  <si>
    <t>ME 157</t>
  </si>
  <si>
    <t>AERO 491</t>
  </si>
  <si>
    <t>ME 491</t>
  </si>
  <si>
    <t>GED 461</t>
  </si>
  <si>
    <t>FC 181</t>
  </si>
  <si>
    <t>ARC 155</t>
  </si>
  <si>
    <t>COE 251</t>
  </si>
  <si>
    <t>CE 255</t>
  </si>
  <si>
    <t>GE 353</t>
  </si>
  <si>
    <t>CHE 359</t>
  </si>
  <si>
    <t>PCE 357</t>
  </si>
  <si>
    <t>COE 381</t>
  </si>
  <si>
    <t>AERO 395</t>
  </si>
  <si>
    <t>ME 195</t>
  </si>
  <si>
    <t>MME 195</t>
  </si>
  <si>
    <t>SES 171</t>
  </si>
  <si>
    <t>CENG 291</t>
  </si>
  <si>
    <t>CHE 353</t>
  </si>
  <si>
    <t>PCE 353</t>
  </si>
  <si>
    <t>CHE 457</t>
  </si>
  <si>
    <t>ME 295</t>
  </si>
  <si>
    <t>CHEM 169</t>
  </si>
  <si>
    <t>MSE 359</t>
  </si>
  <si>
    <t>TO PRT</t>
  </si>
  <si>
    <t># STDS</t>
  </si>
  <si>
    <t>EE 153</t>
  </si>
  <si>
    <t>CHE 365</t>
  </si>
  <si>
    <t>CHE 463</t>
  </si>
  <si>
    <t>MME 291</t>
  </si>
  <si>
    <t>IE 295</t>
  </si>
  <si>
    <t>MME 281</t>
  </si>
  <si>
    <t>RM A</t>
  </si>
  <si>
    <t>RM B</t>
  </si>
  <si>
    <t>Computer Based</t>
  </si>
  <si>
    <t>GED 351</t>
  </si>
  <si>
    <t>VSLA</t>
  </si>
  <si>
    <t>EA</t>
  </si>
  <si>
    <t>GE 475</t>
  </si>
  <si>
    <t>Total M1-1</t>
  </si>
  <si>
    <t>Total M1-2</t>
  </si>
  <si>
    <t>Total M1-3</t>
  </si>
  <si>
    <t>Total T1-1</t>
  </si>
  <si>
    <t>Total T1-2</t>
  </si>
  <si>
    <t>Total T1-3</t>
  </si>
  <si>
    <t>Total F1-1</t>
  </si>
  <si>
    <t>Total F1-3</t>
  </si>
  <si>
    <t>Total M2-1</t>
  </si>
  <si>
    <t>Total M2-2</t>
  </si>
  <si>
    <t>Total M2-3</t>
  </si>
  <si>
    <t>Total T2-1</t>
  </si>
  <si>
    <t>Total T2-2</t>
  </si>
  <si>
    <t>Total T2-3</t>
  </si>
  <si>
    <t>Total W2-1</t>
  </si>
  <si>
    <t>Total W2-2</t>
  </si>
  <si>
    <t>Total W2-3</t>
  </si>
  <si>
    <t>Total H2-1</t>
  </si>
  <si>
    <t>Total H2-2</t>
  </si>
  <si>
    <t>PE 255</t>
  </si>
  <si>
    <t>PE 253</t>
  </si>
  <si>
    <t>PE 259</t>
  </si>
  <si>
    <t>PE 257</t>
  </si>
  <si>
    <t>PE 251</t>
  </si>
  <si>
    <t>PE 151</t>
  </si>
  <si>
    <t>PE 153</t>
  </si>
  <si>
    <t>PE 155</t>
  </si>
  <si>
    <t>IE 357</t>
  </si>
  <si>
    <t>IE 363</t>
  </si>
  <si>
    <t>IE 365</t>
  </si>
  <si>
    <t>IE 355</t>
  </si>
  <si>
    <t>IE 351</t>
  </si>
  <si>
    <t>IE 367</t>
  </si>
  <si>
    <t>AME 365</t>
  </si>
  <si>
    <t>MME 373</t>
  </si>
  <si>
    <t>MME 395</t>
  </si>
  <si>
    <t>AME 371</t>
  </si>
  <si>
    <t>AME 373</t>
  </si>
  <si>
    <t>AE 453</t>
  </si>
  <si>
    <t>AE 381</t>
  </si>
  <si>
    <t>MSE 455</t>
  </si>
  <si>
    <t>PCE 461</t>
  </si>
  <si>
    <t>EE 463</t>
  </si>
  <si>
    <t>CE 251</t>
  </si>
  <si>
    <t>CE 461</t>
  </si>
  <si>
    <t>METE 151</t>
  </si>
  <si>
    <t>MME 365</t>
  </si>
  <si>
    <t>AME 395</t>
  </si>
  <si>
    <t>AME 167</t>
  </si>
  <si>
    <t>AE 351</t>
  </si>
  <si>
    <t>ATTD</t>
  </si>
  <si>
    <t>NAF1</t>
  </si>
  <si>
    <t>MSE 361</t>
  </si>
  <si>
    <t>PE 363</t>
  </si>
  <si>
    <t>PE 359</t>
  </si>
  <si>
    <t>PE 355</t>
  </si>
  <si>
    <t>PE 361</t>
  </si>
  <si>
    <t>PE 367</t>
  </si>
  <si>
    <t>PE 353</t>
  </si>
  <si>
    <t>PE 351</t>
  </si>
  <si>
    <t>PE 357</t>
  </si>
  <si>
    <t>METE 353</t>
  </si>
  <si>
    <t>MSE 363</t>
  </si>
  <si>
    <t>IE 455</t>
  </si>
  <si>
    <t>IE 459</t>
  </si>
  <si>
    <t>IE 461</t>
  </si>
  <si>
    <t>IE 451</t>
  </si>
  <si>
    <t>IE 457</t>
  </si>
  <si>
    <t>AME 455</t>
  </si>
  <si>
    <t>MME 465</t>
  </si>
  <si>
    <t>MME 491</t>
  </si>
  <si>
    <t>AME 467</t>
  </si>
  <si>
    <t>AME 485</t>
  </si>
  <si>
    <t>MME 467</t>
  </si>
  <si>
    <t>MME 473</t>
  </si>
  <si>
    <t>Total F3-1</t>
  </si>
  <si>
    <t>EXAMS OFFICE</t>
  </si>
  <si>
    <t>PB SIMULATION LB</t>
  </si>
  <si>
    <t>Total Pack</t>
  </si>
  <si>
    <t xml:space="preserve">TAS </t>
  </si>
  <si>
    <t>PER SESSION</t>
  </si>
  <si>
    <t>BAMFO KWAKYE</t>
  </si>
  <si>
    <t>SECURITY</t>
  </si>
  <si>
    <t xml:space="preserve">NURSES </t>
  </si>
  <si>
    <t>PACKS PER DAY</t>
  </si>
  <si>
    <t>OVERALL</t>
  </si>
  <si>
    <t>Total bottles for a Day</t>
  </si>
  <si>
    <t>Totals Per Day</t>
  </si>
  <si>
    <t xml:space="preserve">Totals Per   Session </t>
  </si>
  <si>
    <t>1pk 2btls</t>
  </si>
  <si>
    <t>METE 355</t>
  </si>
  <si>
    <t>STAT 253</t>
  </si>
  <si>
    <t>Bottles x 3S + 1</t>
  </si>
  <si>
    <t xml:space="preserve">Name </t>
  </si>
  <si>
    <t>Contact</t>
  </si>
  <si>
    <t xml:space="preserve">Signature </t>
  </si>
  <si>
    <t>Total Collected for the day</t>
  </si>
  <si>
    <t xml:space="preserve">Overall total left </t>
  </si>
  <si>
    <t>Total to be collected  for the day</t>
  </si>
  <si>
    <t>COMPARE</t>
  </si>
  <si>
    <t>NEB-FF2</t>
  </si>
  <si>
    <t>NEB-FF1</t>
  </si>
  <si>
    <t>COE 261</t>
  </si>
  <si>
    <t>ACF 255</t>
  </si>
  <si>
    <t>GED 465</t>
  </si>
  <si>
    <t>MME 355</t>
  </si>
  <si>
    <t>PE 459</t>
  </si>
  <si>
    <t>PE 455</t>
  </si>
  <si>
    <t>ROOM</t>
  </si>
  <si>
    <t>COE 281</t>
  </si>
  <si>
    <t>COE 253</t>
  </si>
  <si>
    <t>COE 181</t>
  </si>
  <si>
    <t>PE 451</t>
  </si>
  <si>
    <t>PE 473</t>
  </si>
  <si>
    <t>MME 353</t>
  </si>
  <si>
    <t>ME 455</t>
  </si>
  <si>
    <t>Total W1-1</t>
  </si>
  <si>
    <t>Total W1-2</t>
  </si>
  <si>
    <t>Total W1-3</t>
  </si>
  <si>
    <t>Total M3-1</t>
  </si>
  <si>
    <t>Total M3-2</t>
  </si>
  <si>
    <t>Total M3-3</t>
  </si>
  <si>
    <t>Total T3-2</t>
  </si>
  <si>
    <t>Total T3-3</t>
  </si>
  <si>
    <t>Total W3-1</t>
  </si>
  <si>
    <t>Total W3-2</t>
  </si>
  <si>
    <t>Total W3-3</t>
  </si>
  <si>
    <t>Total H3-1</t>
  </si>
  <si>
    <t>Total H3-2</t>
  </si>
  <si>
    <t>Total H3-3</t>
  </si>
  <si>
    <t>CE 271</t>
  </si>
  <si>
    <t>Session, 1 (8:30 AM - 10:30 AM)</t>
  </si>
  <si>
    <t>Session, 2 (12:00 PM - 2:00 PM)</t>
  </si>
  <si>
    <t>Session, 3 (3:00 PM - 5:00 PM)</t>
  </si>
  <si>
    <t>NEB-SF</t>
  </si>
  <si>
    <t>NEB-GF</t>
  </si>
  <si>
    <t>2pks</t>
  </si>
  <si>
    <t>NEB OFFICE</t>
  </si>
  <si>
    <t>1pks 5btls</t>
  </si>
  <si>
    <t>13btls</t>
  </si>
  <si>
    <t>15btls</t>
  </si>
  <si>
    <t>10btls</t>
  </si>
  <si>
    <t xml:space="preserve">Bottles/Packs Collected </t>
  </si>
  <si>
    <t>TT BOTTLES</t>
  </si>
  <si>
    <t>ROOM 
USAGE</t>
  </si>
  <si>
    <t>TOTAL 
BOTTLES FOR PERIOD</t>
  </si>
  <si>
    <t>TOTAL BOTTLES</t>
  </si>
  <si>
    <t>TOTAL BOTLES</t>
  </si>
  <si>
    <t>8btls</t>
  </si>
  <si>
    <t>COE 363</t>
  </si>
  <si>
    <t>TE 251</t>
  </si>
  <si>
    <t>NEB-TF</t>
  </si>
  <si>
    <t>TE 253</t>
  </si>
  <si>
    <t>TE 255</t>
  </si>
  <si>
    <t>3btls</t>
  </si>
  <si>
    <t>5btls</t>
  </si>
  <si>
    <t>4btls</t>
  </si>
  <si>
    <t>7btls</t>
  </si>
  <si>
    <t>6btls</t>
  </si>
  <si>
    <t>6pks</t>
  </si>
  <si>
    <t>Biometric</t>
  </si>
  <si>
    <t xml:space="preserve">7pks </t>
  </si>
  <si>
    <t>SCANTRON</t>
  </si>
  <si>
    <t>12pks</t>
  </si>
  <si>
    <t>4pks 2btls</t>
  </si>
  <si>
    <t>5pks 1btls</t>
  </si>
  <si>
    <t>LEVINE</t>
  </si>
  <si>
    <t>~ 68 packs a day 
(16 bottles per pack)</t>
  </si>
  <si>
    <t>~ 403 Overall packs  
(16 bottles per pack)</t>
  </si>
  <si>
    <t>9btls</t>
  </si>
  <si>
    <t>SOC 255</t>
  </si>
  <si>
    <t>EE 161</t>
  </si>
  <si>
    <t>TE 351</t>
  </si>
  <si>
    <t>MSE 155</t>
  </si>
  <si>
    <t>TE 353</t>
  </si>
  <si>
    <t>EE 167</t>
  </si>
  <si>
    <t>CHEM 151</t>
  </si>
  <si>
    <t>CE 479</t>
  </si>
  <si>
    <t>TE 357</t>
  </si>
  <si>
    <t>Agyekum Kwame Agyeman-Prempeh</t>
  </si>
  <si>
    <t>TE 355</t>
  </si>
  <si>
    <t>Gadze James Dzisi</t>
  </si>
  <si>
    <t>PROBABILITY AND STATISTICS</t>
  </si>
  <si>
    <t>NUMERICAL ANALYSIS</t>
  </si>
  <si>
    <t>Acheampong Francisca Adoma</t>
  </si>
  <si>
    <t>DIFFERENTIAL EQUATIONS</t>
  </si>
  <si>
    <t>Wireko Fredrick Asenso</t>
  </si>
  <si>
    <t>Takyi Paul Owusu</t>
  </si>
  <si>
    <t>ENGINEERING IN SOCIETY</t>
  </si>
  <si>
    <t>Affum Emmanuel Ampoma</t>
  </si>
  <si>
    <t>Oppong Tawiah Peter</t>
  </si>
  <si>
    <t>TECHNICAL DRAWING</t>
  </si>
  <si>
    <t>ALGEBRA</t>
  </si>
  <si>
    <t>COMMUNICATION SKILLS I</t>
  </si>
  <si>
    <t>APPLIED ELECTRICITY</t>
  </si>
  <si>
    <t>ENVIRONMENTAL STUDIES</t>
  </si>
  <si>
    <t>FUEL AND COMBUSTION TECHNOLOGY</t>
  </si>
  <si>
    <t>Quaye Jonathan Atuquaye</t>
  </si>
  <si>
    <t>Kwame Sarkodie</t>
  </si>
  <si>
    <t>Stephen Adjei</t>
  </si>
  <si>
    <t>STRENGTH OF MATERIALS I</t>
  </si>
  <si>
    <t>INTRODUCTION TO INFORMATION TECHNOLOGY</t>
  </si>
  <si>
    <t>Baidoo Martina Francisca</t>
  </si>
  <si>
    <t>Afotey Benjamin</t>
  </si>
  <si>
    <t>ELECTROCHEMICAL TECHNOLOGY</t>
  </si>
  <si>
    <t>Jude Kwaku Bonsu</t>
  </si>
  <si>
    <t>POLYMER TECHNOLOGY</t>
  </si>
  <si>
    <t>Eghan Rhydal Esi</t>
  </si>
  <si>
    <t>COMPUTER APPLICATIONS FOR ENGINEERS</t>
  </si>
  <si>
    <t>ANALYTICAL CHEMISTRY FOR CHEMICAL ENGINEERS</t>
  </si>
  <si>
    <t>CHEMICAL ENGINEERING THERMODYNAMICS I</t>
  </si>
  <si>
    <t>CHEMICAL PROCESS CALCULATIONS I</t>
  </si>
  <si>
    <t>FLUID TRANSPORT</t>
  </si>
  <si>
    <t>Kwofie Samuel</t>
  </si>
  <si>
    <t>Arthur Emmanuel Kwesi</t>
  </si>
  <si>
    <t>Asare Eric Kwame Anokye</t>
  </si>
  <si>
    <t>Koomson Bennetta</t>
  </si>
  <si>
    <t>Adjaottor Albert Amatey</t>
  </si>
  <si>
    <t>MSE 257</t>
  </si>
  <si>
    <t>Fosu Gabriel Obed</t>
  </si>
  <si>
    <t>Gawu Simon Kafui Yawo</t>
  </si>
  <si>
    <t>Adam Faisal Wahib</t>
  </si>
  <si>
    <t>Takyi Gabriel</t>
  </si>
  <si>
    <t>Obeng George Yaw</t>
  </si>
  <si>
    <t>Afriyie Nyarko Frank Kwabena</t>
  </si>
  <si>
    <t>Sekyere Charles Kofi Kafui</t>
  </si>
  <si>
    <t>Sackey Michael Nii</t>
  </si>
  <si>
    <t>Fiagbe Yesuenyeagbe Atsu Kwabla</t>
  </si>
  <si>
    <t>Forson Francis Kofi</t>
  </si>
  <si>
    <t>Isaac Azure</t>
  </si>
  <si>
    <t>INTRODUCTION TO ECONOMICS I</t>
  </si>
  <si>
    <t>Francis Davis</t>
  </si>
  <si>
    <t>AUTOMATIC CONTROL I</t>
  </si>
  <si>
    <t>MECHANICAL ENGINEERING LAB. I</t>
  </si>
  <si>
    <t>ENGINEERING MATERIALS I</t>
  </si>
  <si>
    <t>Amoabeng Kofi Owura</t>
  </si>
  <si>
    <t>Ampofo Joshua</t>
  </si>
  <si>
    <t>INTRODUCTION TO FLUID MECHANICS</t>
  </si>
  <si>
    <t>LITERATURE IN ENGLISH I</t>
  </si>
  <si>
    <t>Yeboah Philomena Ama Okyeso</t>
  </si>
  <si>
    <t>Agyei Agyemang Anthony</t>
  </si>
  <si>
    <t>Emmanuel Gikunoo</t>
  </si>
  <si>
    <t>Oteng Gyasi Kwame</t>
  </si>
  <si>
    <t>Aikins Stephen Hill Mends</t>
  </si>
  <si>
    <t>Dzebre Denis Edem Kwame</t>
  </si>
  <si>
    <t>Richard Opoku</t>
  </si>
  <si>
    <t>Forkuo Eric Kwabena</t>
  </si>
  <si>
    <t>Akrofi Emmanuel Offei</t>
  </si>
  <si>
    <t>Ayer John Wise Divine</t>
  </si>
  <si>
    <t>Ali Bukari</t>
  </si>
  <si>
    <t>Borkor Reindorf Nartey</t>
  </si>
  <si>
    <t>Nuamah Daniel Oduro Boatey</t>
  </si>
  <si>
    <t>GED 379</t>
  </si>
  <si>
    <t>Albert Kwame Kwaw</t>
  </si>
  <si>
    <t>Ampofo James Wiafe</t>
  </si>
  <si>
    <t>Antoh Emmanuel Kwaku</t>
  </si>
  <si>
    <t>Kommey Benjamin</t>
  </si>
  <si>
    <t>Daniel Kwegyir</t>
  </si>
  <si>
    <t>Keelson Eliel</t>
  </si>
  <si>
    <t>Daniel Opoku</t>
  </si>
  <si>
    <t>Yeboah-Akowuah Bright</t>
  </si>
  <si>
    <t>Boateng Kwame Osei</t>
  </si>
  <si>
    <t>Agbemenu Andrew Selasi</t>
  </si>
  <si>
    <t>DATA STRUCTURES AND ALGORITHMS</t>
  </si>
  <si>
    <t>Eric Tutu Tchao</t>
  </si>
  <si>
    <t>Odame Prince</t>
  </si>
  <si>
    <t>COE 153</t>
  </si>
  <si>
    <t>Tutu Kenneth Adomako</t>
  </si>
  <si>
    <t>Tuffour Yaw Adubofour</t>
  </si>
  <si>
    <t>Acquaah Vincent Kofi Abaka</t>
  </si>
  <si>
    <t>Sossou Gnida</t>
  </si>
  <si>
    <t>Essandoh Helen Michelle Korkor</t>
  </si>
  <si>
    <t>Aveyire Joseph</t>
  </si>
  <si>
    <t>BIOCHEMICAL TECHNOLOGY</t>
  </si>
  <si>
    <t>Ankudey Emmanuel Godwin</t>
  </si>
  <si>
    <t>NATURAL GAS PROCESSING TECHNOLOGY</t>
  </si>
  <si>
    <t>CHEMICAL PROCESS INDUSTRIES</t>
  </si>
  <si>
    <t>Agyapong Dorothy Araba Yakoba</t>
  </si>
  <si>
    <t>Griffith Selorm Klogo</t>
  </si>
  <si>
    <t>Addo Daniel Akwei</t>
  </si>
  <si>
    <t>Adjei Prince Ebenezer</t>
  </si>
  <si>
    <t>Amponsah William</t>
  </si>
  <si>
    <t>Oppong David Kofi</t>
  </si>
  <si>
    <t>AEROSPACE ENGINEERING LAB. I</t>
  </si>
  <si>
    <t>AEROSPACE INDUSTRY AND ENGINEERING</t>
  </si>
  <si>
    <t>Bofah Kwasi Kete</t>
  </si>
  <si>
    <t>AERODYNAMICS I</t>
  </si>
  <si>
    <t>AEROSPACE ENGINEERING VACATION TRAINING II</t>
  </si>
  <si>
    <t>AERO 393</t>
  </si>
  <si>
    <t>AEROSPACE ENGINEERING VACATION TRAINING I</t>
  </si>
  <si>
    <t>AERO 293</t>
  </si>
  <si>
    <t>INTRODUCTION TO AVIATION TECHNOLOGY</t>
  </si>
  <si>
    <t>Unnamed: 4</t>
  </si>
  <si>
    <t xml:space="preserve">      BSC. AEROSPACE ENG., Year 1</t>
  </si>
  <si>
    <t>No of students</t>
  </si>
  <si>
    <t>Unnamed: 6</t>
  </si>
  <si>
    <t>Unnamed: 0</t>
  </si>
  <si>
    <t>F3</t>
  </si>
  <si>
    <t>H3</t>
  </si>
  <si>
    <t>W3</t>
  </si>
  <si>
    <t>T3</t>
  </si>
  <si>
    <t>H2</t>
  </si>
  <si>
    <t>W2</t>
  </si>
  <si>
    <t>T2</t>
  </si>
  <si>
    <t>M2</t>
  </si>
  <si>
    <t>F1</t>
  </si>
  <si>
    <t>H1</t>
  </si>
  <si>
    <t>W1</t>
  </si>
  <si>
    <t>T1</t>
  </si>
  <si>
    <t>S3</t>
  </si>
  <si>
    <t>S2</t>
  </si>
  <si>
    <t>S1</t>
  </si>
  <si>
    <t>Sum</t>
  </si>
  <si>
    <t>Peter Asigri</t>
  </si>
  <si>
    <t>Total</t>
  </si>
  <si>
    <t>COHORT D3</t>
  </si>
  <si>
    <t>COHORT D2</t>
  </si>
  <si>
    <r>
      <t xml:space="preserve">NEB
</t>
    </r>
    <r>
      <rPr>
        <rFont val="Times New Roman"/>
        <family val="1"/>
        <color rgb="FF000000"/>
        <sz val="24"/>
      </rPr>
      <t>D</t>
    </r>
  </si>
  <si>
    <t>COHORT D1</t>
  </si>
  <si>
    <t>NEB-SF1</t>
  </si>
  <si>
    <t>COHORT C2</t>
  </si>
  <si>
    <r>
      <t xml:space="preserve">EXAMS
OFFICE
</t>
    </r>
    <r>
      <rPr>
        <rFont val="Times New Roman"/>
        <family val="1"/>
        <color rgb="FF000000"/>
        <sz val="26"/>
      </rPr>
      <t>C</t>
    </r>
  </si>
  <si>
    <t>COHORT C1</t>
  </si>
  <si>
    <t>COHORT B2</t>
  </si>
  <si>
    <t>PB012</t>
  </si>
  <si>
    <r>
      <t xml:space="preserve">PETROLEUM
 BUILDING
</t>
    </r>
    <r>
      <rPr>
        <rFont val="Times New Roman"/>
        <family val="1"/>
        <color rgb="FF000000"/>
        <sz val="24"/>
      </rPr>
      <t>B</t>
    </r>
  </si>
  <si>
    <t>COHORT B1</t>
  </si>
  <si>
    <t>COHORT A3</t>
  </si>
  <si>
    <t>COHORT A2</t>
  </si>
  <si>
    <t>RMB</t>
  </si>
  <si>
    <t>RMA</t>
  </si>
  <si>
    <r>
      <t xml:space="preserve">BAMFO 
KWAKYE 
</t>
    </r>
    <r>
      <rPr>
        <rFont val="Times New Roman"/>
        <family val="1"/>
        <b/>
        <color rgb="FF000000"/>
        <sz val="24"/>
      </rPr>
      <t>A</t>
    </r>
  </si>
  <si>
    <t>COHORT A1</t>
  </si>
  <si>
    <t>Exam Capacity</t>
  </si>
  <si>
    <t>GED 369</t>
  </si>
  <si>
    <t>Samuel Kwofie</t>
  </si>
  <si>
    <t>Emmanuela Kwao-Boateng</t>
  </si>
  <si>
    <t xml:space="preserve">   </t>
  </si>
  <si>
    <t>TOTAL</t>
  </si>
  <si>
    <t>PAYROLL</t>
  </si>
  <si>
    <t>SM</t>
  </si>
  <si>
    <t>Kingsley Kusi</t>
  </si>
  <si>
    <t>Eliel Keelson</t>
  </si>
  <si>
    <t>Bright Yeboah-Akowuah</t>
  </si>
  <si>
    <t>Andrew S. Agbemenu</t>
  </si>
  <si>
    <t>Theresa-Samuelle M.A Adjaidoo</t>
  </si>
  <si>
    <t>Daniel Addo</t>
  </si>
  <si>
    <t>Prince Odame</t>
  </si>
  <si>
    <t>Prince E. Adjei</t>
  </si>
  <si>
    <t>D.A.Y Agyapong</t>
  </si>
  <si>
    <t>Caspar Daniel Adenutsi</t>
  </si>
  <si>
    <t>Samuel Erzuah</t>
  </si>
  <si>
    <t>Jonathan Atuquaye Quaye</t>
  </si>
  <si>
    <t>Yen Adams Sokama-Neuyam</t>
  </si>
  <si>
    <t>Benjamin Kommey</t>
  </si>
  <si>
    <t>Henry Nunoo-Mensah</t>
  </si>
  <si>
    <t>Isaac Acquah</t>
  </si>
  <si>
    <t>Ernest Buanya Mensah</t>
  </si>
  <si>
    <t>Emmanuel Acheampong Tsiwah</t>
  </si>
  <si>
    <t>Daniel Nframah Ampong</t>
  </si>
  <si>
    <t>Martin Lutter Yeboah</t>
  </si>
  <si>
    <t>Henry Agbe</t>
  </si>
  <si>
    <t>David Sasu Konadu</t>
  </si>
  <si>
    <t>Eric Asare</t>
  </si>
  <si>
    <t>Albert A. Adjaottor</t>
  </si>
  <si>
    <t>Bennetta Koomson</t>
  </si>
  <si>
    <t>Emmanuel Kwesi Arthur</t>
  </si>
  <si>
    <t>Martinson Addo Nartey</t>
  </si>
  <si>
    <t>Frank Ofori Agyemang</t>
  </si>
  <si>
    <t>K. Mensah Darkwa</t>
  </si>
  <si>
    <t>Anthony Andrews</t>
  </si>
  <si>
    <t>CASH</t>
  </si>
  <si>
    <t>Emmanuel K. Anto</t>
  </si>
  <si>
    <t>Charles M. Adrah</t>
  </si>
  <si>
    <t>Emmanuel A. Frimpong</t>
  </si>
  <si>
    <t>Samuel Mensah Sackey</t>
  </si>
  <si>
    <t>Gabriel Takyi</t>
  </si>
  <si>
    <t>Shadrack Kwadwo Amponsah</t>
  </si>
  <si>
    <t>Clara Bernice Darko</t>
  </si>
  <si>
    <t>Enoch Bessah</t>
  </si>
  <si>
    <t>Eric Amoah Asante</t>
  </si>
  <si>
    <t>William Amponsah</t>
  </si>
  <si>
    <t>Joseph Aveyire</t>
  </si>
  <si>
    <t>Joseph Ofei Darko</t>
  </si>
  <si>
    <t>Francis Kemausuor</t>
  </si>
  <si>
    <t>Stephen Hill Mends Aikins</t>
  </si>
  <si>
    <t>Emmanuel Yaovi Hunnuor Bobobee</t>
  </si>
  <si>
    <t>Ahmad Addo</t>
  </si>
  <si>
    <t>Ebenezer Mensah</t>
  </si>
  <si>
    <t>Sampson Kwaku Agodzo</t>
  </si>
  <si>
    <t>Ato Bart-Plange</t>
  </si>
  <si>
    <t>Nicholas Kyei-Baffour</t>
  </si>
  <si>
    <t>Joseph Oppong Akowuah</t>
  </si>
  <si>
    <t>Simon K.Y. Gawu</t>
  </si>
  <si>
    <t>Blestmond A. Brako</t>
  </si>
  <si>
    <t>Bukari Ali</t>
  </si>
  <si>
    <t>Albert Asare</t>
  </si>
  <si>
    <t>Albert K. Kwaw</t>
  </si>
  <si>
    <t>Andrew C. Amenuvor</t>
  </si>
  <si>
    <t>Ayuba B. Adam</t>
  </si>
  <si>
    <t>Bernard K. Amoah</t>
  </si>
  <si>
    <t>Solomon S.R. Gidigasu</t>
  </si>
  <si>
    <t>Prosper A. Akaba</t>
  </si>
  <si>
    <t>Chiri Amedjoe</t>
  </si>
  <si>
    <t>Daniel O. B. Nuamah</t>
  </si>
  <si>
    <t>Gordon Foli</t>
  </si>
  <si>
    <t>Emmanuel K. Appiah-Adjei</t>
  </si>
  <si>
    <t>Mary Mensah</t>
  </si>
  <si>
    <t>Eunice Sefakor</t>
  </si>
  <si>
    <t>Godfred Ohemeng-Boahen</t>
  </si>
  <si>
    <t>Jude Bonsu</t>
  </si>
  <si>
    <t>Daniel Anang</t>
  </si>
  <si>
    <t>E.K. Baah-Ennumh</t>
  </si>
  <si>
    <t>Emmanuel G. Ankudey</t>
  </si>
  <si>
    <t>Patrick Boakye</t>
  </si>
  <si>
    <t>M.A. Rockson</t>
  </si>
  <si>
    <t>Lawrence Darkwah</t>
  </si>
  <si>
    <t>Martina F. Baidoo</t>
  </si>
  <si>
    <t>Nana Yaw Asiedu</t>
  </si>
  <si>
    <t>David Kofi Oppong</t>
  </si>
  <si>
    <t>David Ato Quansah</t>
  </si>
  <si>
    <t>Peter Oppong Tawiah</t>
  </si>
  <si>
    <t>Eric Akowuah</t>
  </si>
  <si>
    <t>Godwin Kafui Ayetor</t>
  </si>
  <si>
    <t>Joshua Ampofo</t>
  </si>
  <si>
    <t>Samuel Boahen</t>
  </si>
  <si>
    <t>Godwin Fabiola Kwaku Tay</t>
  </si>
  <si>
    <t>Frank Kwabena Afriyie Nyarko</t>
  </si>
  <si>
    <t>Prince Yaw Andoh</t>
  </si>
  <si>
    <t>NSM</t>
  </si>
  <si>
    <t>Clement Dadzie</t>
  </si>
  <si>
    <t>Bernard Annan</t>
  </si>
  <si>
    <t>Evans Korletey</t>
  </si>
  <si>
    <t>Sandra Essel</t>
  </si>
  <si>
    <t>Rebecca Yamoah</t>
  </si>
  <si>
    <t>Bismark Donkor</t>
  </si>
  <si>
    <t>John Kusi</t>
  </si>
  <si>
    <t>John Ofosu</t>
  </si>
  <si>
    <t>Jerome Dela Lavie</t>
  </si>
  <si>
    <t>Desmond Adu-Yeboah</t>
  </si>
  <si>
    <t>Victoria Agyenim-Boateng</t>
  </si>
  <si>
    <t>Linda Berko</t>
  </si>
  <si>
    <t>Total 
Amt Add</t>
  </si>
  <si>
    <t xml:space="preserve">Add hours </t>
  </si>
  <si>
    <t>Add</t>
  </si>
  <si>
    <t>Hours</t>
  </si>
  <si>
    <t>Total 
hours</t>
  </si>
  <si>
    <t>Pay Status</t>
  </si>
  <si>
    <t>Amt Due (GHC)</t>
  </si>
  <si>
    <t>Tax (GHC)</t>
  </si>
  <si>
    <t>Total Amt</t>
  </si>
  <si>
    <t>Rate/Hr</t>
  </si>
  <si>
    <t>Time/hrs</t>
  </si>
  <si>
    <t>Category</t>
  </si>
  <si>
    <t>Name</t>
  </si>
  <si>
    <t>SN</t>
  </si>
  <si>
    <t xml:space="preserve">PROJECT </t>
  </si>
  <si>
    <t>COLLEGE OF ENGINEERING</t>
  </si>
  <si>
    <t>Amissah Nana Ama</t>
  </si>
  <si>
    <t>Felix Owiredu Owusu</t>
  </si>
  <si>
    <t>Adu Isaac Kwabena Afriyie</t>
  </si>
  <si>
    <t>James Okae</t>
  </si>
  <si>
    <t xml:space="preserve">Delida Acheampong </t>
  </si>
  <si>
    <t>Kingsley Kyei Baffour</t>
  </si>
  <si>
    <t xml:space="preserve">Derrick Amoateng </t>
  </si>
  <si>
    <t>Christopher Selasi Dzidolawo</t>
  </si>
  <si>
    <t>Derrick Tetteh Batsa</t>
  </si>
  <si>
    <t>Bright Mensah</t>
  </si>
  <si>
    <t>Marvin Selasi Aglemiawu</t>
  </si>
  <si>
    <t>Hardy Hawa Tunteiya</t>
  </si>
  <si>
    <t>Ahadzi Eyram</t>
  </si>
  <si>
    <t>Mawusi Gbemavor-Assonhe</t>
  </si>
  <si>
    <t>Michael Asiedu Asare</t>
  </si>
  <si>
    <t>Akofi-Holison Kobina</t>
  </si>
  <si>
    <t>Krapah Bless Elikem</t>
  </si>
  <si>
    <t>Mackleode Ben-Boulo</t>
  </si>
  <si>
    <t>Kuyini Anisuma salma</t>
  </si>
  <si>
    <t>Maruf Usman</t>
  </si>
  <si>
    <t>Ankomah Claudia Takyi</t>
  </si>
  <si>
    <t>Frimpong Prince</t>
  </si>
  <si>
    <t xml:space="preserve">Owusu Emmanuel </t>
  </si>
  <si>
    <t>Wiafe Yaw Karikari</t>
  </si>
  <si>
    <t>Owusu Boakye Gideon</t>
  </si>
  <si>
    <t>Adjei Gideon</t>
  </si>
  <si>
    <t>Samuel Kyei Agyemang</t>
  </si>
  <si>
    <t>Isaac Danso</t>
  </si>
  <si>
    <t>Egyir Bernard</t>
  </si>
  <si>
    <t>Nana Amoah Akowuah</t>
  </si>
  <si>
    <t>Victor Hatsu</t>
  </si>
  <si>
    <t>NSM/attd/comp.</t>
  </si>
  <si>
    <t>JULIUS MENSAH</t>
  </si>
  <si>
    <t>DENNIS TANDOH</t>
  </si>
  <si>
    <t>COLLINS FRIMPONG ADJEI</t>
  </si>
  <si>
    <t>MARIAN KUKUA FARMMER</t>
  </si>
  <si>
    <t>JULIUS KWAME AMETSITSI</t>
  </si>
  <si>
    <t>FRANCIS AWUAH</t>
  </si>
  <si>
    <t>RAPHEL A. BAAH</t>
  </si>
  <si>
    <t>NATHANIEL FRIMPONG DARQUAH</t>
  </si>
  <si>
    <t>SILAS ANABA</t>
  </si>
  <si>
    <t>KYERE COLLINS</t>
  </si>
  <si>
    <t>PIET ANKRAH ACHEAMPONG</t>
  </si>
  <si>
    <t>DANIEL OBENG ATUAH</t>
  </si>
  <si>
    <t>BENJAMIN ODOI LARTEY</t>
  </si>
  <si>
    <t>BAAH BADU KURFASS</t>
  </si>
  <si>
    <t>SETH KOFI BRIMPONG DWAMENA</t>
  </si>
  <si>
    <t>MARGARET AMPADU ADITEY</t>
  </si>
  <si>
    <t>RAPHAEL AMOFA-BAAH</t>
  </si>
  <si>
    <t>SM/comp.</t>
  </si>
  <si>
    <t>LYDIA OTOO AMPONSAH</t>
  </si>
  <si>
    <t>LINDA A. BANNING</t>
  </si>
  <si>
    <t>LINUS K. LABIK</t>
  </si>
  <si>
    <t>KWAME PIESIE FRIMPONG</t>
  </si>
  <si>
    <t xml:space="preserve">BENJAMIN TEI PARTEY </t>
  </si>
  <si>
    <t>SANDRA ADDAI-HENNE</t>
  </si>
  <si>
    <t>ADU SAKYI</t>
  </si>
  <si>
    <t>FREDDRICK ASENSO WIREKO</t>
  </si>
  <si>
    <t>BERNARD O. BAINSON</t>
  </si>
  <si>
    <t>ELLIOT S. MENKAH</t>
  </si>
  <si>
    <t>CAROLINE R. KWAWU</t>
  </si>
  <si>
    <t>MAXWELL A. BOATENG</t>
  </si>
  <si>
    <t>GABRIEL OBED FOSU</t>
  </si>
  <si>
    <t>GERSHON AMENUVOR</t>
  </si>
  <si>
    <t>GASTON EDEM AWASHIE</t>
  </si>
  <si>
    <t>EMMANUEL OWUREDU ODAME</t>
  </si>
  <si>
    <t>PETER AMOAKO YIRENKYI</t>
  </si>
  <si>
    <t>ABEAKU ARTHUR</t>
  </si>
  <si>
    <t>NSM/ATTD</t>
  </si>
  <si>
    <t>NSM/lsec</t>
  </si>
  <si>
    <t>PATRICK BAMFI</t>
  </si>
  <si>
    <t>BOAKYE ROBERT</t>
  </si>
  <si>
    <t>AGYEI CALEB SARFO</t>
  </si>
  <si>
    <t>AWUNI FRANCIS</t>
  </si>
  <si>
    <t>KOFI ANSAH MUSAH</t>
  </si>
  <si>
    <t>AMOAKO AKWASI GYAMFI</t>
  </si>
  <si>
    <t>AKONTONG GIFTY</t>
  </si>
  <si>
    <t>MATTHEW BOAKYE MINKAH</t>
  </si>
  <si>
    <t>THOMAS DONKOR</t>
  </si>
  <si>
    <t>AMUZU ATOKPLE</t>
  </si>
  <si>
    <t>EMMANUEL AFRIYIE</t>
  </si>
  <si>
    <t>NSM/NSS-EO-it</t>
  </si>
  <si>
    <t>EDEM JONATHAN</t>
  </si>
  <si>
    <t>AUGUSTINE ADJALOGO-AGBEKO</t>
  </si>
  <si>
    <t>NSM/NSS-TEO</t>
  </si>
  <si>
    <t>JEPTAH OGYEFO ACQUAH</t>
  </si>
  <si>
    <t>MICHAEL KOKONU</t>
  </si>
  <si>
    <t>VICENTIA APPIAH AGYEI</t>
  </si>
  <si>
    <t>DANIEL OCLOO</t>
  </si>
  <si>
    <t>HERBERT NTIM</t>
  </si>
  <si>
    <t>GABRIEL KLUTSE</t>
  </si>
  <si>
    <t>ARHIN KEVIN JOJO</t>
  </si>
  <si>
    <t>CHARITY A.A HALEEGOAH</t>
  </si>
  <si>
    <t>ELIZABETH HENEWAA AKAO</t>
  </si>
  <si>
    <t>AFRIYIE BENEDICT DUODU</t>
  </si>
  <si>
    <t>ELIJAH ATIIGAH A.</t>
  </si>
  <si>
    <t>OBED ISSAKAH</t>
  </si>
  <si>
    <t>DERRICK MAWUSI</t>
  </si>
  <si>
    <t>JOSEPH GATI</t>
  </si>
  <si>
    <t>ISAAC DOUGHAN</t>
  </si>
  <si>
    <t>OTENG JOSEPH</t>
  </si>
  <si>
    <t>AMOS BEDAKMAN</t>
  </si>
  <si>
    <t>BENJAMIN MENSAH FRIMPONG</t>
  </si>
  <si>
    <t>DORIGEN ASAMOAH</t>
  </si>
  <si>
    <t>EMMANUEL KOFI FRIMPONG</t>
  </si>
  <si>
    <t>SS/Pro</t>
  </si>
  <si>
    <t>ANTWI, DEBORAH</t>
  </si>
  <si>
    <t>GLORIA OWUSU AFRIYIE</t>
  </si>
  <si>
    <t>ASARE-NKANSAH, GRACE ANTWIWAA</t>
  </si>
  <si>
    <t>SAMPSON OPOKU</t>
  </si>
  <si>
    <t>SUALIHU, BINTU</t>
  </si>
  <si>
    <t>CHRISTOPHER AMEYAW AKUMFI</t>
  </si>
  <si>
    <t>ATISU, REUBEN AKWASI</t>
  </si>
  <si>
    <t>SM/Acct</t>
  </si>
  <si>
    <t>KWARTENG, COLLINS YAW</t>
  </si>
  <si>
    <t xml:space="preserve">SM/Reg </t>
  </si>
  <si>
    <t>KUSI, KINGSLEY</t>
  </si>
  <si>
    <t>SM/Reg</t>
  </si>
  <si>
    <t>ADJEI, EMMANUEL KOFI</t>
  </si>
  <si>
    <t>AMISSAH, ELIZABETH MAAME ESI</t>
  </si>
  <si>
    <t>SM/Lib</t>
  </si>
  <si>
    <t xml:space="preserve">BORTEYE, EDWARD MENSAH </t>
  </si>
  <si>
    <t>SM/Audit</t>
  </si>
  <si>
    <t>BENJAMIN K.A. ARHIN</t>
  </si>
  <si>
    <t>SS/biom</t>
  </si>
  <si>
    <t>EMMANUEL ADU-GYAMFI</t>
  </si>
  <si>
    <t xml:space="preserve">SS/Dr. </t>
  </si>
  <si>
    <t>ROBERT AIDOO</t>
  </si>
  <si>
    <t>NSM/attd-EO</t>
  </si>
  <si>
    <t>KINGSLEY ATTAH NYAMEKYE SNR</t>
  </si>
  <si>
    <t>KOFI ADU</t>
  </si>
  <si>
    <t>ISAAC ASENSO</t>
  </si>
  <si>
    <t>ERIC ABEKA</t>
  </si>
  <si>
    <t>SM/biom</t>
  </si>
  <si>
    <t>FOSTER SEDEM DEDUME</t>
  </si>
  <si>
    <t>ERIC MINTAH</t>
  </si>
  <si>
    <t>NSM/biom</t>
  </si>
  <si>
    <t>JOSEPH ROBERT AMPONSAH</t>
  </si>
  <si>
    <t>KINGSLEY BOADU BAIDOO</t>
  </si>
  <si>
    <t>OHENEBA KWAKU ANOKYE MANU</t>
  </si>
  <si>
    <t>IDDRIS PENNAH</t>
  </si>
  <si>
    <t>GBEVILLAH JUDITH</t>
  </si>
  <si>
    <t>⁠AFETORMASHIE EMMANUEL</t>
  </si>
  <si>
    <t>THEOPHILUS ABAKA AGGREY</t>
  </si>
  <si>
    <t>MICHAEL SASU ASIEDU</t>
  </si>
  <si>
    <t>EMMANUEL AMONOO ETRUE</t>
  </si>
  <si>
    <t>EBENEZER KOFI BRUCE BAFFOE</t>
  </si>
  <si>
    <t>FOSTER OPOKU</t>
  </si>
  <si>
    <t>EMMANUEL BROBBEY</t>
  </si>
  <si>
    <t>MICHAEL KWAME AWUKU</t>
  </si>
  <si>
    <t>KWAME AMO SARKODIE</t>
  </si>
  <si>
    <t>STUART ADOM OSAFO POULIOT</t>
  </si>
  <si>
    <t>GIDEON ATUAHENE</t>
  </si>
  <si>
    <t>JONATHAN NIKOI KOTEY</t>
  </si>
  <si>
    <t>DEBORAH ADOM KORANTENG</t>
  </si>
  <si>
    <t xml:space="preserve">JONATHAN KOFI ATIVOR </t>
  </si>
  <si>
    <t>EDEM EDWIN ADEDZE</t>
  </si>
  <si>
    <t xml:space="preserve">OSCAR OUSSENI OUEDRAOGO </t>
  </si>
  <si>
    <t>ENOCK ANNOR BOYE</t>
  </si>
  <si>
    <t>NSM/NSS-TA</t>
  </si>
  <si>
    <t>Abdul-Manan Kayab</t>
  </si>
  <si>
    <t>Ebenezer Mensah Obeng</t>
  </si>
  <si>
    <t>Gadrich Anueta Ayitey</t>
  </si>
  <si>
    <t>YEBOAH HAPPY OWUSU ANTWI</t>
  </si>
  <si>
    <t>WILLIAMS ANANZOYAA AKANDI</t>
  </si>
  <si>
    <t>WILHEMINA NAA ARDUAH TACKIE</t>
  </si>
  <si>
    <t>WIAFE YAW KARIKARI</t>
  </si>
  <si>
    <t>WELBECK MANU BIO</t>
  </si>
  <si>
    <t>WANAA KINGSLEY</t>
  </si>
  <si>
    <t>VICTOR YAMOAH</t>
  </si>
  <si>
    <t>URIEL OPPONG BUAMAH</t>
  </si>
  <si>
    <t>TEYI EDEM JUSTICE</t>
  </si>
  <si>
    <t>TAYLOR EBO BENJAMIN</t>
  </si>
  <si>
    <t>SYLVESTER SELASE AGORBORTU</t>
  </si>
  <si>
    <t>SILAS OSEI-POKU</t>
  </si>
  <si>
    <t>SHALLOM EZEKIEL</t>
  </si>
  <si>
    <t>SAMUEL KYEI AGYEMANG</t>
  </si>
  <si>
    <t>SAMUEL ASIEDU</t>
  </si>
  <si>
    <t>ROLAND ASHIE</t>
  </si>
  <si>
    <t>QUAYNOR NII CHARWAY GIDEON</t>
  </si>
  <si>
    <t>PROSPER ABEWINI ATUASE</t>
  </si>
  <si>
    <t>PRINCE KWABENA APPIAH BOADU</t>
  </si>
  <si>
    <t>PRINCE FRIMPONG</t>
  </si>
  <si>
    <t>PRINCE DAWSON TETTEH</t>
  </si>
  <si>
    <t>POKU ATTA ANDY</t>
  </si>
  <si>
    <t>PHILIP KOJO ANSAH</t>
  </si>
  <si>
    <t>PHILIP DARKO</t>
  </si>
  <si>
    <t>OWUSU BOAKYE GIDEON</t>
  </si>
  <si>
    <t>OWIREDU-GHORMAN EWURAMA OWIREDUWAA</t>
  </si>
  <si>
    <t>OSUMANU RABIATU</t>
  </si>
  <si>
    <t>OSEI AMANIAMPONG HENRY MANASSEH</t>
  </si>
  <si>
    <t>OKOE FELIX KOJO RANDY</t>
  </si>
  <si>
    <t>OFORI ROCKSON MINKAH</t>
  </si>
  <si>
    <t>OBENG BENJAMIN</t>
  </si>
  <si>
    <t>NYARKO PRINCE</t>
  </si>
  <si>
    <t>NATHANIEL FOLI</t>
  </si>
  <si>
    <t>NANA KWEKU AMISSAH</t>
  </si>
  <si>
    <t>MUBARAK ABDULAI ALHASSAN</t>
  </si>
  <si>
    <t>MOHAMMED-AWAL AHMED MOHAMMED</t>
  </si>
  <si>
    <t>MOHAMMED HUZAIF</t>
  </si>
  <si>
    <t>MILDRED NYANTAKYIWAA OKYERE</t>
  </si>
  <si>
    <t>MILDRED MARTETSOO MARTEY</t>
  </si>
  <si>
    <t>MICHAEL BANSAH</t>
  </si>
  <si>
    <t>MERCY BOAKYE</t>
  </si>
  <si>
    <t>MAWULI DOGBATSE</t>
  </si>
  <si>
    <t>MATE-KOLE NYAKO GORTLIEB</t>
  </si>
  <si>
    <t>MARUF USMAN</t>
  </si>
  <si>
    <t>MALICK ABIASAH</t>
  </si>
  <si>
    <t>MACKLEODE BEN-BOULO</t>
  </si>
  <si>
    <t>KWAME MOSES</t>
  </si>
  <si>
    <t>KWABENA OWUSU-OSEI</t>
  </si>
  <si>
    <t>KUYINI ANISUMA SALMA</t>
  </si>
  <si>
    <t>KOBINA AKOFI-HOLISON</t>
  </si>
  <si>
    <t>KATE NYARKO BOADI</t>
  </si>
  <si>
    <t>JULIET ARTHUR</t>
  </si>
  <si>
    <t>JOSEPH DERRICK ANANE NTI KODUAH</t>
  </si>
  <si>
    <t>JOSEPH DELA AZIAFOR</t>
  </si>
  <si>
    <t>JOHN YAW GYASI-MENSAH</t>
  </si>
  <si>
    <t>JOHN KWESI BAIDOO</t>
  </si>
  <si>
    <t>ISSIFU FREDRICK ALI</t>
  </si>
  <si>
    <t>ISSAH ABDUL GANIWU GENE</t>
  </si>
  <si>
    <t>ISAIAH AMPONSAH</t>
  </si>
  <si>
    <t>ISAAC DANSO</t>
  </si>
  <si>
    <t>IBRAHIM ARHIN</t>
  </si>
  <si>
    <t>HASKY EGYERI FYNN</t>
  </si>
  <si>
    <t>GYANO CHARTY JOSEPH</t>
  </si>
  <si>
    <t>GYAMFI MORRIS AKWASI</t>
  </si>
  <si>
    <t>FREDINALD B. HAYFORD</t>
  </si>
  <si>
    <t>FRANK OWUSU BOAKYE</t>
  </si>
  <si>
    <t>FRANK ODURO</t>
  </si>
  <si>
    <t>FAISAL IHUNNANG NURIDEEN</t>
  </si>
  <si>
    <t>EZEKIEL AGBEMOR AGBO</t>
  </si>
  <si>
    <t>EVELYN SEYRAM KAKAH</t>
  </si>
  <si>
    <t>EVANS TETTEH OWUSU</t>
  </si>
  <si>
    <t>ERNEST KOFI NDUAKOH</t>
  </si>
  <si>
    <t>EMMANUEL YUORKUU</t>
  </si>
  <si>
    <t>ELVIS APPIAH</t>
  </si>
  <si>
    <t>ELITA MAWUSE DJOKOTOE DZONTOH</t>
  </si>
  <si>
    <t>ELESIE JOSEPH</t>
  </si>
  <si>
    <t>DOREEN CUDJOE</t>
  </si>
  <si>
    <t>DONKOR ANTHONY</t>
  </si>
  <si>
    <t>DOMPREH DERRICK EYRAM</t>
  </si>
  <si>
    <t>COFIE BENJAMIN EDINAM</t>
  </si>
  <si>
    <t>CLEMENT HEANAMPONG</t>
  </si>
  <si>
    <t>CLAUDIA TAKYI ANKOMAH</t>
  </si>
  <si>
    <t>CHRISTOPHER SELASI DZIDOLAWO</t>
  </si>
  <si>
    <t>CHRISTIAN AGYEKUM</t>
  </si>
  <si>
    <t>BRIGHT MENSAH</t>
  </si>
  <si>
    <t>BLESS ELIKEM KRAPAH</t>
  </si>
  <si>
    <t>BEZALEEL NANA AKRASI GYEDU-WARE</t>
  </si>
  <si>
    <t>BERNIANA JOHN AKWETEY</t>
  </si>
  <si>
    <t>BENTUM YAW RICHMOND</t>
  </si>
  <si>
    <t>BENJAMIN DAGBEY</t>
  </si>
  <si>
    <t>BELLO RAPHAEL AMETEFE KOMLA</t>
  </si>
  <si>
    <t>AZUNGU BENJAMIN</t>
  </si>
  <si>
    <t>ANITA DOKUWAH NYARKO</t>
  </si>
  <si>
    <t>ALI MUHAISIN</t>
  </si>
  <si>
    <t>ALHASSAN MUBARIK</t>
  </si>
  <si>
    <t>ALHASSAN ABDUL GANIYU</t>
  </si>
  <si>
    <t>AGYEMANG DUKU RISMOND</t>
  </si>
  <si>
    <t>AGYAPONG DORCAS NUANIAH</t>
  </si>
  <si>
    <t>AGYAPONG AKOSUA ADUBEA</t>
  </si>
  <si>
    <t>AGBLEMIAWO MARVIN SELASI</t>
  </si>
  <si>
    <t>AGBE SETORDZI GAMELI</t>
  </si>
  <si>
    <t>ABIGAIL ANKU</t>
  </si>
  <si>
    <t>ABDUL-BASIT NUHU</t>
  </si>
  <si>
    <t>ABAGRE MAJEED WINIMI</t>
  </si>
  <si>
    <t>Phiona Nana Akua Amakah</t>
  </si>
  <si>
    <t>Nicholas Kwaku Opoku </t>
  </si>
  <si>
    <t>Agyapong Nelson</t>
  </si>
  <si>
    <t>Zakaria Bushira</t>
  </si>
  <si>
    <t>Kelvin Delali Kpetsey</t>
  </si>
  <si>
    <t>Hope Sallah</t>
  </si>
  <si>
    <t>Theophilus Nyarko</t>
  </si>
  <si>
    <t>Stephen Onomah</t>
  </si>
  <si>
    <t>Solomon Appiah-Gyamfi</t>
  </si>
  <si>
    <t>Priscilla Adwoa Fordjour</t>
  </si>
  <si>
    <t>Owusu Binfoh Romeo</t>
  </si>
  <si>
    <t>Jibril Aligabass</t>
  </si>
  <si>
    <t>Jeremiah Dodzi Cofie</t>
  </si>
  <si>
    <t>Isaac Clottey</t>
  </si>
  <si>
    <t>Isaac Adu</t>
  </si>
  <si>
    <t>Immanuel Yeboah Anomah</t>
  </si>
  <si>
    <t>George Nii Martey Colley</t>
  </si>
  <si>
    <t>Ekuful Ebenezer</t>
  </si>
  <si>
    <t>Dadzie Emmanuel</t>
  </si>
  <si>
    <t>Dzah Raymond</t>
  </si>
  <si>
    <t>Antwi Dennis Barima</t>
  </si>
  <si>
    <t>Ankomah Theophilus</t>
  </si>
  <si>
    <t>Akowuah Nana Amoah</t>
  </si>
  <si>
    <t>Akambisa Julius</t>
  </si>
  <si>
    <t>Abdul-Mumin Tahiru</t>
  </si>
  <si>
    <t>NSM/NSS-nurs</t>
  </si>
  <si>
    <t>VIVIAN DZAKA</t>
  </si>
  <si>
    <t>NSM/NSS-TA-wt</t>
  </si>
  <si>
    <t>GARVIN KOKONU</t>
  </si>
  <si>
    <t>OMANHENE KOFI GYIMAH</t>
  </si>
  <si>
    <t>IMBEAH JULIET</t>
  </si>
  <si>
    <t>SS/procur</t>
  </si>
  <si>
    <t>JONATHAN AGYEMAN-DUAH KARIKARI</t>
  </si>
  <si>
    <t>NSM/NSS/pro</t>
  </si>
  <si>
    <t>CHRISTIAN D. BOATENG</t>
  </si>
  <si>
    <t>NSM/NSS/Audit</t>
  </si>
  <si>
    <t>NANA AGYEMANG AMOAHENE YEBOAH</t>
  </si>
  <si>
    <t>NSM/NSS/Acct</t>
  </si>
  <si>
    <t>BAAH-BOATENG SAMUEL</t>
  </si>
  <si>
    <t>KWABENA AFAAWUAH</t>
  </si>
  <si>
    <t>GIDEON SAKYI OSEW</t>
  </si>
  <si>
    <t>AMPONSAH MICHAEL DARKO</t>
  </si>
  <si>
    <t>AARON GYAMFI ATOBRAH APRAKU</t>
  </si>
  <si>
    <t>ERICA TUTUWAA BAFFOE JNR.</t>
  </si>
  <si>
    <t>BRIGHT AMOAKO WIAFE</t>
  </si>
  <si>
    <t>DUFFOUR JUSTICE</t>
  </si>
  <si>
    <t>DOROTHY AGYEMANG AKUA</t>
  </si>
  <si>
    <t>OSEI TUTU DERRICK</t>
  </si>
  <si>
    <t>Amt (GHC)</t>
  </si>
  <si>
    <t>Meals Amount (GHC)</t>
  </si>
  <si>
    <t>Total Inv. Amount</t>
  </si>
  <si>
    <t>Status</t>
  </si>
  <si>
    <t>Invigilation + Meals Reumuneration</t>
  </si>
  <si>
    <t>KWAME NKRUMAH UNIVERSITY OF SCIENCE AND TECHNOLOGY</t>
  </si>
  <si>
    <t>`</t>
  </si>
  <si>
    <t>Total (GHS)</t>
  </si>
  <si>
    <t>SM/Dean</t>
  </si>
  <si>
    <t>ADJEI, KWAKU AMANING</t>
  </si>
  <si>
    <t>KEMAUSOUR FRANCIS</t>
  </si>
  <si>
    <t>EMMANUEL ASUMING FRIMPONG</t>
  </si>
  <si>
    <t>OWUSU, JOHNSON</t>
  </si>
  <si>
    <t>Ida Saeed</t>
  </si>
  <si>
    <t>NYARKO, KWABENA BIRITWUM</t>
  </si>
  <si>
    <t>Polycarp Bome</t>
  </si>
  <si>
    <t>Diabene Yaw Addo</t>
  </si>
  <si>
    <t>Addo Thomas</t>
  </si>
  <si>
    <t>Barbara Ayindingo</t>
  </si>
  <si>
    <t>Benard Allotey</t>
  </si>
  <si>
    <t>Samuel Amoako Denkyi</t>
  </si>
  <si>
    <t>Michael Acheampong</t>
  </si>
  <si>
    <t>John Derek Kakraba</t>
  </si>
  <si>
    <t>Aniagyei Benedicta Afi</t>
  </si>
  <si>
    <t>Monica Akyeampong</t>
  </si>
  <si>
    <t>Selina Akomba</t>
  </si>
  <si>
    <t>Victor Kungzinye</t>
  </si>
  <si>
    <t>Dennis Boachie Boateng</t>
  </si>
  <si>
    <t>Anafo Bismark Ayinsongya</t>
  </si>
  <si>
    <t>Yaw Offei Akrofi</t>
  </si>
  <si>
    <t>Kwame Yentumi Asante</t>
  </si>
  <si>
    <t>Bright Amoako Wiafe</t>
  </si>
  <si>
    <t>Irene Amenlemah</t>
  </si>
  <si>
    <t>Jesse Osei</t>
  </si>
  <si>
    <t>Benjamin Nana Oduro Konadu</t>
  </si>
  <si>
    <t>Benjamin Opoku Atuahene</t>
  </si>
  <si>
    <t>Bernard Audinada Ampofo</t>
  </si>
  <si>
    <t>Bright Andoh-Baidoo</t>
  </si>
  <si>
    <t>Clement Appiah</t>
  </si>
  <si>
    <t>David Mingle</t>
  </si>
  <si>
    <t>Derrick Amoateng</t>
  </si>
  <si>
    <t>Derrick Owusu Mensah</t>
  </si>
  <si>
    <t>Edward Kpetege</t>
  </si>
  <si>
    <t>Eric Soku</t>
  </si>
  <si>
    <t>Ernest Dapaah</t>
  </si>
  <si>
    <t>Fatawu Yakubu</t>
  </si>
  <si>
    <t>Fiifi Turkson</t>
  </si>
  <si>
    <t>Francis Brian Essien</t>
  </si>
  <si>
    <t>George Ansong</t>
  </si>
  <si>
    <t>Getrude Opoku</t>
  </si>
  <si>
    <t>Gifty Edem Senyaglo</t>
  </si>
  <si>
    <t>Godfred Appiah</t>
  </si>
  <si>
    <t>James Assan Panford</t>
  </si>
  <si>
    <t>Joseph Benneth Kankam</t>
  </si>
  <si>
    <t>Kofi Bentum</t>
  </si>
  <si>
    <t>Kwadwo Afful</t>
  </si>
  <si>
    <t>Kwame Kwarteng Sarpong</t>
  </si>
  <si>
    <t>Loretta Owusu Ansah</t>
  </si>
  <si>
    <t>Madleine Albright Oppong Gyan</t>
  </si>
  <si>
    <t>Marian Bemma</t>
  </si>
  <si>
    <t>Mercy Nimako</t>
  </si>
  <si>
    <t>Michael Owusu</t>
  </si>
  <si>
    <t>Micheal Obbo</t>
  </si>
  <si>
    <t>Mohammed Bakang</t>
  </si>
  <si>
    <t>Novor Nero</t>
  </si>
  <si>
    <t>Owusu Stephen Akuoku</t>
  </si>
  <si>
    <t>Paul Dery</t>
  </si>
  <si>
    <t>Paxwell Adjei Damptey</t>
  </si>
  <si>
    <t>Peggy T. Opoku Ansah</t>
  </si>
  <si>
    <t>Perseverance Dzikunu</t>
  </si>
  <si>
    <t>Peter Agetinga</t>
  </si>
  <si>
    <t>Rener Oppong</t>
  </si>
  <si>
    <t>Reuben Asare Bediako</t>
  </si>
  <si>
    <t>Richmond Awotwe</t>
  </si>
  <si>
    <t>Robert Kofi Kyere</t>
  </si>
  <si>
    <t>Ruth Adwubi Sarfo</t>
  </si>
  <si>
    <t>Salamatu Salifu</t>
  </si>
  <si>
    <t>Samuel Osei-Asibey Bonsu</t>
  </si>
  <si>
    <t>Sofianu Umar</t>
  </si>
  <si>
    <t>Stella Adjei</t>
  </si>
  <si>
    <t>Theresa Sarpong Peprah</t>
  </si>
  <si>
    <t>Obeng Kwakye Kingsford Sarkodie</t>
  </si>
  <si>
    <t>Augustus Ababio-Donkor</t>
  </si>
  <si>
    <t>Eugene Appiah-Effa</t>
  </si>
  <si>
    <t>Charles Gyamfi</t>
  </si>
  <si>
    <t>Vida Acheampong</t>
  </si>
  <si>
    <t>Brako Blestmond Afrifa</t>
  </si>
  <si>
    <t>Amponsah Evans</t>
  </si>
  <si>
    <t>Miriam Appiah-Brempong</t>
  </si>
  <si>
    <t>Amedjoe Godfrey Chiri</t>
  </si>
  <si>
    <t>Anornu Geophrey Kwame</t>
  </si>
  <si>
    <t>Mensah Ebenezer</t>
  </si>
  <si>
    <t>Alfred Alan Duker</t>
  </si>
  <si>
    <t>Cosmas Yaw Asante</t>
  </si>
  <si>
    <t>Isaac Dadzie</t>
  </si>
  <si>
    <t>Anthony Arko-Adjei</t>
  </si>
  <si>
    <t>RICHARD GBENNEH</t>
  </si>
  <si>
    <t>ACQUAH FAUSTINE DARLINGTON</t>
  </si>
  <si>
    <t>HAWA MOHAMMED-AMEEN</t>
  </si>
  <si>
    <t>RHODA FREDUA WALTON</t>
  </si>
  <si>
    <t>PRINCE APPIAH</t>
  </si>
  <si>
    <t xml:space="preserve">JUSTICE ASARE  KWAKYE </t>
  </si>
  <si>
    <t xml:space="preserve">WILLIAMS OWUSU DARKO </t>
  </si>
  <si>
    <t xml:space="preserve">GENTLE TWUMASI ANKRAH </t>
  </si>
  <si>
    <t>KAAIB JOSEPHAT</t>
  </si>
  <si>
    <t>AUGUSTINE OFORI</t>
  </si>
  <si>
    <t>FRANCIS YAW ANAAFI</t>
  </si>
  <si>
    <t>SAMUEL AYINIMI AYINE</t>
  </si>
  <si>
    <t>CHRISTIAN ADANDE</t>
  </si>
  <si>
    <t>ADJO ABAKAI</t>
  </si>
  <si>
    <t>GAMAHA STEPHANIE</t>
  </si>
  <si>
    <t>SEIDU ABDURAMANI</t>
  </si>
  <si>
    <t>KPOGO YAW</t>
  </si>
  <si>
    <t>JACOB NSOBILA AKOLGO</t>
  </si>
  <si>
    <t>ALFRED ANNOBIL</t>
  </si>
  <si>
    <t>ATOGYIRE SPARATUS</t>
  </si>
  <si>
    <t>FLORENCE AZUMAH</t>
  </si>
  <si>
    <t>MARY ADDAI</t>
  </si>
  <si>
    <t>Jephtha Ogyefo Acquah</t>
  </si>
  <si>
    <t>Anita Dokuawah Nyarko</t>
  </si>
  <si>
    <t>Theophilus Ankomah</t>
  </si>
  <si>
    <t>Wilhememina Tackie</t>
  </si>
  <si>
    <t>Romeo Binfoh Owusu</t>
  </si>
  <si>
    <t>Joseph Gati</t>
  </si>
  <si>
    <t>Joseph Dela Aziafor</t>
  </si>
  <si>
    <t>Prudent Mawunyo Mensah</t>
  </si>
  <si>
    <t>Micheal Appiah Kusi</t>
  </si>
  <si>
    <t>Eltina adwoa Marfo</t>
  </si>
  <si>
    <t>Philemon Agyei</t>
  </si>
  <si>
    <t>Julius Mawuli Kornu</t>
  </si>
  <si>
    <t>VERONICA AGYEMANG</t>
  </si>
  <si>
    <t>NSM/fac</t>
  </si>
  <si>
    <t> HILDA BOAKYEWAA</t>
  </si>
  <si>
    <t>ERNESTINA OSAM DADZIE</t>
  </si>
  <si>
    <t>NSM/lc</t>
  </si>
  <si>
    <t>FRANCIS KORSAH</t>
  </si>
  <si>
    <t>FAUSTINA ADU</t>
  </si>
  <si>
    <t>GLADYS BAGODEBE WOLENTIRA</t>
  </si>
  <si>
    <t>LINDA ANSERE</t>
  </si>
  <si>
    <t>BEATRICE BOATENG</t>
  </si>
  <si>
    <t>RICHARD KWAME NTI</t>
  </si>
  <si>
    <t>PETER NSOBILA</t>
  </si>
  <si>
    <t>JANET NSIAH</t>
  </si>
  <si>
    <t>MABEL NANA YAA BONSU</t>
  </si>
  <si>
    <t>EVELYN AYI</t>
  </si>
  <si>
    <t>COMFORT BOAKYEWAA</t>
  </si>
  <si>
    <t>CHARLOTTE OFORI</t>
  </si>
  <si>
    <t>ADWOA POKUAA</t>
  </si>
  <si>
    <t> PATRICK OTOO</t>
  </si>
  <si>
    <t>NSM/plm</t>
  </si>
  <si>
    <t>FREDERICK ODURO</t>
  </si>
  <si>
    <t>DAVID OPPONG</t>
  </si>
  <si>
    <t>MAVIS ASOR NIMO</t>
  </si>
  <si>
    <t>ELLEN KONADU</t>
  </si>
  <si>
    <t>JANET OSEI</t>
  </si>
  <si>
    <t>SARAH BOADU</t>
  </si>
  <si>
    <t>BEATRICE DARKO</t>
  </si>
  <si>
    <t>EMELIA FORTWE</t>
  </si>
  <si>
    <t>CHRISTOPHER OSEI</t>
  </si>
  <si>
    <t>ROSEMOND OFORIWAA</t>
  </si>
  <si>
    <t>VICTORIA ANANE</t>
  </si>
  <si>
    <t>ABIGAIL SASU</t>
  </si>
  <si>
    <t>LINDA ADDO</t>
  </si>
  <si>
    <t>VERONICA MENYANU</t>
  </si>
  <si>
    <t>STELLA BOAKYE OHEMENG</t>
  </si>
  <si>
    <t>YAA ACHEAMPOMAA</t>
  </si>
  <si>
    <t>HANNAH OPUNI</t>
  </si>
  <si>
    <t>PHILOMINA ARTHUR</t>
  </si>
  <si>
    <t>EDWARD KOFI SAM</t>
  </si>
  <si>
    <t>KWADWO AMOAKO</t>
  </si>
  <si>
    <t>COSMOS AMOAH</t>
  </si>
  <si>
    <t>ALBERT KWARTENG GYAMFI</t>
  </si>
  <si>
    <t>HENRITTA AGYEI</t>
  </si>
  <si>
    <t>MOSES ADDO</t>
  </si>
  <si>
    <t>FRANCIS ANOKYE</t>
  </si>
  <si>
    <t>JOSEPHINE AMANKWAAH</t>
  </si>
  <si>
    <t>THERESAH OPOKU</t>
  </si>
  <si>
    <t>DEBORAH ANTWI</t>
  </si>
  <si>
    <t>LETICIA ANTHONY</t>
  </si>
  <si>
    <t>REBECCA NYAMEKYE</t>
  </si>
  <si>
    <t>FRANCISCA AMOAKOAH</t>
  </si>
  <si>
    <t>Venessa Addo</t>
  </si>
  <si>
    <t>Gloria Agyeiwaa</t>
  </si>
  <si>
    <t>AKU ANATUI</t>
  </si>
  <si>
    <t>EMELIA FOTWE</t>
  </si>
  <si>
    <t>RITA ODUM</t>
  </si>
  <si>
    <t>VOH-BAZAR BOARE</t>
  </si>
  <si>
    <t xml:space="preserve">KOFI YEBOAH ASIEDU-BINEY </t>
  </si>
  <si>
    <t>PAUL ADAZURU</t>
  </si>
  <si>
    <t>RUTH ATTA BENYAH</t>
  </si>
  <si>
    <t>END OF FIRST SEMESTER EXAMINATIONS 2024/2025 ACADEMIC YEAR</t>
  </si>
  <si>
    <t>JACOB YAW OTHERE</t>
  </si>
  <si>
    <t>NSM/elec</t>
  </si>
  <si>
    <t>ANDOH, PRINCE YAW</t>
  </si>
  <si>
    <t>SM/HOD</t>
  </si>
  <si>
    <t>ASIEDU, NANA YAW</t>
  </si>
  <si>
    <t>ABDUL-RAHMAN AHMED</t>
  </si>
  <si>
    <t>APPIAH-ADJEI, EMMANUEL KWAME</t>
  </si>
  <si>
    <t>SM/VD/HOD</t>
  </si>
  <si>
    <t>KWADWO MENSAH-DARKWA</t>
  </si>
  <si>
    <t>SM/VD</t>
  </si>
  <si>
    <t>AKOWUAH, EMMANUEL KOFI</t>
  </si>
  <si>
    <t>QUAYE-BALLARD, JONATHAN ARTHUR</t>
  </si>
  <si>
    <t>JOSEPH OPPONG AKOWUAH</t>
  </si>
  <si>
    <t>RICHARD BUAMAH</t>
  </si>
  <si>
    <t>FRANCIS EFFAH BOAFO</t>
  </si>
  <si>
    <t>SOKAMA-NEUYAM, YEN ADAMS</t>
  </si>
  <si>
    <t>EMMANUEL GIKUNOO</t>
  </si>
  <si>
    <t>AGYEMANG, FRANK OFORI</t>
  </si>
  <si>
    <t>SM/CEO</t>
  </si>
  <si>
    <t>ROCKSON, MIZPAH AMA DZIEDZORM</t>
  </si>
  <si>
    <t>ISAACH ACQUAH</t>
  </si>
  <si>
    <t>SM/FCEO</t>
  </si>
  <si>
    <t>SANI MUBARAK ELLIS</t>
  </si>
  <si>
    <t>SM/FEO</t>
  </si>
  <si>
    <t>DANIEL ADJAH ANANG</t>
  </si>
  <si>
    <t>SOLOMON SENYO ROBERT GIDIGASU</t>
  </si>
  <si>
    <t>ANTHONY ANDREWS</t>
  </si>
  <si>
    <t>KWAME OTENG GYASI</t>
  </si>
  <si>
    <t>SM/CC</t>
  </si>
  <si>
    <t xml:space="preserve">OPARE KWASI ADU-BOAHEN </t>
  </si>
  <si>
    <t>DANIEL OPOKU</t>
  </si>
  <si>
    <t>YAW ASARE MENSAH</t>
  </si>
  <si>
    <t>MICHAEL NII SACKEY</t>
  </si>
  <si>
    <t>GODFRED OHEMENG-BOAHEN</t>
  </si>
  <si>
    <t>SM/DEO</t>
  </si>
  <si>
    <t>MARTINSON ADDO NARTEY</t>
  </si>
  <si>
    <t>SAMUEL BOAHEN</t>
  </si>
  <si>
    <t xml:space="preserve">KOFI OWURA AMOABENG </t>
  </si>
  <si>
    <t>JACK BANAHENE OSEI</t>
  </si>
  <si>
    <t>MATHEW WILSON COFFIE</t>
  </si>
  <si>
    <t>KWAME OPUNI-BOACHIE OBOUR AGYEKUM</t>
  </si>
  <si>
    <t>CASPER DANIEL ADENUTSI</t>
  </si>
  <si>
    <t>SAMUEL OSAH</t>
  </si>
  <si>
    <t>SM/QAPU</t>
  </si>
  <si>
    <t>ELIZABETH ANOKYEWAAH SARFO FORDJOUR</t>
  </si>
  <si>
    <t>SM/COUN.</t>
  </si>
  <si>
    <t>BESSAH, ENOCH</t>
  </si>
  <si>
    <t>SM/Mark</t>
  </si>
  <si>
    <t>CHARKLEY, FREDERICK NAI</t>
  </si>
  <si>
    <t xml:space="preserve">ASIGRI, PETER </t>
  </si>
  <si>
    <t>JONES OWUSU TWUMASI</t>
  </si>
  <si>
    <t>AYUBA BENE ADAM</t>
  </si>
  <si>
    <t>EFIBA VIDDA SENKYIRE KWARTENG</t>
  </si>
  <si>
    <t>SAMUEL ERZUAH</t>
  </si>
  <si>
    <t>THERESA-SAMUELLA M.A.ADJAIDOO</t>
  </si>
  <si>
    <t>JUSTICE OWUSU AGYEMANG</t>
  </si>
  <si>
    <t>CHARLES MAWUTOR ADRAH</t>
  </si>
  <si>
    <t>LENA DZIFA MENSAH</t>
  </si>
  <si>
    <t>Ebella Judith  Harrison</t>
  </si>
  <si>
    <t>CLIFF OBIRI SEPAH</t>
  </si>
  <si>
    <t>EVELYN AGGREY-SMITH</t>
  </si>
  <si>
    <t>PATRICIA AMOAH YIRENKYI</t>
  </si>
  <si>
    <t>John Kwesi Afriyie</t>
  </si>
  <si>
    <t>Mercy Boakye</t>
  </si>
  <si>
    <t>Ernest Kofi Nduako</t>
  </si>
  <si>
    <t>Malick Ebiasah</t>
  </si>
  <si>
    <t>Rockson Minkah Ofori</t>
  </si>
  <si>
    <t>Morris Akwasi Gyamfi</t>
  </si>
  <si>
    <t>Isaiah Amponsah</t>
  </si>
  <si>
    <t>Abdul-Basit Nuhu</t>
  </si>
  <si>
    <t>Ibrahim Arhin</t>
  </si>
  <si>
    <t>Berniana John Akwetey</t>
  </si>
  <si>
    <t>Kwabena Owusu-Osei</t>
  </si>
  <si>
    <t>James Yaw Segabor</t>
  </si>
  <si>
    <t>Akosua Agyapong Adubea</t>
  </si>
  <si>
    <t>John Kwesi Baidoo</t>
  </si>
  <si>
    <t>Lawrence Otoo</t>
  </si>
  <si>
    <t>Mohammed Huzaif</t>
  </si>
  <si>
    <t>SM/HOD/CC</t>
  </si>
  <si>
    <t>NSM/Lib</t>
  </si>
  <si>
    <t>ISSAKA ALI SAMBO</t>
  </si>
  <si>
    <t>SAMPSON ASANTE</t>
  </si>
  <si>
    <t>NSM/elec-ass</t>
  </si>
  <si>
    <t>CYRIL D. BOATENG</t>
  </si>
  <si>
    <t>JOSHUA K. K. ASAMOAH</t>
  </si>
  <si>
    <t>ROBERT K. ACQUAH</t>
  </si>
  <si>
    <t>ROSEMARY M. GEYNING</t>
  </si>
  <si>
    <t>REINDORF N. BORKOR</t>
  </si>
  <si>
    <t>HENRY MARTIN</t>
  </si>
  <si>
    <t>JEFFREY N. A. ARYEE</t>
  </si>
  <si>
    <t>PRINCE A. KWABI</t>
  </si>
  <si>
    <t>LILIAN SARPONG</t>
  </si>
  <si>
    <t>RHYDAL E. EGHAN</t>
  </si>
  <si>
    <t>KATE TAKYI</t>
  </si>
  <si>
    <t>Nancy Anakaba K. Dzikunu-Bansah</t>
  </si>
  <si>
    <t>Benedict Barnes</t>
  </si>
  <si>
    <t>Joshua Kiddy Kwesi Asamoah</t>
  </si>
  <si>
    <t>Lawtol Adu-Ansah</t>
  </si>
  <si>
    <t>ALBERT ASARE</t>
  </si>
  <si>
    <t>Abigail Akos Worlanyo</t>
  </si>
  <si>
    <t>Adom Ebenezer</t>
  </si>
  <si>
    <t>Selina Kekiebesi-Swatson</t>
  </si>
  <si>
    <t>Adzase John Yaw</t>
  </si>
  <si>
    <t>Boateng Queenstar Pokuaa</t>
  </si>
  <si>
    <t>Lydia Asante-Mensah</t>
  </si>
  <si>
    <t>Ohene Lawrencia</t>
  </si>
  <si>
    <t>Patrick Sam</t>
  </si>
  <si>
    <t>Benjamin Afotey</t>
  </si>
  <si>
    <t>Emmanuel Yourkuu</t>
  </si>
  <si>
    <t>Isaac Doughan</t>
  </si>
  <si>
    <t>Alhassan Abdul-Ganiyu</t>
  </si>
  <si>
    <t>Oteiku-Boadu Nana Kwadwo</t>
  </si>
  <si>
    <t>Welbeck Manu Bio</t>
  </si>
  <si>
    <t>Gadrich Amuetei Ayitey</t>
  </si>
  <si>
    <t>Okoe Kojo Felix Randy</t>
  </si>
  <si>
    <t>Kwame Moses</t>
  </si>
  <si>
    <t>Derrick Mawusi</t>
  </si>
  <si>
    <t>Issah Abdul Ganiwu Geve</t>
  </si>
  <si>
    <t xml:space="preserve">Akambisa Julius </t>
  </si>
  <si>
    <t xml:space="preserve">Agbe Setordzi Gameli </t>
  </si>
  <si>
    <t>Williams Ananzoyaa Akandi</t>
  </si>
  <si>
    <t>Gortlieb Nyarko Mate-Kole</t>
  </si>
  <si>
    <t>Ankomah Kwame</t>
  </si>
  <si>
    <t>Amy Amudzi-Deku</t>
  </si>
  <si>
    <t>Kate Boadi</t>
  </si>
  <si>
    <t>Enenezer Ekuful</t>
  </si>
  <si>
    <t xml:space="preserve">Theophilus Ankomah </t>
  </si>
  <si>
    <t>RAYMOND AYINE ABOSO</t>
  </si>
  <si>
    <t>NSM/nurse/comp.</t>
  </si>
  <si>
    <t>AUGUSINE AKANTAA ROLAND</t>
  </si>
  <si>
    <t>AMAKYE EMMANUELLA</t>
  </si>
  <si>
    <t>Benard A. Ampofo</t>
  </si>
  <si>
    <t>Mercy Afriyie Siaw Nimako</t>
  </si>
  <si>
    <t xml:space="preserve">Amisah Nana Ama </t>
  </si>
  <si>
    <t xml:space="preserve">Egyir Bernard </t>
  </si>
  <si>
    <t>David Kabutey Akuaku</t>
  </si>
  <si>
    <t>Kwadwo Andoh Owusu</t>
  </si>
  <si>
    <t>James Yaw Segeor</t>
  </si>
  <si>
    <t>Alfred Adjei Mends</t>
  </si>
  <si>
    <t>Acquah Freebody</t>
  </si>
  <si>
    <t>STAFF ID</t>
  </si>
  <si>
    <t>CS19</t>
  </si>
  <si>
    <t>CS36</t>
  </si>
  <si>
    <t>CS70</t>
  </si>
  <si>
    <t>CS71</t>
  </si>
  <si>
    <t>EMMANUELA KWAO-BOATENG</t>
  </si>
  <si>
    <t>ERIC AMOAH ASANTE</t>
  </si>
  <si>
    <t>EUNICE SEFAKOR AKU DOGBE</t>
  </si>
  <si>
    <t>Nicholas Kwesi Prah II</t>
  </si>
  <si>
    <t>Russel Owusu Afrifa</t>
  </si>
  <si>
    <t>Yaw Opoku Mensah Sekyere</t>
  </si>
  <si>
    <t>Akwesi Afrifa Acheampong</t>
  </si>
  <si>
    <t>Felix Jojo Fianko Ayeh</t>
  </si>
  <si>
    <t>Andrew Cudzo Amenuvor</t>
  </si>
  <si>
    <t>Prosper Aduah Akaba</t>
  </si>
  <si>
    <t>Bernard Konadu Amoah</t>
  </si>
  <si>
    <t xml:space="preserve">MATTHEW C. WILSON </t>
  </si>
  <si>
    <t>James Atitso</t>
  </si>
  <si>
    <t>Boakye Jennifer kyeremeh</t>
  </si>
  <si>
    <t>Francis Kofi Forson</t>
  </si>
  <si>
    <t>Yesuanyeagbe Kwabla Fiagbe</t>
  </si>
  <si>
    <t>Anthony Agyei-Agyemang</t>
  </si>
  <si>
    <t xml:space="preserve"> Kofi Owura Amoabeng</t>
  </si>
  <si>
    <t>Lena Dzifa Mensah</t>
  </si>
  <si>
    <t>Charles Kafui Sekyere</t>
  </si>
  <si>
    <t>Dennis Edem Dzebre</t>
  </si>
  <si>
    <t>Michael Nii Sackey</t>
  </si>
  <si>
    <t>Faisal Wahab Adam</t>
  </si>
  <si>
    <t xml:space="preserve">David Mingle </t>
  </si>
  <si>
    <t>Helen Okai</t>
  </si>
  <si>
    <t>Bentum Kofi</t>
  </si>
  <si>
    <t>Duke Larbi</t>
  </si>
  <si>
    <t>Cornelius Godwin</t>
  </si>
  <si>
    <t>Abigail Aboagye</t>
  </si>
  <si>
    <t>Raphael Bello</t>
  </si>
  <si>
    <t>Hawa Salia Ouattara</t>
  </si>
  <si>
    <t>Raymond Noagbe</t>
  </si>
  <si>
    <t>Francis B. Effah</t>
  </si>
  <si>
    <t>Yaw Opkoku Mensah Sekyere</t>
  </si>
  <si>
    <t>Nicholas Prah II</t>
  </si>
  <si>
    <t>Lawrence Keklem Yevudza</t>
  </si>
  <si>
    <t>Abigail Opoku Sarpong</t>
  </si>
  <si>
    <t>Prince Yao Adzikah</t>
  </si>
  <si>
    <t>Gabriel Nii Okai Yartey</t>
  </si>
  <si>
    <t>Emmanuel Adzi-Tay</t>
  </si>
  <si>
    <t>Bome Polycarp</t>
  </si>
  <si>
    <t>Wundabli Abdulai</t>
  </si>
  <si>
    <t>Tunteiya Katumi Ahassan</t>
  </si>
  <si>
    <t>Kelvin Delali Ketsey</t>
  </si>
  <si>
    <t>Nathaniel Dordoye</t>
  </si>
  <si>
    <t>Albert Kudzordi</t>
  </si>
  <si>
    <t>Vicentia Appiah Adjei</t>
  </si>
  <si>
    <t>David Newero Bawiina</t>
  </si>
  <si>
    <t>Emelia Agyemang Yeboah</t>
  </si>
  <si>
    <t>Kingsley Wanna</t>
  </si>
  <si>
    <t>Bezaleel Nana Akrasi Gyedu-Ware</t>
  </si>
  <si>
    <t>Kwame K. Sarpong</t>
  </si>
  <si>
    <t>Francis Brain Essien</t>
  </si>
  <si>
    <t>Bushira Zakaria</t>
  </si>
  <si>
    <t>Kusi Christabel Boatemaa</t>
  </si>
  <si>
    <t>Akamah Edmond</t>
  </si>
  <si>
    <t>Ahinakwa Shiela</t>
  </si>
  <si>
    <t>Adjei Ethel Agyeiwaa</t>
  </si>
  <si>
    <t>Emmanuel Kofi Akowuah</t>
  </si>
  <si>
    <t>Kwame O Boateng</t>
  </si>
  <si>
    <t xml:space="preserve">5pks </t>
  </si>
  <si>
    <t>Tuesday, 7 April 2026</t>
  </si>
  <si>
    <t>Wednesday, 8 April 2026</t>
  </si>
  <si>
    <t>Thursday, 9 April 2026</t>
  </si>
  <si>
    <t>Friday, 10 April 2026</t>
  </si>
  <si>
    <t>Monday, 13 April 2026</t>
  </si>
  <si>
    <t>Tuesday, 14 April 2026</t>
  </si>
  <si>
    <t>Wednesday, 15 April 2026</t>
  </si>
  <si>
    <t>Thursday, 16 April 2026</t>
  </si>
  <si>
    <t>Friday, 17 April 2026</t>
  </si>
  <si>
    <t>Monday, 20 April 2026</t>
  </si>
  <si>
    <t>Tuesday, 21 April 2026</t>
  </si>
  <si>
    <t>Wednesday, 22 April 2026</t>
  </si>
  <si>
    <t>Thursday, 23 April 2026</t>
  </si>
  <si>
    <t>Friday, 24 April 2026</t>
  </si>
  <si>
    <t>David Benteh</t>
  </si>
  <si>
    <t>Benjamin Asante</t>
  </si>
  <si>
    <t>Dzikunu Perseverance</t>
  </si>
  <si>
    <t>ED1-PE</t>
  </si>
  <si>
    <t>ED2-PE</t>
  </si>
  <si>
    <t>ED3-PE</t>
  </si>
  <si>
    <t>ED4-PE</t>
  </si>
  <si>
    <t>TE 465</t>
  </si>
  <si>
    <t>PROGRAMMING AND PROBLEM SOLVING</t>
  </si>
  <si>
    <t>F2</t>
  </si>
  <si>
    <t>M3</t>
  </si>
  <si>
    <t>TE 451</t>
  </si>
  <si>
    <t>TE 457</t>
  </si>
  <si>
    <t>TE 463</t>
  </si>
  <si>
    <t>TE 455</t>
  </si>
  <si>
    <t>TE 453</t>
  </si>
  <si>
    <t>EE 265</t>
  </si>
  <si>
    <t>INTRODUCTION TO RURAL SOCIOLOGY</t>
  </si>
  <si>
    <t>AERO 493</t>
  </si>
  <si>
    <t>AERO 497</t>
  </si>
  <si>
    <t>ME 499</t>
  </si>
  <si>
    <t>AE 497</t>
  </si>
  <si>
    <t>AE 499</t>
  </si>
  <si>
    <t>AI 150</t>
  </si>
  <si>
    <t>AME 295</t>
  </si>
  <si>
    <t>AME 379</t>
  </si>
  <si>
    <t>AME 381</t>
  </si>
  <si>
    <t>AME 479</t>
  </si>
  <si>
    <t>AME 495</t>
  </si>
  <si>
    <t>AME 497</t>
  </si>
  <si>
    <t>BME 291</t>
  </si>
  <si>
    <t>BME 265</t>
  </si>
  <si>
    <t>BME 497</t>
  </si>
  <si>
    <t>BME 499</t>
  </si>
  <si>
    <t>CHE 355</t>
  </si>
  <si>
    <t>CHE 453</t>
  </si>
  <si>
    <t>CE 361</t>
  </si>
  <si>
    <t>CE 391</t>
  </si>
  <si>
    <t>CE 481</t>
  </si>
  <si>
    <t>CE 495</t>
  </si>
  <si>
    <t>CE 497</t>
  </si>
  <si>
    <t>COE 291</t>
  </si>
  <si>
    <t>COE 451</t>
  </si>
  <si>
    <t>COE 497</t>
  </si>
  <si>
    <t>COE 499</t>
  </si>
  <si>
    <t>EE 291</t>
  </si>
  <si>
    <t>TE 271</t>
  </si>
  <si>
    <t>EE 489</t>
  </si>
  <si>
    <t>EE 497</t>
  </si>
  <si>
    <t>GED 471</t>
  </si>
  <si>
    <t>GED 457</t>
  </si>
  <si>
    <t>GE 491</t>
  </si>
  <si>
    <t>IE 395</t>
  </si>
  <si>
    <t>IE 453</t>
  </si>
  <si>
    <t>IE 463</t>
  </si>
  <si>
    <t>MME 495</t>
  </si>
  <si>
    <t>MME 497</t>
  </si>
  <si>
    <t>MSE 459</t>
  </si>
  <si>
    <t>MSE 497</t>
  </si>
  <si>
    <t>ME 395</t>
  </si>
  <si>
    <t>ME 471</t>
  </si>
  <si>
    <t>ME 497</t>
  </si>
  <si>
    <t>MECH 493</t>
  </si>
  <si>
    <t>METE 455</t>
  </si>
  <si>
    <t>METE 497</t>
  </si>
  <si>
    <t>PCE 453</t>
  </si>
  <si>
    <t>PE 453</t>
  </si>
  <si>
    <t>PE 457</t>
  </si>
  <si>
    <t>PE 465</t>
  </si>
  <si>
    <t>PE 471</t>
  </si>
  <si>
    <t>TE 291</t>
  </si>
  <si>
    <t>TE 391</t>
  </si>
  <si>
    <t>TE 459</t>
  </si>
  <si>
    <t>TE 497</t>
  </si>
  <si>
    <t>ENGINEERING MECHANICS II:DYNAMICS</t>
  </si>
  <si>
    <t>AEROSPACE VEHICLE DESIGN</t>
  </si>
  <si>
    <t>AVIONICS</t>
  </si>
  <si>
    <t>AVIATION BUSINESS MANAGEMENT</t>
  </si>
  <si>
    <t>AEROSPACE ENGINEERING VACATION TRAINING III</t>
  </si>
  <si>
    <t>AIRCRAFT MAINTENANCE ENGINEERING</t>
  </si>
  <si>
    <t>PROJECT I</t>
  </si>
  <si>
    <t>BEHAVIOUR OF REAL FLUIDS</t>
  </si>
  <si>
    <t>COMPUTER AIDED DESIGN AND MANUFACTURING</t>
  </si>
  <si>
    <t>OPERATIONS RESEARCH</t>
  </si>
  <si>
    <t>AGRIC. METEOROLOGY AND CLIMATOLOGY</t>
  </si>
  <si>
    <t>ENGINEERING TECHNOLOGY I</t>
  </si>
  <si>
    <t>FLUID MECHANICS I</t>
  </si>
  <si>
    <t>APPLICATIONS OF COMPUTER GRAPHICS</t>
  </si>
  <si>
    <t>THERMODYNAMICS I</t>
  </si>
  <si>
    <t>SOIL AND WATER ENGINEERING</t>
  </si>
  <si>
    <t>AGRICULTURAL MATERIALS HANDLING AND PROCESSING</t>
  </si>
  <si>
    <t>MACHINE DESIGN I</t>
  </si>
  <si>
    <t>COMPUTER APPLICATION FOR AGRICULTURAL ENGINEERS</t>
  </si>
  <si>
    <t>STRENGTH OF MATERIALS II</t>
  </si>
  <si>
    <t>THERMODYNAMICS  II</t>
  </si>
  <si>
    <t>IRRIGATION AND DRAINAGE</t>
  </si>
  <si>
    <t>ENVIRONMENTAL CONTROL AND LIVESTOCK HOUSING</t>
  </si>
  <si>
    <t>CROP PROCESSING</t>
  </si>
  <si>
    <t>ADVANCED FARM POWER AND MACHINERY</t>
  </si>
  <si>
    <t>FARM STRUCTURES</t>
  </si>
  <si>
    <t>ENGINEERING ECONOMICS AND MANAGEMENT</t>
  </si>
  <si>
    <t>VACATION TRAINING</t>
  </si>
  <si>
    <t>FUNDAMENTALS OF RESPONSIBLE AI FOR ALL</t>
  </si>
  <si>
    <t>COMPUTER PROGRAMMING FOR ENGINEERS</t>
  </si>
  <si>
    <t xml:space="preserve">INTRODUCTION TO ECONOMICS </t>
  </si>
  <si>
    <t xml:space="preserve">ENGINEERING TECHNOLOGY </t>
  </si>
  <si>
    <t>AUTOMOBILE ENGINEERING LABORATORY I</t>
  </si>
  <si>
    <t>HEAT TRANSFER AND COMBUSTION</t>
  </si>
  <si>
    <t>LAND VEHICLE DESIGN</t>
  </si>
  <si>
    <t>DESIGN OF AUTO MECHANICAL SYSTEMS</t>
  </si>
  <si>
    <t>AUTOMOBILE ENGINEERING VACATION TRAINING I</t>
  </si>
  <si>
    <t>AUTOMOTIVE WORKSHOP PRACTICE I</t>
  </si>
  <si>
    <t>AUTOMOBILE ENGINEERING LABORATORY III</t>
  </si>
  <si>
    <t>DYNAMICS OF MACHINERY</t>
  </si>
  <si>
    <t>VEHICLE AIR-CONDITIONING AND REFRIGERATION</t>
  </si>
  <si>
    <t>AUTOMOTIVE COMPRESSION-IGNITION ENGINES</t>
  </si>
  <si>
    <t>AUTOMOBILE ENGINEERING VACATION TRAINING II</t>
  </si>
  <si>
    <t>AUTOMATIC POWER TRAIN</t>
  </si>
  <si>
    <t>AUTOMOTIVE WORKSHOP PRACTICE II</t>
  </si>
  <si>
    <t>FINAL YEAR PROJECT I</t>
  </si>
  <si>
    <t>HYDRAULICS AND PNEUMATICS</t>
  </si>
  <si>
    <t>ENGINEERING ECONOMY AND MANAGEMENT</t>
  </si>
  <si>
    <t>CELL BIOLOGY</t>
  </si>
  <si>
    <t>GENERAL CHEMISTRY</t>
  </si>
  <si>
    <t>ENGINEERING TECHNOLOGY</t>
  </si>
  <si>
    <t>BASIC MECHANICS</t>
  </si>
  <si>
    <t>BIOMEDICAL ENGINEERING LAB I</t>
  </si>
  <si>
    <t>BIOLOGICAL TRANSPORT PHENOMENA</t>
  </si>
  <si>
    <t>FINANCIAL ACCOUNTING I</t>
  </si>
  <si>
    <t>ANATOMY AND PHYSIOLOGY FOR ENGINEERS I</t>
  </si>
  <si>
    <t>SEMICONDUCTOR DEVICES</t>
  </si>
  <si>
    <t>INTRODUCTORY ECONOMICS I</t>
  </si>
  <si>
    <t>FRENCH FOR COMMUNICATION PURPOSES I</t>
  </si>
  <si>
    <t>RESEARCH METHODS</t>
  </si>
  <si>
    <t>LINEAR ELECTRONIC CIRCUITS</t>
  </si>
  <si>
    <t>MICROPROCESSORS</t>
  </si>
  <si>
    <t>NUMERICAL METHODS</t>
  </si>
  <si>
    <t>SIGNALS AND SYSTEMS</t>
  </si>
  <si>
    <t>CLASSICAL CONTROL SYSTEMS</t>
  </si>
  <si>
    <t>MEDICAL IMAGING II</t>
  </si>
  <si>
    <t>BIOMECHANICS I</t>
  </si>
  <si>
    <t>BIOMATERIALS II</t>
  </si>
  <si>
    <t>BIOINSTRUMENTATION II</t>
  </si>
  <si>
    <t>INORGANIC CHEMISTRY FOR ENGINEERS</t>
  </si>
  <si>
    <t>ORGANIC CHEMISTRY FOR ENGINEERS</t>
  </si>
  <si>
    <t>PRACTICAL CHEMISTRY I</t>
  </si>
  <si>
    <t>EXPERIMENTAL DATA ANALYSIS</t>
  </si>
  <si>
    <t>CHEMICAL ENGINEERING LABORATORY I</t>
  </si>
  <si>
    <t>MASS TRANSFER PROCESSES</t>
  </si>
  <si>
    <t>PROCESS ENGINEERING PROJECT I</t>
  </si>
  <si>
    <t>MECHANICAL SEPARATION PROCESSES</t>
  </si>
  <si>
    <t>SILICATE TECHNOLOGY I</t>
  </si>
  <si>
    <t>CHEMICAL PROCESS DESIGN AND ECONOMICS</t>
  </si>
  <si>
    <t>PLANT DESIGN PROJECT I</t>
  </si>
  <si>
    <t>PROCESS CONTROL AND INSTRUMENTATION</t>
  </si>
  <si>
    <t>CHEMICAL ENGINEERING LABORATORY II</t>
  </si>
  <si>
    <t>SAFETY AND POLLUTION CONTROL</t>
  </si>
  <si>
    <t>COMPUTER OPTIMIZATION METHOD</t>
  </si>
  <si>
    <t>CLIMATE AND ARCHITECTURE</t>
  </si>
  <si>
    <t>ELEMENTARY STRUCTURES</t>
  </si>
  <si>
    <t>ENGINEERING PRACTICE AND TECHNOLOGY</t>
  </si>
  <si>
    <t>STRENGTH OF MATERIALS</t>
  </si>
  <si>
    <t>THEORY OF STRUCTURES</t>
  </si>
  <si>
    <t>COMPUTER PROGRAMMING</t>
  </si>
  <si>
    <t>ENGINEERING GEOLOGY</t>
  </si>
  <si>
    <t>ENGINEERING REPORTING</t>
  </si>
  <si>
    <t>REINFORCED CONCRETE DESIGN</t>
  </si>
  <si>
    <t>HYDROLOGY</t>
  </si>
  <si>
    <t>SOIL MECHANICS</t>
  </si>
  <si>
    <t>SOIL MECHANICS LABORATORY</t>
  </si>
  <si>
    <t>TRANSPORTATION ENGINEERING I</t>
  </si>
  <si>
    <t>TRAFFIC ENGINEERING LABORATORY</t>
  </si>
  <si>
    <t>ENGINEERING SURVEYING I</t>
  </si>
  <si>
    <t>STRUCTURAL ENGINEERING I</t>
  </si>
  <si>
    <t>DRAINAGE SYSTEMS</t>
  </si>
  <si>
    <t>ENGINEERING ECONOMY AND ENTERPRENEURSHIP</t>
  </si>
  <si>
    <t>WATER AND WASTE WATER ENGINEERING</t>
  </si>
  <si>
    <t>HIGHWAY ENGINEERING II</t>
  </si>
  <si>
    <t>IRRIGATION AND DRAINAGE ENGINEERING</t>
  </si>
  <si>
    <t>DEVELOPMENT ENGINEERING</t>
  </si>
  <si>
    <t>SYSTEMS ENGINEERING I</t>
  </si>
  <si>
    <t>GEOTECHNICAL ENGINEERING I</t>
  </si>
  <si>
    <t>ENGINEERING AND ENVIRONMENTAL GEOPHYSICS</t>
  </si>
  <si>
    <t>RESEARCH PROJECT I</t>
  </si>
  <si>
    <t>CIVIL ENGINEERING DESIGN</t>
  </si>
  <si>
    <t>DISCRETE STRUCTURES</t>
  </si>
  <si>
    <t>COMMUNICATION SYSTEMS</t>
  </si>
  <si>
    <t>COMPUTER ENGINEERING LAB. I</t>
  </si>
  <si>
    <t>ELEMENTS OF ECONOMICS I</t>
  </si>
  <si>
    <t>COMPUTER GRAPHICS</t>
  </si>
  <si>
    <t>DISTRIBUTED COMPUTING</t>
  </si>
  <si>
    <t>ARTIFICIAL INTELLIGENCE</t>
  </si>
  <si>
    <t>COMPUTER NETWORKING</t>
  </si>
  <si>
    <t>COMPUTER ARCHITECTURE</t>
  </si>
  <si>
    <t>PROJECT 1</t>
  </si>
  <si>
    <t>ELECTRICAL ENGINEERING TECHNOLOGY WITH MATLAB</t>
  </si>
  <si>
    <t>TRANSFORMERS</t>
  </si>
  <si>
    <t>OCCUPATIONAL HEALTH AND SAFETY</t>
  </si>
  <si>
    <t>C PROGRAMMING</t>
  </si>
  <si>
    <t>DC MACHINES</t>
  </si>
  <si>
    <t>ELECTRICAL ENGINEERING LAB. I</t>
  </si>
  <si>
    <t>ELECTRICAL SERVICES DESIGN</t>
  </si>
  <si>
    <t>POWER GENERATION  AND SUPPLY</t>
  </si>
  <si>
    <t>ANALOG COMMUNICATION SYSTEMS</t>
  </si>
  <si>
    <t>SPECIAL ELECTRICAL MACHINES</t>
  </si>
  <si>
    <t>POWER SYSTEMS OPERATION AND CONTROL</t>
  </si>
  <si>
    <t>INDUSTRIAL TRAINING</t>
  </si>
  <si>
    <t>WIRELESS DATA COMMUNICATION NETWORK</t>
  </si>
  <si>
    <t>BASIC GEOLOGY</t>
  </si>
  <si>
    <t>MINERALOGY</t>
  </si>
  <si>
    <t>PHYSICAL GEOLOGY</t>
  </si>
  <si>
    <t>PETROLOGY</t>
  </si>
  <si>
    <t>BASIC HYDROLOGY</t>
  </si>
  <si>
    <t>GEOLOGICAL FIELD MAPPPING</t>
  </si>
  <si>
    <t>PHOTOGEOLOGY AND REMOTE SENSING</t>
  </si>
  <si>
    <t>PRINCIPLES OF ENGINEERING GEOLOGY</t>
  </si>
  <si>
    <t>EXPLORATION GEOPHYSICS</t>
  </si>
  <si>
    <t>REGIONAL GEOLOGY</t>
  </si>
  <si>
    <t>EXPLORATION GEOCHEMISTRY</t>
  </si>
  <si>
    <t>ENGINEERING GEOLOGICAL INVESTIGATIONS</t>
  </si>
  <si>
    <t>PRINCIPLES OF HYDROGEOLOGY</t>
  </si>
  <si>
    <t>CARTOGRAPHY I</t>
  </si>
  <si>
    <t>BASIC SURVEY PRINCIPLES I</t>
  </si>
  <si>
    <t>APPLIED OPTICS</t>
  </si>
  <si>
    <t>PRINCIPLES OF PHOTOGRAMMETRY</t>
  </si>
  <si>
    <t>FIELD AND GEODETIC ASTRONOMY</t>
  </si>
  <si>
    <t>INFORMATION SCIENCE AND PROGRAMMING</t>
  </si>
  <si>
    <t>BASIC PHYSICAL GEODESY</t>
  </si>
  <si>
    <t>HIGHWAY AND TRANSPORTATION ENGINEERING I</t>
  </si>
  <si>
    <t>STEREO PHOTOGRAMMETRY</t>
  </si>
  <si>
    <t>GEOMETRICAL GEODESY</t>
  </si>
  <si>
    <t>IMAGE PROCESSING AND INTERPRETATION</t>
  </si>
  <si>
    <t>SURVEY ADJUSTMENT I</t>
  </si>
  <si>
    <t>ENG ECONOMY AND ENTERPRENEURSHIP DEVELOPMENT</t>
  </si>
  <si>
    <t>GEODETIC SURVEYING II</t>
  </si>
  <si>
    <t>CADASTRAL SURVEYING</t>
  </si>
  <si>
    <t>LAND AND GEOGRAPHIC INFORMATION SYSTEM I</t>
  </si>
  <si>
    <t>INDUSTRIAL ENGINEERING LABORATORY I</t>
  </si>
  <si>
    <t>OPERATIONS RESEARCH I</t>
  </si>
  <si>
    <t>DISCRETE EVENT SIMULATION</t>
  </si>
  <si>
    <t>PROJECT MANAGEMENT</t>
  </si>
  <si>
    <t>PROCESS PLANNING SYSTEMS</t>
  </si>
  <si>
    <t>ENGINEERING WORK STUDY</t>
  </si>
  <si>
    <t>ETHICS, CONTRACT &amp; PRODUCT LIABILITY LAW</t>
  </si>
  <si>
    <t>SUPERVISED INDUSTRIAL WORK EXPERIENCE</t>
  </si>
  <si>
    <t>FACILITIES DESIGN AND MATERIAL HANDLING</t>
  </si>
  <si>
    <t>INDUSTRIAL ENGINNERING LAB IV</t>
  </si>
  <si>
    <t>COSTING AND BREAK-EVEN ANALYSIS</t>
  </si>
  <si>
    <t>ADVANCED MANUFACTURING TECHNOLOGY II</t>
  </si>
  <si>
    <t>RISK ANALYSIS</t>
  </si>
  <si>
    <t>INDUSTRIAL SAFETY AND MANUFACTURING RELATIONS</t>
  </si>
  <si>
    <t>INTRODUCTION TO OCEANOGRAPHY</t>
  </si>
  <si>
    <t>MARINE ENGINEERING TECHNOLOGY</t>
  </si>
  <si>
    <t>MARINE ENGINEERING MATERIALS</t>
  </si>
  <si>
    <t>ECONOMICS AND COMMERCIAL GEOGRAPHY</t>
  </si>
  <si>
    <t>FUNDAMENTALS OF ACQUATIC SKILLS</t>
  </si>
  <si>
    <t>MARINE ELECTRICAL TECHNOLOGY</t>
  </si>
  <si>
    <t>BASIC SHIP STRUCTURE</t>
  </si>
  <si>
    <t>ENGINEERING THERMODYNAMICS</t>
  </si>
  <si>
    <t>DESIGN OF MARINE MACHINE ELEMENTS</t>
  </si>
  <si>
    <t>MARINE ENGINEERING LABORATORY II</t>
  </si>
  <si>
    <t>MARINE AIR CONDITIONING AND REFRIGERATION</t>
  </si>
  <si>
    <t>MARINE INTERNAL COMBUSTION ENGINES</t>
  </si>
  <si>
    <t>MARINE MACHINERY SYSTEM DESIGN</t>
  </si>
  <si>
    <t>MARINE ENGINEERING ECONOMY, ACCOUNTING AND MANAGEMENT</t>
  </si>
  <si>
    <t>MARINE ENGINEERING PRACTICAL</t>
  </si>
  <si>
    <t>INTRODUCTION TO THERMODYNAMICS OF MATERIALS</t>
  </si>
  <si>
    <t>PRINCIPLES OF MATERIALS SCIENCE</t>
  </si>
  <si>
    <t>MOMENTUM TRANSPORT</t>
  </si>
  <si>
    <t>MECHANICAL BEHAVIOUR OF MATERIALS</t>
  </si>
  <si>
    <t>ELECTRICAL AND MAGNETIC BEHAVIOUR OF MATERIALS</t>
  </si>
  <si>
    <t>MATERIALS PROCESSING</t>
  </si>
  <si>
    <t>ENGINEERING CERAMICS</t>
  </si>
  <si>
    <t>PYROMETALLURGY</t>
  </si>
  <si>
    <t>POLYMER PROCESSING</t>
  </si>
  <si>
    <t>FOUNDRY TECHNOLOGY</t>
  </si>
  <si>
    <t>STRESS AND STRAIN ANALYSIS OF RIGID BODIES</t>
  </si>
  <si>
    <t>MATERIALS PROCESSING LABORATORY</t>
  </si>
  <si>
    <t>MATERIALS CHARACTERIZATION TECHNIQUE</t>
  </si>
  <si>
    <t>COMPOSITE MATERIALS</t>
  </si>
  <si>
    <t>CORROSION OF ENGINEERING MATERIALS</t>
  </si>
  <si>
    <t>FAILURE ANALYSIS AND NON-DESTRUCTIVE TESTING</t>
  </si>
  <si>
    <t>METALWORKING PROCESSES</t>
  </si>
  <si>
    <t>FINAL YEAR PROJECT-PROPOSAL DEVELOPMENT</t>
  </si>
  <si>
    <t>ENGINEERING MECHANICS II: DYNAMICS</t>
  </si>
  <si>
    <t xml:space="preserve">AUTOMATIC CONTROL </t>
  </si>
  <si>
    <t>MACHINE ELEMENTS DESIGN I</t>
  </si>
  <si>
    <t>MECHANICAL ENGINEERING LAB. III</t>
  </si>
  <si>
    <t>AIR CONDITIONING AND REFRIGERATION</t>
  </si>
  <si>
    <t>RENEWABLE ENERGY CONVERSION</t>
  </si>
  <si>
    <t>FINITE ELEMENT METHODS</t>
  </si>
  <si>
    <t>MACHINE TOOLS DESIGN</t>
  </si>
  <si>
    <t>PRODUCTION ENGINEERING</t>
  </si>
  <si>
    <t>MECHATRONICS</t>
  </si>
  <si>
    <t>INDUSTRIAL ATTACHMENT</t>
  </si>
  <si>
    <t>INTRODUCTION TO METALLURGICAL ENGINEERING</t>
  </si>
  <si>
    <t>METALLURGICAL THERMODYNAMICS</t>
  </si>
  <si>
    <t>METALLURGICAL PROCESSING LABORATORY</t>
  </si>
  <si>
    <t>PRINCIPLES OF HYDROMETALLURGY</t>
  </si>
  <si>
    <t>METALLURGICAL PLANT DESIGN/OPERATIONS</t>
  </si>
  <si>
    <t>METALLURGICAL FAILURE ANALYSIS AND NDTs</t>
  </si>
  <si>
    <t>INDUSTRIAL ATTACHMENT AND FIELD TRIP</t>
  </si>
  <si>
    <t>METAL FORMING PROCESSES</t>
  </si>
  <si>
    <t>INTRODUCTION TO PETROCHEMICAL INDUSTRIES</t>
  </si>
  <si>
    <t>FERTILIZER TECHNOLOGY</t>
  </si>
  <si>
    <t>FIRE AND SAFETY ENGINEERING</t>
  </si>
  <si>
    <t>PETROLEUM FLUID PROPERTIES</t>
  </si>
  <si>
    <t>SEPARATION PROCESSES I</t>
  </si>
  <si>
    <t>PETROCHEMICAL ENGINEERING LABORATORY I</t>
  </si>
  <si>
    <t>ORGANIC AND PETROCHEMICAL SYNTHESIS</t>
  </si>
  <si>
    <t>PHARMACEUTICAL TECHNOLOGY</t>
  </si>
  <si>
    <t>CATALYSIS</t>
  </si>
  <si>
    <t>POLLUTION CONTROL IN PETROCHEMICAL INDUSTRY</t>
  </si>
  <si>
    <t>CORROSION ENGINEERING</t>
  </si>
  <si>
    <t>RESERVOIR ENGINEERING I</t>
  </si>
  <si>
    <t>FLUID MECHANICS</t>
  </si>
  <si>
    <t>PETROLEUM ENGINEERING THERMODYNAMICS I</t>
  </si>
  <si>
    <t>SURVIVAL SWIMMING TECHNIQUES</t>
  </si>
  <si>
    <t>PETROLEUM ROCK MECHANICS</t>
  </si>
  <si>
    <t>DRILLING ENGINEERING I</t>
  </si>
  <si>
    <t>PETROLEUM ENGINEERING LABORATORY I</t>
  </si>
  <si>
    <t>PETROLEUM PRODUCTION ENGINEERING I</t>
  </si>
  <si>
    <t>RESERVOIR PETROPHYSICS</t>
  </si>
  <si>
    <t>RESERVOIR ENGINEERING II</t>
  </si>
  <si>
    <t>FORMATION EVALUATION</t>
  </si>
  <si>
    <t>STATISTICS FOR PETROLEUM ENGINEERS</t>
  </si>
  <si>
    <t>PETROLEUM ECONOMICS</t>
  </si>
  <si>
    <t>DESIGN PROJECT I</t>
  </si>
  <si>
    <t>RESERVOIR SIMULATION</t>
  </si>
  <si>
    <t>INTEGRATED FIELD DESIGN</t>
  </si>
  <si>
    <t>NATURAL GAS ENGINEERING I</t>
  </si>
  <si>
    <t>INSTRUMENTATION AND CONTROL</t>
  </si>
  <si>
    <t>FIELD TRIP AND INDUSTRIAL ATTACHMENT</t>
  </si>
  <si>
    <t>SAFETY AND RELIABILITY ENGINEERING</t>
  </si>
  <si>
    <t>CIRCUIT THEORY</t>
  </si>
  <si>
    <t>DIGITAL SYSTEMS</t>
  </si>
  <si>
    <t>INTRODUCTION TO PROGRAMMING II</t>
  </si>
  <si>
    <t>ANALOG COMMUNICATION LAB</t>
  </si>
  <si>
    <t>MICROELECTRONIC CIRCUITS</t>
  </si>
  <si>
    <t>INFORMATION THEORY AND CODING</t>
  </si>
  <si>
    <t>RANDOM VARIABLES AND STOCHASTIC PROCESSES</t>
  </si>
  <si>
    <t>OPTICAL COMMUNICATION</t>
  </si>
  <si>
    <t>OPTICAL COMMUNICATION LAB</t>
  </si>
  <si>
    <t>FUNDAMENTALS OF NETWORK SECURITY</t>
  </si>
  <si>
    <t>EMERGING TRENDS IN COMMUNICATION</t>
  </si>
  <si>
    <t>MICROWAVE ENGINEERING</t>
  </si>
  <si>
    <t>MOBILE AND WIRELESS COMMUNICATIONS</t>
  </si>
  <si>
    <t>INDUSTRIAL PLACEMENT</t>
  </si>
  <si>
    <t>AVIATION COMMUNICATION</t>
  </si>
  <si>
    <t>DIGITAL INTEGRATED CIRCUITS</t>
  </si>
  <si>
    <t>COMPUTER BASED</t>
  </si>
  <si>
    <r>
      <t>C</t>
    </r>
    <r>
      <rPr>
        <rFont val="Times New Roman"/>
        <family val="1"/>
        <color rgb="FF000000"/>
        <sz val="11"/>
      </rPr>
      <t>OMPUTER BASED</t>
    </r>
  </si>
  <si>
    <t>Adrah Charles Mawutor</t>
  </si>
  <si>
    <t>COE 475P</t>
  </si>
  <si>
    <t>Kwasi Kete Bofah</t>
  </si>
  <si>
    <t>Faisal Wahib Adam</t>
  </si>
  <si>
    <t>Carole Fredua Amoako-Yirenkyi</t>
  </si>
  <si>
    <t>Appiah-Brempong Miriam</t>
  </si>
  <si>
    <t>Appiah Franklin Benjamin</t>
  </si>
  <si>
    <t>Tay Godwin Fabiola Kwaku</t>
  </si>
  <si>
    <t>Opoku Richard</t>
  </si>
  <si>
    <t>Mensah Lena Dzifa</t>
  </si>
  <si>
    <t>Bessah Enoch</t>
  </si>
  <si>
    <t>Prah II Nicholas Kwesi</t>
  </si>
  <si>
    <t>Asamoah Joshua Kiddy Kwasi</t>
  </si>
  <si>
    <t>Buamah Richard Akwasi</t>
  </si>
  <si>
    <t>Lavie Jerome Dela</t>
  </si>
  <si>
    <t>Boahen Samuel</t>
  </si>
  <si>
    <t>Asante Eric Amoah</t>
  </si>
  <si>
    <t>Kyei-Baffour Nicholas</t>
  </si>
  <si>
    <t>Akowuah Joseph Oppong</t>
  </si>
  <si>
    <t>Agodzo Sampson Kwaku</t>
  </si>
  <si>
    <t xml:space="preserve">Darko Joseph Ofei </t>
  </si>
  <si>
    <t>Bart Plange Ato</t>
  </si>
  <si>
    <t>Darko Clara Bernice</t>
  </si>
  <si>
    <t>Nunoo-Mensah Henry</t>
  </si>
  <si>
    <t>Sarfo-Adu Kwasi</t>
  </si>
  <si>
    <t>Azure Isaac</t>
  </si>
  <si>
    <t>Ayetor Godwin Kafui Kwesi</t>
  </si>
  <si>
    <t>Andoh Prince Yaw</t>
  </si>
  <si>
    <t>Okutu John Kwadey</t>
  </si>
  <si>
    <t>Abu Frimpong Solomon</t>
  </si>
  <si>
    <t>Asiedu Charlotte</t>
  </si>
  <si>
    <t>Sarpong Lilian</t>
  </si>
  <si>
    <t>Alhassan Yakubu</t>
  </si>
  <si>
    <t>Yeboah Edward</t>
  </si>
  <si>
    <t>Boakye-Agyeman Candy</t>
  </si>
  <si>
    <t>Acquah Isaac</t>
  </si>
  <si>
    <t>Klogo Griffith Selorm</t>
  </si>
  <si>
    <t>Kotei Addison Eric Clement</t>
  </si>
  <si>
    <t>Adjaidoo Theresa-Samuelle Maame Atwemaah</t>
  </si>
  <si>
    <t>Opoku Francis</t>
  </si>
  <si>
    <t>Laryea Michael Konney</t>
  </si>
  <si>
    <t>Barnes Benedict</t>
  </si>
  <si>
    <t>Boakye Patrick</t>
  </si>
  <si>
    <t>Baah-Ennumh Emmanuel Kwaku</t>
  </si>
  <si>
    <t>Momade Zsuzsanna Gál</t>
  </si>
  <si>
    <t>Anang Daniel Adjah</t>
  </si>
  <si>
    <t>Rockson Mizpah Ama Dziedzorm</t>
  </si>
  <si>
    <t>Bonsu Jude Kwaku</t>
  </si>
  <si>
    <t>Mensah Mary</t>
  </si>
  <si>
    <t>Darkwah Lawrence</t>
  </si>
  <si>
    <t>Darko Jeel Pharis</t>
  </si>
  <si>
    <t>Ohemeng-Boahen Godfred</t>
  </si>
  <si>
    <t>Amos-Abanyie Samuel</t>
  </si>
  <si>
    <t>Afrifa Russel Owusu</t>
  </si>
  <si>
    <t>Ezearn Jeffery</t>
  </si>
  <si>
    <t>Osei Jack Banahene</t>
  </si>
  <si>
    <t>Appiah-Effah Eugene</t>
  </si>
  <si>
    <t>Owusu Twumasi Jones</t>
  </si>
  <si>
    <t>Adjei Kwaku Amaning</t>
  </si>
  <si>
    <t>Charkley Frederick Nai</t>
  </si>
  <si>
    <t>Dzikunu-Bansah Nancy Anataba Kyorku</t>
  </si>
  <si>
    <t>Obeng Kwame</t>
  </si>
  <si>
    <t>Awiakye-Marfo George</t>
  </si>
  <si>
    <t>Donkor Emmanuel Amponsah</t>
  </si>
  <si>
    <t>Ayeh Felix Jojo Fianko</t>
  </si>
  <si>
    <t>Owusu-Nimo Frederick</t>
  </si>
  <si>
    <t>Kwabi Prince Amponsah</t>
  </si>
  <si>
    <t>Tchao Eric Tutu</t>
  </si>
  <si>
    <t>Amoako-Yirenkyi Carole Fredua</t>
  </si>
  <si>
    <t>Akowuah Emmanuel Kofi</t>
  </si>
  <si>
    <t>Effah Francis Boafo</t>
  </si>
  <si>
    <t>Opoku Daniel</t>
  </si>
  <si>
    <t>Ayekple Yao Elikem</t>
  </si>
  <si>
    <t>Kwegyir Daniel</t>
  </si>
  <si>
    <t>Sekyere Yaw Opoku Mensah</t>
  </si>
  <si>
    <t>Frimpong Emmanuel Asuming</t>
  </si>
  <si>
    <t>Asigri Peter</t>
  </si>
  <si>
    <t>Awashie Gaston Edem</t>
  </si>
  <si>
    <t>Ellis Sani Mubarak</t>
  </si>
  <si>
    <t>Opare Kwasi Adu-Boahen</t>
  </si>
  <si>
    <t>Kankam Charles Kwame</t>
  </si>
  <si>
    <t>Wilson Matthew Coffie</t>
  </si>
  <si>
    <t>Mensah Emmanuel</t>
  </si>
  <si>
    <t>Kwaw Albert Kwame</t>
  </si>
  <si>
    <t>Foli Gordon</t>
  </si>
  <si>
    <t>Appiah-Adjei Emmanuel Kwame</t>
  </si>
  <si>
    <t>Gidigasu Solomon Senyo Robert</t>
  </si>
  <si>
    <t>Amenuvor Andrew Cudzo</t>
  </si>
  <si>
    <t>Ampadu Samuel Innocent Kofi</t>
  </si>
  <si>
    <t>Quaye-Ballard Jonathan Arthur</t>
  </si>
  <si>
    <t>Andam-Akorful Samuel Ato</t>
  </si>
  <si>
    <t>Kwarteng Efiba Vidda Senkyire</t>
  </si>
  <si>
    <t>Ahorsu Harriet Atsufui</t>
  </si>
  <si>
    <t>Tienaah Titus</t>
  </si>
  <si>
    <t>Arko-Adjei Anthony</t>
  </si>
  <si>
    <t>Dadzie Isaac</t>
  </si>
  <si>
    <t>Ababio-Donkor Augustus</t>
  </si>
  <si>
    <t>Osei-Danso Harriet Efua</t>
  </si>
  <si>
    <t xml:space="preserve">Asare Yaw Mensah </t>
  </si>
  <si>
    <t>Fosu Collins</t>
  </si>
  <si>
    <t>Duker Alfred Alan</t>
  </si>
  <si>
    <t>Sackey Samuel Mensah</t>
  </si>
  <si>
    <t>Sunnu Albert Kojo</t>
  </si>
  <si>
    <t>Miezah Kodwo</t>
  </si>
  <si>
    <t>Boateng Maxwell Akwasi</t>
  </si>
  <si>
    <t>Bonuedi Isaac</t>
  </si>
  <si>
    <t>Afrifa Daniel</t>
  </si>
  <si>
    <t>Gikunoo Emmanuel</t>
  </si>
  <si>
    <t>Okae James</t>
  </si>
  <si>
    <t>Nartey Martinson Addo</t>
  </si>
  <si>
    <t>Ocloo Alexander</t>
  </si>
  <si>
    <t>Agyemang Frank Ofori</t>
  </si>
  <si>
    <t>Andrews Anthony</t>
  </si>
  <si>
    <t>Bota Osei Sekyere</t>
  </si>
  <si>
    <t>Mensah-Darkwa Kwadwo</t>
  </si>
  <si>
    <t>Benteh David</t>
  </si>
  <si>
    <t>Awuah Esi</t>
  </si>
  <si>
    <t>Quansah David Ato</t>
  </si>
  <si>
    <t>Davis Francis</t>
  </si>
  <si>
    <t>Boateng Kwabena</t>
  </si>
  <si>
    <t>Kwao-Boateng Emmanuela</t>
  </si>
  <si>
    <t>Dogbe Eunice Sefakor Aku</t>
  </si>
  <si>
    <t>Adenutsi Caspar Daniel</t>
  </si>
  <si>
    <t>Johnson Raphael</t>
  </si>
  <si>
    <t>Sokama-Neuyam Yen Adams</t>
  </si>
  <si>
    <t>Erzuah Samuel</t>
  </si>
  <si>
    <t>Adjei Stephen</t>
  </si>
  <si>
    <t>Gyamfi Isaac</t>
  </si>
  <si>
    <t>Sarkodie Kwame</t>
  </si>
  <si>
    <t>Borkloe Julius Kwame</t>
  </si>
  <si>
    <t>Ampomah William</t>
  </si>
  <si>
    <t>Abdul-Rahman Ahmed</t>
  </si>
  <si>
    <t>Adu-Ansah Lawton</t>
  </si>
  <si>
    <t>Agyemang Justice Owusu</t>
  </si>
  <si>
    <t>Obour Agyekum Kwame Opuni-Boachie</t>
  </si>
  <si>
    <t>Kponyo Jerry John</t>
  </si>
  <si>
    <t>Elvis Twumasi</t>
  </si>
  <si>
    <t>NEB-SF/NEB-TF/NEB-FF2</t>
  </si>
  <si>
    <t>NEB-SF/NEB-TF/NEB-FF1</t>
  </si>
  <si>
    <t>70/70/50</t>
  </si>
  <si>
    <t>65/65/25</t>
  </si>
  <si>
    <t>55/30</t>
  </si>
  <si>
    <t>NEB-FF1/NEB-FF2</t>
  </si>
  <si>
    <t>PB001/PB020/PB014/PB008</t>
  </si>
  <si>
    <t>35/35/35/30</t>
  </si>
  <si>
    <t>35/35/35</t>
  </si>
  <si>
    <t>PB201/PB214/PB212</t>
  </si>
  <si>
    <t>35/35/23</t>
  </si>
  <si>
    <t>PB201/PB212</t>
  </si>
  <si>
    <t>40/25</t>
  </si>
  <si>
    <t>45/25/25/25/20</t>
  </si>
  <si>
    <t>35/20/20</t>
  </si>
  <si>
    <t>NAF1/EA</t>
  </si>
  <si>
    <t>40/30</t>
  </si>
  <si>
    <t>35/22</t>
  </si>
  <si>
    <t>23/23</t>
  </si>
  <si>
    <t>21/21</t>
  </si>
  <si>
    <t>NEB-SF/NEB-TF</t>
  </si>
  <si>
    <t>NEB-FF2/NEB-TF</t>
  </si>
  <si>
    <t>30/70</t>
  </si>
  <si>
    <t xml:space="preserve">NEB-FF1 </t>
  </si>
  <si>
    <t>45</t>
  </si>
  <si>
    <t>37</t>
  </si>
  <si>
    <t>75</t>
  </si>
  <si>
    <t>PB001/PB020/PB212</t>
  </si>
  <si>
    <t>35/35/15</t>
  </si>
  <si>
    <t>40/40/25</t>
  </si>
  <si>
    <t>PB201/PB214/PB208</t>
  </si>
  <si>
    <t>35/35/13</t>
  </si>
  <si>
    <t>34/33/30</t>
  </si>
  <si>
    <t>40/25/25/20/20/25</t>
  </si>
  <si>
    <t>VSLA/LT/303/RMA/RMB/N1</t>
  </si>
  <si>
    <t>N1/VSLA/303</t>
  </si>
  <si>
    <t>20/40/20</t>
  </si>
  <si>
    <t>NAF1/EA/A110</t>
  </si>
  <si>
    <t>45/30/30/25</t>
  </si>
  <si>
    <t>NAF1/EA/A110/VCR</t>
  </si>
  <si>
    <t>NAF1/VCR/A110</t>
  </si>
  <si>
    <t>40/23/24</t>
  </si>
  <si>
    <t>77/77</t>
  </si>
  <si>
    <t>PB001/PB014/PB020/PB201/PB214/PB008/PB208/PB212</t>
  </si>
  <si>
    <t>NEB-SF/NEB-TF/NEB-FF1/NEB-FF2/NAF1/EA</t>
  </si>
  <si>
    <t>80/80/50/25/40/20</t>
  </si>
  <si>
    <t>31/30</t>
  </si>
  <si>
    <t>25</t>
  </si>
  <si>
    <t>40</t>
  </si>
  <si>
    <t>VCR/A110</t>
  </si>
  <si>
    <t>25/28</t>
  </si>
  <si>
    <t>PB001/PB014/PB008</t>
  </si>
  <si>
    <t>40/40/20</t>
  </si>
  <si>
    <t xml:space="preserve">VSLA/LT </t>
  </si>
  <si>
    <t>40/24</t>
  </si>
  <si>
    <t>35/35/35/23</t>
  </si>
  <si>
    <t>PB201/PB214/PB008</t>
  </si>
  <si>
    <t>35/35/19</t>
  </si>
  <si>
    <t>PB020/PB212/PB208</t>
  </si>
  <si>
    <t>37/25/25</t>
  </si>
  <si>
    <t>PB001/PB014/PB020/PB208</t>
  </si>
  <si>
    <t>RMA/RMB</t>
  </si>
  <si>
    <t>23/20</t>
  </si>
  <si>
    <t>40/40/40/40/40/25/25/20</t>
  </si>
  <si>
    <t>35/35/35/35/35/23/24/20</t>
  </si>
  <si>
    <t>70/70</t>
  </si>
  <si>
    <t>50/30</t>
  </si>
  <si>
    <t>45/30</t>
  </si>
  <si>
    <t>VSLA/LT</t>
  </si>
  <si>
    <t>VSLA/LT/303</t>
  </si>
  <si>
    <t>35/24</t>
  </si>
  <si>
    <t>42/30</t>
  </si>
  <si>
    <t>N1/206</t>
  </si>
  <si>
    <t>25/26</t>
  </si>
  <si>
    <t>PB01/PB014/PB020/PB201/PB214/PB008/PB208</t>
  </si>
  <si>
    <t>40/40/40/40/40/30/25</t>
  </si>
  <si>
    <t>40/20/30</t>
  </si>
  <si>
    <t>45/40</t>
  </si>
  <si>
    <t>35/35/35/35/35/20/25</t>
  </si>
  <si>
    <t>70/70/20</t>
  </si>
  <si>
    <t>40/24/25</t>
  </si>
  <si>
    <t>45/22</t>
  </si>
  <si>
    <t>40/20/25</t>
  </si>
  <si>
    <t>55</t>
  </si>
  <si>
    <t>80</t>
  </si>
  <si>
    <t>37/37/37/37/37/25/30</t>
  </si>
  <si>
    <t>40/30/30</t>
  </si>
  <si>
    <t>8</t>
  </si>
  <si>
    <t>40/25/25/30/20</t>
  </si>
  <si>
    <t>VSLA/LT/N1/303/N2</t>
  </si>
  <si>
    <t>40/20/20/23</t>
  </si>
  <si>
    <t>VSLA/N1/RMA/303</t>
  </si>
  <si>
    <t>NEB-TF/NEB-SF</t>
  </si>
  <si>
    <t>95</t>
  </si>
  <si>
    <t>76</t>
  </si>
  <si>
    <t>59</t>
  </si>
  <si>
    <t>65</t>
  </si>
  <si>
    <t>32/32/32/31/30</t>
  </si>
  <si>
    <t>PB01/PB014/PB020/PB201/PB214</t>
  </si>
  <si>
    <t>PB001/PB014/PB020/PB201/PB214/PB008/PB208</t>
  </si>
  <si>
    <t>NAF1/EA/VCR</t>
  </si>
  <si>
    <t>40/22/20</t>
  </si>
  <si>
    <t>VSLA/LT/RMA/RMB/303</t>
  </si>
  <si>
    <t>45/25/25/25/30</t>
  </si>
  <si>
    <t>40/20/20/20</t>
  </si>
  <si>
    <t>A110/EA/VCR</t>
  </si>
  <si>
    <t>25/20/20</t>
  </si>
  <si>
    <t>VSLA/LT/RMB/RMA</t>
  </si>
  <si>
    <t>303/304</t>
  </si>
  <si>
    <t>20/20</t>
  </si>
  <si>
    <t>80/75/50</t>
  </si>
  <si>
    <t>VSLA/303/LT/N1</t>
  </si>
  <si>
    <t>40/30/22/22</t>
  </si>
  <si>
    <t>40/30/30/25</t>
  </si>
  <si>
    <t>VSLA/303/N1</t>
  </si>
  <si>
    <t>40/20/20</t>
  </si>
  <si>
    <t>37/37/37/37/37/20/25</t>
  </si>
  <si>
    <t>38/38/38/38/38/25/25</t>
  </si>
  <si>
    <t>NEB-SF/NEB-TF/NEB-FF1/NEB-FF2/A110</t>
  </si>
  <si>
    <t>80/80/55/25/30</t>
  </si>
  <si>
    <t>40/30/20</t>
  </si>
  <si>
    <t>VSLA/LT/303/304/N1/N2</t>
  </si>
  <si>
    <t>45/20/30/20/22/20</t>
  </si>
  <si>
    <t>NAF1/VCR</t>
  </si>
  <si>
    <t>42/22</t>
  </si>
  <si>
    <t>EA/A110</t>
  </si>
  <si>
    <t xml:space="preserve">VSLA/303/LT </t>
  </si>
  <si>
    <t>43/25/25</t>
  </si>
  <si>
    <t>38/38/38/38/38/26/26</t>
  </si>
  <si>
    <t>75/80</t>
  </si>
  <si>
    <t>35/35/35/35/35</t>
  </si>
  <si>
    <t>PB001/PB014/PB020/PB201/PB214</t>
  </si>
  <si>
    <t>PB008/PB208</t>
  </si>
  <si>
    <t>27/28</t>
  </si>
  <si>
    <t>NEB-SF/NEB-FF1/NEB-FF2</t>
  </si>
  <si>
    <t>70/50/20</t>
  </si>
  <si>
    <t>40/30/30/20</t>
  </si>
  <si>
    <t>41/20</t>
  </si>
  <si>
    <t xml:space="preserve">VSLA/LT/303/304 </t>
  </si>
  <si>
    <t>VSLA/LT/303/N1/304</t>
  </si>
  <si>
    <t>40/20/30/25/15</t>
  </si>
  <si>
    <t>RMA/RMB/N1</t>
  </si>
  <si>
    <t>20/20/16</t>
  </si>
  <si>
    <t>35/25/20/15</t>
  </si>
  <si>
    <t>32</t>
  </si>
  <si>
    <t>23</t>
  </si>
  <si>
    <t>67</t>
  </si>
  <si>
    <t>40/40/40/40</t>
  </si>
  <si>
    <t>PB001/PB014/PB020/PB201</t>
  </si>
  <si>
    <t>40/20/20/15</t>
  </si>
  <si>
    <t>VSLA/LT/303/304</t>
  </si>
  <si>
    <t>35/34/34/33</t>
  </si>
  <si>
    <t>PB008/PB208/PB212</t>
  </si>
  <si>
    <t>27/28/25</t>
  </si>
  <si>
    <t>80/54</t>
  </si>
  <si>
    <t>NEB-TF/NEB-FF1</t>
  </si>
  <si>
    <t>50/22</t>
  </si>
  <si>
    <t xml:space="preserve">NEB-SF/NEB-FF1 </t>
  </si>
  <si>
    <t>NEB-SF/NEB-TF/NEB-FF1/NAF1/EA/A110/VCR</t>
  </si>
  <si>
    <t>80/80/55/40/30/30/25</t>
  </si>
  <si>
    <t>PB001/PB014/PB020/PB201/P008</t>
  </si>
  <si>
    <t>33</t>
  </si>
  <si>
    <t>34/34/34/34/22</t>
  </si>
  <si>
    <t>VSLA/303/LT</t>
  </si>
  <si>
    <t>VSLA/303/304/LT</t>
  </si>
  <si>
    <t>40/23/20/20</t>
  </si>
  <si>
    <t>303/304/LT/206</t>
  </si>
  <si>
    <t>23/20/20/20</t>
  </si>
  <si>
    <t>40/40/40/40/40/25/25</t>
  </si>
  <si>
    <t>5</t>
  </si>
  <si>
    <t>PB08/PB014/PB020/PB201/PB214</t>
  </si>
  <si>
    <t>25/35/35/32/30</t>
  </si>
  <si>
    <t>40/25/20</t>
  </si>
  <si>
    <t>NEB-SF/NEB-FF2</t>
  </si>
  <si>
    <t>65/30</t>
  </si>
  <si>
    <t>38</t>
  </si>
  <si>
    <t>13</t>
  </si>
  <si>
    <t>18</t>
  </si>
  <si>
    <t>70</t>
  </si>
  <si>
    <t>46</t>
  </si>
  <si>
    <t>40/25/25</t>
  </si>
  <si>
    <t>45/25/30/20</t>
  </si>
  <si>
    <t>40/20/23</t>
  </si>
  <si>
    <t>80/50</t>
  </si>
  <si>
    <t>35/35/35/35/35/26/25</t>
  </si>
  <si>
    <t>N1/N2/304</t>
  </si>
  <si>
    <t>75/75</t>
  </si>
  <si>
    <t>40/30/29</t>
  </si>
  <si>
    <t>NAF1/A110</t>
  </si>
  <si>
    <t>30/21</t>
  </si>
  <si>
    <t>VSLA/303/304</t>
  </si>
  <si>
    <t>45/22/20</t>
  </si>
  <si>
    <t>37/30/20</t>
  </si>
  <si>
    <t>VSLA/303/LT/N1/206</t>
  </si>
  <si>
    <t>VSLA/206/303</t>
  </si>
  <si>
    <t>NEB-FF1/A110/EA/VCR</t>
  </si>
  <si>
    <t>55/27/27/25</t>
  </si>
  <si>
    <t xml:space="preserve">A110 </t>
  </si>
  <si>
    <t>70/85</t>
  </si>
  <si>
    <t>NEB-TF/NEB-SF/NEB-FF1/NEB-FF2</t>
  </si>
  <si>
    <t>PB201/PB214/PB212/PB208</t>
  </si>
  <si>
    <t>RMB/303/304</t>
  </si>
  <si>
    <t>VSLA/LT/RMA</t>
  </si>
  <si>
    <t>80/80/55/30</t>
  </si>
  <si>
    <t>35/35/35/25</t>
  </si>
  <si>
    <t>36/36/23/25</t>
  </si>
  <si>
    <t>36/20</t>
  </si>
  <si>
    <t>22/25/17</t>
  </si>
  <si>
    <t>45/22/22</t>
  </si>
  <si>
    <t>22/28/17</t>
  </si>
  <si>
    <t>80/77</t>
  </si>
  <si>
    <t>PB001/PB020/PB014/PB008/PB201/PB214/PB212/PB208/NEB-FF1</t>
  </si>
  <si>
    <t>NAF1/EA/A110/VCR/NEB-FF2</t>
  </si>
  <si>
    <t>VSLA/LT/RMA/RMB/206/303/304/N1/N2/VCR</t>
  </si>
  <si>
    <t>PB001/PB020/PB014/PB008/PB201/PB214/PB212/PB208/NEB-FF2</t>
  </si>
  <si>
    <t>VSLA/LT/RMA/RMB</t>
  </si>
  <si>
    <t>40/40/40/30/40/40/25/30/55</t>
  </si>
  <si>
    <t>90/85</t>
  </si>
  <si>
    <t>45/30/30/25/25</t>
  </si>
  <si>
    <t>45/25/24/24/24/30/20/25/20/18</t>
  </si>
  <si>
    <t>40/40/40/30/40/40/25/20/22</t>
  </si>
  <si>
    <t>35/22/22/21</t>
  </si>
  <si>
    <t>PB001/PB020/PB014/PB008/PB201</t>
  </si>
  <si>
    <t>PB001/PB020/PB014/PB008/PB201/PB214/PB212/PB208</t>
  </si>
  <si>
    <t>NEB-SF/NEB-FF1</t>
  </si>
  <si>
    <t>35/35/35/25/35</t>
  </si>
  <si>
    <t>45/25/30</t>
  </si>
  <si>
    <t>40/40/40/30/40/40/20/20</t>
  </si>
  <si>
    <t>40/30/25</t>
  </si>
  <si>
    <t>20/17</t>
  </si>
  <si>
    <t>20/20/19</t>
  </si>
  <si>
    <t>40/25/22</t>
  </si>
  <si>
    <t>70/45</t>
  </si>
  <si>
    <t>VSLA/LT/RMA/RMB/206/303/304/N1/N2/NAF1</t>
  </si>
  <si>
    <t>45/30/30/25/27</t>
  </si>
  <si>
    <t>40/16/16</t>
  </si>
  <si>
    <t>40/40/40/30/40/40/25/30/20</t>
  </si>
  <si>
    <t>45/25/24/24/24/30/20/25/20/33</t>
  </si>
  <si>
    <t>VSLA/LT/RMA/RMB/206/303/304/N1/N2</t>
  </si>
  <si>
    <t>NEB-TF/NEB-FF2</t>
  </si>
  <si>
    <t>PB201/PB208/PB212</t>
  </si>
  <si>
    <t>RMB/303/206</t>
  </si>
  <si>
    <t>45/25/24/24/24/30/20/25/20</t>
  </si>
  <si>
    <t>40/35/35/25</t>
  </si>
  <si>
    <t>67/20</t>
  </si>
  <si>
    <t>40/23/20</t>
  </si>
  <si>
    <t>20/20/18</t>
  </si>
  <si>
    <t>35/35/30/20</t>
  </si>
  <si>
    <t>70/30</t>
  </si>
  <si>
    <t>60/27</t>
  </si>
  <si>
    <t>VSLA/LT/RMA/RMB/206/304/303</t>
  </si>
  <si>
    <t>NEB-TF/NEB-FF1/NEB-FF2</t>
  </si>
  <si>
    <t>PB001/PB020/PB014/PB008/PB201/PB214/PB212</t>
  </si>
  <si>
    <t>NAF1/A110/VCR</t>
  </si>
  <si>
    <t>303/LT/206/RMA/RMB/VSLA</t>
  </si>
  <si>
    <t>40/23/22/22/22/20/26</t>
  </si>
  <si>
    <t>75/50/25</t>
  </si>
  <si>
    <t>75/55/25</t>
  </si>
  <si>
    <t>40/40/40/30/40/40/25</t>
  </si>
  <si>
    <t>24/20/20/20/20/30</t>
  </si>
  <si>
    <t>VSLA/LT/RMA/RMB/303/304</t>
  </si>
  <si>
    <t>PB014/PB201/PB214</t>
  </si>
  <si>
    <t>PB001/PB020/PB014/PB008/PB201/PB214</t>
  </si>
  <si>
    <t>PB001/PB020/PB008</t>
  </si>
  <si>
    <t>40/23/23/23/23/22</t>
  </si>
  <si>
    <t>35/35/20</t>
  </si>
  <si>
    <t>40/40/40/25/40/35</t>
  </si>
  <si>
    <t>42/25/22</t>
  </si>
  <si>
    <t>35/35/25</t>
  </si>
  <si>
    <t>EA/A110/VCR</t>
  </si>
  <si>
    <t>303/RMB</t>
  </si>
  <si>
    <t>35/35/35/25/35/30/20</t>
  </si>
  <si>
    <t>40/20/20/20/20/20</t>
  </si>
  <si>
    <t>40/40/40/30/40/40/12</t>
  </si>
  <si>
    <t>30/30/22</t>
  </si>
  <si>
    <t>PB214/PB008/PB208</t>
  </si>
  <si>
    <t>VSLA/LT/RMA/RMB/206/303</t>
  </si>
  <si>
    <t>EA/A110/NAF1</t>
  </si>
  <si>
    <t>PB001/PB020/PB014/PB201</t>
  </si>
  <si>
    <t>40/22/20/20/20/14</t>
  </si>
  <si>
    <t>40/40/40/30/40/40/25/7</t>
  </si>
  <si>
    <t>60/35</t>
  </si>
  <si>
    <t>45/30/30/20</t>
  </si>
  <si>
    <t>30/30/40</t>
  </si>
  <si>
    <t>45/25/24/24/24/30/20/25/19</t>
  </si>
  <si>
    <t>53/40</t>
  </si>
  <si>
    <t>PB214/PB212/PB208</t>
  </si>
  <si>
    <t>EA/A110/NAF1/VCR</t>
  </si>
  <si>
    <t>40/25/24/24/24/30/20/20/19</t>
  </si>
  <si>
    <t>60/25</t>
  </si>
  <si>
    <t>45/30/30/23</t>
  </si>
  <si>
    <t>40/22/21</t>
  </si>
  <si>
    <t>20/20/40/20</t>
  </si>
  <si>
    <t>34/20/20/20/20/20</t>
  </si>
  <si>
    <t>40/40/40/34</t>
  </si>
  <si>
    <t>RMA/RMB/206</t>
  </si>
  <si>
    <t>80/70</t>
  </si>
  <si>
    <t>22/21/21</t>
  </si>
  <si>
    <t>43/30/30</t>
  </si>
  <si>
    <t>40/24/23</t>
  </si>
  <si>
    <t>PB001/PB020/PB014/PB008/PB201/PB214/PB2088/PB212</t>
  </si>
  <si>
    <t>VSLA/LT/RMA/RMB/206</t>
  </si>
  <si>
    <t>40/40/40/25/40/40/25/20</t>
  </si>
  <si>
    <t>40/40/40/25/40/35/25/20</t>
  </si>
  <si>
    <t>40/22/22/21/20</t>
  </si>
  <si>
    <t>PB014/PB001</t>
  </si>
  <si>
    <t>PB201/PB208</t>
  </si>
  <si>
    <t>PB201/PB020/PB008</t>
  </si>
  <si>
    <t>42/24/22/22/22/22</t>
  </si>
  <si>
    <t>30/23</t>
  </si>
  <si>
    <t>35/23</t>
  </si>
  <si>
    <t>40/40/40/20</t>
  </si>
  <si>
    <t>55/21</t>
  </si>
  <si>
    <t>40/25/24/24/23/25/20/20/19</t>
  </si>
  <si>
    <t>38/37/20</t>
  </si>
  <si>
    <t>48/24</t>
  </si>
  <si>
    <t>206/304</t>
  </si>
  <si>
    <t>N1/N2</t>
  </si>
  <si>
    <t>PB001/PB020</t>
  </si>
  <si>
    <t>44/24/22/22/22</t>
  </si>
  <si>
    <t>40/25/24/24/23/25/23/22/19</t>
  </si>
  <si>
    <t>21/20</t>
  </si>
  <si>
    <t>75/80/55/30</t>
  </si>
  <si>
    <t>RMB/303</t>
  </si>
  <si>
    <t>40/40/40/30/40/35/20</t>
  </si>
  <si>
    <t>40/21/21</t>
  </si>
  <si>
    <t>55/20</t>
  </si>
  <si>
    <t>40/40/40/30/40/40/25/20</t>
  </si>
  <si>
    <t>22/24</t>
  </si>
  <si>
    <t>43/24/22/23/23/22</t>
  </si>
  <si>
    <t>50/39</t>
  </si>
  <si>
    <t>VSLA/303/LT/RMA/206</t>
  </si>
  <si>
    <t>A110/EA</t>
  </si>
  <si>
    <t>VSLA/303/LT/206/RMA</t>
  </si>
  <si>
    <t>PB201/PB008/PB208/PB001/PB020/PB014/PB214</t>
  </si>
  <si>
    <t>NEB-TF/NEB-SF/NEB-FF1/PB001/PB020/PB014/PB201</t>
  </si>
  <si>
    <t>80/80/52/30</t>
  </si>
  <si>
    <t>35/25/20/20/20</t>
  </si>
  <si>
    <t>30/28</t>
  </si>
  <si>
    <t>40/26/22/22/20</t>
  </si>
  <si>
    <t>36</t>
  </si>
  <si>
    <t>26/25</t>
  </si>
  <si>
    <t>30/25/25</t>
  </si>
  <si>
    <t>39/30/30/39/39/39/39</t>
  </si>
  <si>
    <t>72/72/49/38/38/38/38</t>
  </si>
  <si>
    <t>PB001/PB020/PB014/PB201/PB214/PB008/PB208</t>
  </si>
  <si>
    <t>VSLA/303/LT/206/RMA/RMB</t>
  </si>
  <si>
    <t>PB001/PB020/PB014/PB201/PB214/PB208/PB008</t>
  </si>
  <si>
    <t>A110/EA/VCR/NAF1</t>
  </si>
  <si>
    <t>VSLA/303/RMA</t>
  </si>
  <si>
    <t>40/40/40/40/40/28/27</t>
  </si>
  <si>
    <t>40/30/20/20/20/20</t>
  </si>
  <si>
    <t>75/50</t>
  </si>
  <si>
    <t>38/38/38/38/38/28/27</t>
  </si>
  <si>
    <t>30/30/25/40</t>
  </si>
  <si>
    <t>35/25/20</t>
  </si>
  <si>
    <t>70/70/45/30</t>
  </si>
  <si>
    <t>NAF1/A110/EA/VCR</t>
  </si>
  <si>
    <t>NEB-FF2/NEB-FF1</t>
  </si>
  <si>
    <t>PB001/PB020/PB014/PB201/PB214/PB008/PB208/PB212</t>
  </si>
  <si>
    <t>35</t>
  </si>
  <si>
    <t>30/23/22/20</t>
  </si>
  <si>
    <t>25/40</t>
  </si>
  <si>
    <t>45/30/22/20/20/20</t>
  </si>
  <si>
    <t>65/65</t>
  </si>
  <si>
    <t>38/38/38/38/38/26/26/20</t>
  </si>
  <si>
    <t>53/30</t>
  </si>
  <si>
    <t>A110/EA/NAF1</t>
  </si>
  <si>
    <t>PB001/PB020/PB014/PB208</t>
  </si>
  <si>
    <t>PB214/PB008/PB201</t>
  </si>
  <si>
    <t>VSLA/LT/206/RMA</t>
  </si>
  <si>
    <t>N1/N2/RMB/303</t>
  </si>
  <si>
    <t>25/25/20</t>
  </si>
  <si>
    <t>40/30/22/22/21/20</t>
  </si>
  <si>
    <t>36/36/36/26</t>
  </si>
  <si>
    <t>35/30/35</t>
  </si>
  <si>
    <t>35/35/35/35/35/25/25</t>
  </si>
  <si>
    <t>160/15</t>
  </si>
  <si>
    <t>30/20/20/20</t>
  </si>
  <si>
    <t>25/20/20/22</t>
  </si>
  <si>
    <t>LT/206/RMB/RMA/303</t>
  </si>
  <si>
    <t>80/60</t>
  </si>
  <si>
    <t>20/20/20/20/20</t>
  </si>
  <si>
    <t>70/45/25</t>
  </si>
  <si>
    <t>7</t>
  </si>
  <si>
    <t>42/25</t>
  </si>
  <si>
    <t>40/30/22/22/22</t>
  </si>
  <si>
    <t>NEB-TF/NEB-SF/NEB-FF1</t>
  </si>
  <si>
    <t>NAF1/A110/EA</t>
  </si>
  <si>
    <t>PB020/PB014/PB201/PB214/PB008/PB208/PB001</t>
  </si>
  <si>
    <t>PB020/PB014/PB201/PB008</t>
  </si>
  <si>
    <t>PB001/PB214/PB212</t>
  </si>
  <si>
    <t>PB208/PB212</t>
  </si>
  <si>
    <t>65/65/50</t>
  </si>
  <si>
    <t>45/30/27</t>
  </si>
  <si>
    <t>40/26/22/22/20/20</t>
  </si>
  <si>
    <t>35/35/35/35/27/27/32</t>
  </si>
  <si>
    <t>25/20</t>
  </si>
  <si>
    <t>40/27/20</t>
  </si>
  <si>
    <t>30/29</t>
  </si>
  <si>
    <t>PB001/PB008/PB208</t>
  </si>
  <si>
    <t>26/50</t>
  </si>
  <si>
    <t>30/30/25</t>
  </si>
  <si>
    <t>25/25/30</t>
  </si>
  <si>
    <t>150/145</t>
  </si>
  <si>
    <t>32/25/25</t>
  </si>
  <si>
    <t>30/50</t>
  </si>
  <si>
    <t>VSLA/303/RMA/RMB</t>
  </si>
  <si>
    <t>NEB-SF/NEB-FF2/NEB-FF1</t>
  </si>
  <si>
    <t>VSLA/303/LT/206</t>
  </si>
  <si>
    <t>N1/RMA/RMB/206/N2</t>
  </si>
  <si>
    <t>PB001/PB020/PB014</t>
  </si>
  <si>
    <t>30/25/20/20</t>
  </si>
  <si>
    <t>67/67</t>
  </si>
  <si>
    <t>30/30/20</t>
  </si>
  <si>
    <t>75/30/50</t>
  </si>
  <si>
    <t>30/23/22</t>
  </si>
  <si>
    <t>21/21/21/20/20</t>
  </si>
  <si>
    <t>31/31/31</t>
  </si>
  <si>
    <t>PB001/PB020/PB014/PB201/PB008/PB208/PB214</t>
  </si>
  <si>
    <t>NEB-TF/NEB-SF/NEB-FF2</t>
  </si>
  <si>
    <t>A110/VCR/EA</t>
  </si>
  <si>
    <t>303/RMA/RMB</t>
  </si>
  <si>
    <t>38/38/38/38/38/27/25</t>
  </si>
  <si>
    <t>40/27/22</t>
  </si>
  <si>
    <t>35/20/20/20</t>
  </si>
  <si>
    <t>36/36/36/36/27/27/32</t>
  </si>
  <si>
    <t>65/65/27</t>
  </si>
  <si>
    <t>40/27</t>
  </si>
  <si>
    <t>24/20/23</t>
  </si>
  <si>
    <t>24/20/20</t>
  </si>
  <si>
    <t>NEB-TF/NEB-SF/NEB-FF1/NEB-FF2/EA/A110/VCR</t>
  </si>
  <si>
    <t>NEB-TF/NEB-SF/NEB-FF1/PB001/PB020/PB014/PB201/PB214</t>
  </si>
  <si>
    <t>303/LT/RMA/RMB</t>
  </si>
  <si>
    <t>LT/RMA/RMB/303</t>
  </si>
  <si>
    <t>72/72/48/27/27/27/22</t>
  </si>
  <si>
    <t>40/40/40</t>
  </si>
  <si>
    <t>60/60/40/36/36/36/36/36</t>
  </si>
  <si>
    <t>20/20/20/20</t>
  </si>
  <si>
    <t>38/23</t>
  </si>
  <si>
    <t>26/40</t>
  </si>
  <si>
    <t>25/25/35</t>
  </si>
  <si>
    <t>36/36/36/36/36/30/27/25</t>
  </si>
  <si>
    <t>35/25/20/20</t>
  </si>
  <si>
    <t>40/30/20/20/20</t>
  </si>
  <si>
    <t>VSLA/303/LT/N1/RMA/RMB/206</t>
  </si>
  <si>
    <t>VSLA/303/LT/N1/RMA/RMB/206/N2</t>
  </si>
  <si>
    <t>40/27/27/20</t>
  </si>
  <si>
    <t>40/30/22/22/20/20</t>
  </si>
  <si>
    <t>40/26/22/22/22/22/20</t>
  </si>
  <si>
    <t>75/70/45/30</t>
  </si>
  <si>
    <t>,</t>
  </si>
  <si>
    <t>,</t>
  </si>
  <si>
    <t>,</t>
  </si>
  <si>
    <t>,</t>
  </si>
  <si>
    <t>,</t>
  </si>
  <si>
    <t>,</t>
  </si>
  <si>
    <t>,</t>
  </si>
  <si>
    <t>,</t>
  </si>
  <si>
    <t>,</t>
  </si>
  <si>
    <t>,</t>
  </si>
  <si>
    <t>,</t>
  </si>
  <si>
    <t>,</t>
  </si>
  <si>
    <t>,</t>
  </si>
  <si>
    <t>,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</si>
</sst>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3" mc:Ignorable="x14ac x16r2 xr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-* #,##0.00_-;\-* #,##0.00_-;_-* &quot;-&quot;??_-;_-@_-"/>
    <numFmt numFmtId="44" formatCode="_(&quot;$&quot;* #,##0.00_);_(&quot;$&quot;* (#,##0.00);_(&quot;$&quot;* &quot;-&quot;??_);_(@_)"/>
    <numFmt numFmtId="164" formatCode="0.0"/>
    <numFmt numFmtId="165" formatCode="_(* #,##0.00_);_(* \(#,##0.00\);_(* &quot;-&quot;??_);_(@_)"/>
  </numFmts>
  <fonts count="68">
    <font>
      <name val="Arial"/>
      <family val="2"/>
      <color rgb="FF000000"/>
      <sz val="11"/>
      <scheme val="minor"/>
    </font>
    <font>
      <name val="Times New Roman"/>
      <family val="1"/>
      <color rgb="FF000000"/>
      <sz val="11"/>
    </font>
    <font>
      <name val="Times New Roman"/>
      <family val="1"/>
      <b/>
      <color rgb="FF000000"/>
      <sz val="11"/>
    </font>
    <font>
      <name val="Arial"/>
      <family val="2"/>
      <color rgb="FF000000"/>
      <sz val="8"/>
      <scheme val="minor"/>
    </font>
    <font>
      <name val="Arial"/>
      <family val="2"/>
      <color rgb="FF000000"/>
      <sz val="8"/>
      <scheme val="minor"/>
    </font>
    <font>
      <name val="Times New Roman"/>
      <family val="1"/>
      <color rgb="FF000000"/>
      <sz val="12"/>
    </font>
    <font>
      <name val="Times New Roman"/>
      <family val="1"/>
      <b/>
      <color rgb="FF000000"/>
      <sz val="12"/>
    </font>
    <font>
      <name val="Tahoma"/>
      <family val="2"/>
      <color rgb="FFauto"/>
      <sz val="9"/>
    </font>
    <font>
      <name val="Tahoma"/>
      <family val="2"/>
      <b/>
      <color rgb="FFauto"/>
      <sz val="9"/>
    </font>
    <font>
      <name val="Times New Roman"/>
      <family val="1"/>
      <b/>
      <color rgb="FF000000"/>
      <sz val="10"/>
    </font>
    <font>
      <name val="Times New Roman"/>
      <family val="1"/>
      <b/>
      <color rgb="FF000000"/>
      <sz val="14"/>
    </font>
    <font>
      <name val="Times New Roman"/>
      <family val="1"/>
      <b/>
      <color rgb="FF000000"/>
      <sz val="12"/>
    </font>
    <font>
      <name val="Times New Roman"/>
      <family val="1"/>
      <b/>
      <color rgb="FF000000"/>
      <sz val="10"/>
    </font>
    <font>
      <name val="Arial"/>
      <family val="2"/>
      <color rgb="FF006100"/>
      <sz val="11"/>
      <scheme val="minor"/>
    </font>
    <font>
      <name val="Times New Roman"/>
      <family val="1"/>
      <b/>
      <color rgb="FF000000"/>
      <sz val="9"/>
    </font>
    <font>
      <name val="Times New Roman"/>
      <family val="1"/>
      <b/>
      <color rgb="FF000000"/>
      <sz val="11"/>
    </font>
    <font>
      <name val="Times New Roman"/>
      <family val="1"/>
      <b/>
      <color rgb="FFFF0000"/>
      <sz val="11"/>
    </font>
    <font>
      <name val="Times New Roman"/>
      <family val="1"/>
      <b/>
      <color rgb="FFFF0000"/>
      <sz val="12"/>
    </font>
    <font>
      <name val="Times New Roman"/>
      <family val="1"/>
      <color rgb="FF000000"/>
      <sz val="11"/>
    </font>
    <font>
      <name val="Calibri"/>
      <family val="2"/>
      <color rgb="FF000000"/>
      <sz val="11"/>
    </font>
    <font>
      <name val="Calibri"/>
      <family val="2"/>
      <b/>
      <color rgb="FF000000"/>
      <sz val="11"/>
    </font>
    <font>
      <name val="Arial"/>
      <family val="2"/>
      <b/>
      <color rgb="FF000000"/>
      <sz val="12"/>
      <scheme val="minor"/>
    </font>
    <font>
      <name val="Times New Roman"/>
      <family val="1"/>
      <color rgb="FF000000"/>
      <sz val="14"/>
    </font>
    <font>
      <name val="Times New Roman"/>
      <family val="1"/>
      <b/>
      <color rgb="FF000000"/>
      <sz val="16"/>
    </font>
    <font>
      <name val="Times New Roman"/>
      <family val="1"/>
      <b/>
      <color rgb="FF000000"/>
      <sz val="20"/>
    </font>
    <font>
      <name val="Times New Roman"/>
      <family val="1"/>
      <b/>
      <color rgb="FF000000"/>
      <sz val="20"/>
    </font>
    <font>
      <name val="Arial"/>
      <family val="2"/>
      <color rgb="FF9C0006"/>
      <sz val="11"/>
      <scheme val="minor"/>
    </font>
    <font>
      <name val="Arial"/>
      <family val="2"/>
      <color rgb="FF000000"/>
      <sz val="11"/>
      <scheme val="minor"/>
    </font>
    <font>
      <name val="Arial"/>
      <family val="2"/>
      <color rgb="FF000000"/>
      <sz val="12"/>
      <scheme val="minor"/>
    </font>
    <font>
      <name val="Times New Roman"/>
      <family val="1"/>
      <b/>
      <color rgb="FF000000"/>
      <sz val="18"/>
    </font>
    <font>
      <name val="Times New Roman"/>
      <family val="1"/>
      <b/>
      <color rgb="FFFF0000"/>
      <sz val="18"/>
    </font>
    <font>
      <name val="Times New Roman"/>
      <family val="1"/>
      <color rgb="FF000000"/>
      <sz val="18"/>
    </font>
    <font>
      <name val="Arial"/>
      <family val="2"/>
      <color rgb="FF000000"/>
      <sz val="18"/>
      <scheme val="minor"/>
    </font>
    <font>
      <name val="Times New Roman"/>
      <family val="1"/>
      <color rgb="FF000000"/>
      <sz val="18"/>
    </font>
    <font>
      <name val="Times New Roman"/>
      <family val="1"/>
      <b/>
      <color rgb="FF000000"/>
      <sz val="18"/>
    </font>
    <font>
      <name val="Arial"/>
      <family val="2"/>
      <b/>
      <color rgb="FF000000"/>
      <sz val="18"/>
      <scheme val="minor"/>
    </font>
    <font>
      <name val="Arial"/>
      <family val="2"/>
      <color rgb="FF000000"/>
      <sz val="11"/>
      <scheme val="minor"/>
    </font>
    <font>
      <name val="Arial"/>
      <family val="2"/>
      <b/>
      <color rgb="FF3F3F3F"/>
      <sz val="11"/>
      <scheme val="minor"/>
    </font>
    <font>
      <name val="Arial"/>
      <family val="2"/>
      <b/>
      <color rgb="FF000000"/>
      <sz val="11"/>
      <scheme val="minor"/>
    </font>
    <font>
      <name val="Arial"/>
      <family val="2"/>
      <color rgb="FF000000"/>
      <sz val="11"/>
      <scheme val="minor"/>
    </font>
    <font>
      <name val="Arial"/>
      <family val="2"/>
      <color rgb="FF0C0C0C"/>
      <sz val="11"/>
      <scheme val="minor"/>
    </font>
    <font>
      <name val="Times New Roman"/>
      <family val="1"/>
      <b/>
      <color rgb="FF000000"/>
      <sz val="11"/>
    </font>
    <font>
      <name val="Times New Roman"/>
      <family val="1"/>
      <color rgb="FF000000"/>
      <sz val="11"/>
    </font>
    <font>
      <name val="Times New Roman"/>
      <family val="1"/>
      <color rgb="FFFF0000"/>
      <sz val="12"/>
    </font>
    <font>
      <name val="Times New Roman"/>
      <family val="1"/>
      <color rgb="FF000000"/>
      <sz val="24"/>
    </font>
    <font>
      <name val="Times New Roman"/>
      <family val="1"/>
      <color rgb="FF000000"/>
      <sz val="12"/>
    </font>
    <font>
      <name val="Times New Roman"/>
      <family val="1"/>
      <color rgb="FF000000"/>
      <sz val="26"/>
    </font>
    <font>
      <name val="Times New Roman"/>
      <family val="1"/>
      <b/>
      <color rgb="FF000000"/>
      <sz val="24"/>
    </font>
    <font>
      <name val="Times New Roman"/>
      <family val="1"/>
      <color rgb="FF000000"/>
      <sz val="10"/>
    </font>
    <font>
      <name val="Arial"/>
      <family val="2"/>
      <b/>
      <color rgb="FF000000"/>
      <sz val="11"/>
      <scheme val="minor"/>
    </font>
    <font>
      <name val="Times "/>
      <b/>
      <color rgb="FF000000"/>
      <sz val="16"/>
    </font>
    <font>
      <name val="Times "/>
      <b/>
      <color rgb="FF000000"/>
      <sz val="10"/>
    </font>
    <font>
      <name val="Times "/>
      <color rgb="FF000000"/>
      <sz val="11"/>
    </font>
    <font>
      <name val="Times "/>
      <color rgb="FF000000"/>
      <sz val="11"/>
    </font>
    <font>
      <name val="Times New Roman"/>
      <family val="1"/>
      <color rgb="FF000000"/>
      <sz val="14"/>
    </font>
    <font>
      <name val="Times"/>
      <family val="1"/>
      <color rgb="FF000000"/>
      <sz val="12"/>
    </font>
    <font>
      <name val="Times"/>
      <family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2"/>
      <scheme val="minor"/>
    </font>
    <font>
      <name val="Times New Roman"/>
      <family val="1"/>
      <b/>
      <color rgb="FF3F3F3F"/>
      <sz val="11"/>
    </font>
    <font>
      <name val="Times New Roman"/>
      <family val="1"/>
      <color rgb="FF0C0C0C"/>
      <sz val="12"/>
    </font>
    <font>
      <name val="Tahoma"/>
      <family val="2"/>
      <color rgb="FF000000"/>
      <sz val="9"/>
    </font>
    <font>
      <name val="Arial"/>
      <family val="2"/>
      <color rgb="FF000000"/>
      <sz val="10"/>
      <scheme val="minor"/>
    </font>
    <font>
      <name val="Arial"/>
      <family val="2"/>
      <color rgb="FF222222"/>
      <sz val="11"/>
      <scheme val="minor"/>
    </font>
    <font>
      <name val="Times New Roman"/>
      <family val="1"/>
      <i/>
      <color rgb="FF000000"/>
      <sz val="12"/>
    </font>
    <font>
      <name val="Calibri"/>
      <family val="2"/>
      <b/>
      <color rgb="FF000000"/>
      <sz val="11"/>
    </font>
    <font>
      <name val="Times New Roman"/>
      <family val="1"/>
      <color rgb="FF000000"/>
      <sz val="12"/>
    </font>
    <font>
      <name val="Arial"/>
      <family val="2"/>
      <color rgb="FF000000"/>
      <sz val="12"/>
      <scheme val="maj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auto="1"/>
      </patternFill>
    </fill>
    <fill>
      <patternFill patternType="solid">
        <fgColor rgb="FFF6B3AE"/>
        <bgColor indexed="64"/>
      </patternFill>
    </fill>
    <fill>
      <patternFill patternType="solid">
        <fgColor rgb="FF7AD592"/>
        <bgColor indexed="64"/>
      </patternFill>
    </fill>
    <fill>
      <patternFill patternType="solid">
        <fgColor rgb="FFF2F2F2"/>
      </patternFill>
    </fill>
    <fill>
      <patternFill patternType="solid">
        <fgColor rgb="FF8DB5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FAD9D6"/>
        <bgColor indexed="64"/>
      </patternFill>
    </fill>
    <fill>
      <patternFill patternType="solid">
        <fgColor rgb="FFB4E4E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6F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2F9299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CD668"/>
        <bgColor indexed="64"/>
      </patternFill>
    </fill>
  </fills>
  <borders count="6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/>
      <right style="thin"/>
      <top style="thin"/>
      <bottom style="thin"/>
      <diagonal style="none">
        <color rgb="FF000000"/>
      </diagonal>
    </border>
    <border>
      <left style="thin"/>
      <right style="thin"/>
      <top style="thin"/>
      <bottom style="none">
        <color rgb="FF000000"/>
      </bottom>
      <diagonal style="none">
        <color rgb="FF000000"/>
      </diagonal>
    </border>
    <border>
      <left style="thin"/>
      <right style="none">
        <color rgb="FF000000"/>
      </right>
      <top style="thin"/>
      <bottom style="thin"/>
      <diagonal style="none">
        <color rgb="FF000000"/>
      </diagonal>
    </border>
    <border>
      <left style="none">
        <color rgb="FF000000"/>
      </left>
      <right style="none">
        <color rgb="FF000000"/>
      </right>
      <top style="thin"/>
      <bottom style="thin"/>
      <diagonal style="none">
        <color rgb="FF000000"/>
      </diagonal>
    </border>
    <border>
      <left style="none">
        <color rgb="FF000000"/>
      </left>
      <right style="thin"/>
      <top style="thin"/>
      <bottom style="thin"/>
      <diagonal style="none">
        <color rgb="FF000000"/>
      </diagonal>
    </border>
    <border>
      <left style="thin"/>
      <right style="thin"/>
      <top style="none">
        <color rgb="FF000000"/>
      </top>
      <bottom style="thin"/>
      <diagonal style="none">
        <color rgb="FF000000"/>
      </diagonal>
    </border>
    <border>
      <left style="thin"/>
      <right style="thin"/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/>
      <right style="none">
        <color rgb="FF000000"/>
      </right>
      <top style="none">
        <color rgb="FF000000"/>
      </top>
      <bottom style="thin"/>
      <diagonal style="none">
        <color rgb="FF000000"/>
      </diagonal>
    </border>
    <border>
      <left style="medium"/>
      <right style="medium"/>
      <top style="medium"/>
      <bottom style="medium"/>
      <diagonal style="none">
        <color rgb="FF000000"/>
      </diagonal>
    </border>
    <border>
      <left style="medium"/>
      <right style="medium"/>
      <top style="none">
        <color rgb="FF000000"/>
      </top>
      <bottom style="medium"/>
      <diagonal style="none">
        <color rgb="FF000000"/>
      </diagonal>
    </border>
    <border>
      <left style="medium"/>
      <right style="none">
        <color rgb="FF000000"/>
      </right>
      <top style="medium"/>
      <bottom style="medium"/>
      <diagonal style="none">
        <color rgb="FF000000"/>
      </diagonal>
    </border>
    <border>
      <left style="thin"/>
      <right style="medium"/>
      <top style="medium"/>
      <bottom style="thin"/>
      <diagonal style="none">
        <color rgb="FF000000"/>
      </diagonal>
    </border>
    <border>
      <left style="thin"/>
      <right style="medium"/>
      <top style="thin"/>
      <bottom style="medium"/>
      <diagonal style="none">
        <color rgb="FF000000"/>
      </diagonal>
    </border>
    <border>
      <left style="medium"/>
      <right style="thin"/>
      <top style="none">
        <color rgb="FF000000"/>
      </top>
      <bottom style="medium"/>
      <diagonal style="none">
        <color rgb="FF000000"/>
      </diagonal>
    </border>
    <border>
      <left style="thin"/>
      <right style="medium"/>
      <top style="none">
        <color rgb="FF000000"/>
      </top>
      <bottom style="medium"/>
      <diagonal style="none">
        <color rgb="FF000000"/>
      </diagonal>
    </border>
    <border>
      <left style="medium"/>
      <right style="thin"/>
      <top style="medium"/>
      <bottom style="medium"/>
      <diagonal style="none">
        <color rgb="FF000000"/>
      </diagonal>
    </border>
    <border>
      <left style="thin"/>
      <right style="medium"/>
      <top style="medium"/>
      <bottom style="medium"/>
      <diagonal style="none">
        <color rgb="FF000000"/>
      </diagonal>
    </border>
    <border>
      <left style="thin"/>
      <right style="none">
        <color rgb="FF000000"/>
      </right>
      <top style="thin"/>
      <bottom style="none">
        <color rgb="FF000000"/>
      </bottom>
      <diagonal style="none">
        <color rgb="FF000000"/>
      </diagonal>
    </border>
    <border>
      <left style="medium"/>
      <right style="none">
        <color rgb="FF000000"/>
      </right>
      <top style="medium"/>
      <bottom style="thin"/>
      <diagonal style="none">
        <color rgb="FF000000"/>
      </diagonal>
    </border>
    <border>
      <left style="thin"/>
      <right style="medium"/>
      <top style="thin"/>
      <bottom style="thin"/>
      <diagonal style="none">
        <color rgb="FF000000"/>
      </diagonal>
    </border>
    <border>
      <left style="medium"/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none">
        <color rgb="FF000000"/>
      </right>
      <top style="none">
        <color rgb="FF000000"/>
      </top>
      <bottom style="medium"/>
      <diagonal style="none">
        <color rgb="FF000000"/>
      </diagonal>
    </border>
    <border>
      <left style="medium"/>
      <right style="thin"/>
      <top style="thin"/>
      <bottom style="none">
        <color rgb="FF000000"/>
      </bottom>
      <diagonal style="none">
        <color rgb="FF000000"/>
      </diagonal>
    </border>
    <border>
      <left style="thin"/>
      <right style="medium"/>
      <top style="thin"/>
      <bottom style="none">
        <color rgb="FF000000"/>
      </bottom>
      <diagonal style="none">
        <color rgb="FF000000"/>
      </diagonal>
    </border>
    <border>
      <left style="medium"/>
      <right style="none">
        <color rgb="FF000000"/>
      </right>
      <top style="medium"/>
      <bottom style="none">
        <color rgb="FF000000"/>
      </bottom>
      <diagonal style="none">
        <color rgb="FF000000"/>
      </diagonal>
    </border>
    <border>
      <left style="thin"/>
      <right style="thin"/>
      <top style="medium"/>
      <bottom style="thin"/>
      <diagonal style="none">
        <color rgb="FF000000"/>
      </diagonal>
    </border>
    <border>
      <left style="thin"/>
      <right style="thin"/>
      <top style="thin"/>
      <bottom style="medium"/>
      <diagonal style="none">
        <color rgb="FF000000"/>
      </diagonal>
    </border>
    <border>
      <left style="thin"/>
      <right style="thin"/>
      <top style="none">
        <color rgb="FF000000"/>
      </top>
      <bottom style="medium"/>
      <diagonal style="none">
        <color rgb="FF000000"/>
      </diagonal>
    </border>
    <border>
      <left style="thin"/>
      <right style="thin"/>
      <top style="medium"/>
      <bottom style="medium"/>
      <diagonal style="none">
        <color rgb="FF000000"/>
      </diagonal>
    </border>
    <border>
      <left style="none">
        <color rgb="FF000000"/>
      </left>
      <right style="thin"/>
      <top style="none">
        <color rgb="FF000000"/>
      </top>
      <bottom style="medium"/>
      <diagonal style="none">
        <color rgb="FF000000"/>
      </diagonal>
    </border>
    <border>
      <left style="none">
        <color rgb="FF000000"/>
      </left>
      <right style="none">
        <color rgb="FF000000"/>
      </right>
      <top style="medium"/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medium"/>
      <diagonal style="none">
        <color rgb="FF000000"/>
      </diagonal>
    </border>
    <border>
      <left style="medium"/>
      <right style="thin"/>
      <top style="medium"/>
      <bottom style="none">
        <color rgb="FF000000"/>
      </bottom>
      <diagonal style="none">
        <color rgb="FF000000"/>
      </diagonal>
    </border>
    <border>
      <left style="medium"/>
      <right style="thin"/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medium"/>
      <top style="medium"/>
      <bottom style="none">
        <color rgb="FF000000"/>
      </bottom>
      <diagonal style="none">
        <color rgb="FF000000"/>
      </diagonal>
    </border>
    <border>
      <left style="none">
        <color rgb="FF000000"/>
      </left>
      <right style="medium"/>
      <top style="medium"/>
      <bottom style="none">
        <color rgb="FF000000"/>
      </bottom>
      <diagonal style="none">
        <color rgb="FF000000"/>
      </diagonal>
    </border>
    <border>
      <left style="thin"/>
      <right style="thin"/>
      <top style="thin">
        <color rgb="FF000000"/>
      </top>
      <bottom style="none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thin"/>
      <right style="thin"/>
      <top style="thin">
        <color rgb="FF000000"/>
      </top>
      <bottom style="thin"/>
      <diagonal style="none">
        <color rgb="FF000000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/>
      <right style="medium"/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medium"/>
      <top style="thin"/>
      <bottom style="medium"/>
      <diagonal style="none">
        <color rgb="FF000000"/>
      </diagonal>
    </border>
    <border>
      <left style="thin"/>
      <right style="none">
        <color rgb="FF000000"/>
      </right>
      <top style="none">
        <color rgb="FF000000"/>
      </top>
      <bottom style="medium"/>
      <diagonal style="none">
        <color rgb="FF000000"/>
      </diagonal>
    </border>
    <border>
      <left style="medium"/>
      <right style="medium"/>
      <top style="medium"/>
      <bottom style="thin"/>
      <diagonal style="none">
        <color rgb="FF000000"/>
      </diagonal>
    </border>
    <border>
      <left style="thin"/>
      <right style="none">
        <color rgb="FF000000"/>
      </right>
      <top style="medium"/>
      <bottom style="medium"/>
      <diagonal style="none">
        <color rgb="FF000000"/>
      </diagonal>
    </border>
    <border>
      <left style="none">
        <color rgb="FF000000"/>
      </left>
      <right style="thin"/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/>
      <top style="none">
        <color rgb="FF000000"/>
      </top>
      <bottom style="thin"/>
      <diagonal style="none">
        <color rgb="FF000000"/>
      </diagonal>
    </border>
    <border>
      <left style="none">
        <color rgb="FF000000"/>
      </left>
      <right style="thin">
        <color rgb="FF000000"/>
      </right>
      <top style="thin"/>
      <bottom style="thin"/>
      <diagonal style="none">
        <color rgb="FF000000"/>
      </diagon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left style="medium"/>
      <right style="thin"/>
      <top style="thin"/>
      <bottom style="medium"/>
      <diagonal style="none">
        <color rgb="FF000000"/>
      </diagonal>
    </border>
    <border>
      <left style="medium"/>
      <right style="thin"/>
      <top style="thin"/>
      <bottom style="thin"/>
      <diagonal style="none">
        <color rgb="FF000000"/>
      </diagonal>
    </border>
    <border>
      <left style="medium"/>
      <right style="thin"/>
      <top style="none">
        <color rgb="FF000000"/>
      </top>
      <bottom style="thin"/>
      <diagonal style="none">
        <color rgb="FF000000"/>
      </diagonal>
    </border>
    <border>
      <left style="none">
        <color rgb="FF000000"/>
      </left>
      <right style="none">
        <color rgb="FF000000"/>
      </right>
      <top style="thin"/>
      <bottom style="none">
        <color rgb="FF000000"/>
      </bottom>
      <diagonal style="none">
        <color rgb="FF000000"/>
      </diagonal>
    </border>
    <border>
      <left style="none">
        <color rgb="FF000000"/>
      </left>
      <right style="thin"/>
      <top style="thin"/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/>
      <top style="none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/>
      <right style="thin"/>
      <top style="none">
        <color rgb="FF000000"/>
      </top>
      <bottom style="thin">
        <color rgb="FF3F3F3F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4">
    <xf numFmtId="0" fontId="0" fillId="0" borderId="0" xfId="0"/>
    <xf numFmtId="0" fontId="13" fillId="7" borderId="0" xfId="0" applyFont="1" applyFill="1"/>
    <xf numFmtId="0" fontId="26" fillId="8" borderId="42" xfId="0" applyFont="1" applyFill="1" applyBorder="1"/>
    <xf numFmtId="0" fontId="27" fillId="0" borderId="0" xfId="0" applyFont="1"/>
    <xf numFmtId="0" fontId="54" fillId="0" borderId="51" xfId="0" applyFont="1" applyBorder="1"/>
    <xf numFmtId="0" fontId="27" fillId="0" borderId="0" xfId="0" applyFont="1"/>
    <xf numFmtId="0" fontId="36" fillId="0" borderId="0" xfId="0" applyFont="1"/>
    <xf numFmtId="0" fontId="37" fillId="11" borderId="51" xfId="0" applyFont="1" applyFill="1" applyBorder="1"/>
    <xf numFmtId="165" fontId="27" fillId="0" borderId="0" xfId="0" applyNumberFormat="1" applyFont="1"/>
    <xf numFmtId="0" fontId="48" fillId="0" borderId="51" xfId="0" applyFont="1" applyBorder="1"/>
    <xf numFmtId="43" fontId="27" fillId="0" borderId="0" xfId="0" applyNumberFormat="1" applyFont="1"/>
    <xf numFmtId="0" fontId="57" fillId="0" borderId="0" xfId="0" applyFont="1"/>
    <xf numFmtId="0" fontId="59" fillId="11" borderId="51" xfId="0" applyFont="1" applyFill="1" applyBorder="1"/>
    <xf numFmtId="0" fontId="48" fillId="0" borderId="51" xfId="0" applyFont="1" applyBorder="1"/>
  </cellStyleXfs>
  <cellXfs count="463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6" borderId="0" xfId="0" applyFont="1" applyFill="1"/>
    <xf numFmtId="0" fontId="0" fillId="6" borderId="0" xfId="0" applyFill="1"/>
    <xf numFmtId="0" fontId="3" fillId="6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1" xfId="0" applyFont="1" applyBorder="1"/>
    <xf numFmtId="0" fontId="11" fillId="4" borderId="1" xfId="0" applyFont="1" applyFill="1" applyBorder="1"/>
    <xf numFmtId="0" fontId="15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0" xfId="0" applyFont="1"/>
    <xf numFmtId="0" fontId="18" fillId="0" borderId="0" xfId="0" applyFont="1"/>
    <xf numFmtId="0" fontId="14" fillId="0" borderId="38" xfId="0" applyFont="1" applyBorder="1"/>
    <xf numFmtId="0" fontId="12" fillId="0" borderId="1" xfId="0" applyFont="1" applyBorder="1"/>
    <xf numFmtId="0" fontId="17" fillId="0" borderId="1" xfId="0" applyFont="1" applyBorder="1"/>
    <xf numFmtId="0" fontId="16" fillId="0" borderId="1" xfId="0" applyFont="1" applyBorder="1"/>
    <xf numFmtId="1" fontId="1" fillId="0" borderId="0" xfId="0" applyNumberFormat="1" applyFont="1"/>
    <xf numFmtId="0" fontId="25" fillId="4" borderId="1" xfId="0" applyFont="1" applyFill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left"/>
    </xf>
    <xf numFmtId="0" fontId="23" fillId="5" borderId="1" xfId="0" applyFont="1" applyFill="1" applyBorder="1"/>
    <xf numFmtId="0" fontId="23" fillId="3" borderId="1" xfId="0" applyFont="1" applyFill="1" applyBorder="1"/>
    <xf numFmtId="0" fontId="23" fillId="4" borderId="1" xfId="0" applyFont="1" applyFill="1" applyBorder="1"/>
    <xf numFmtId="0" fontId="22" fillId="0" borderId="0" xfId="0" applyFont="1"/>
    <xf numFmtId="0" fontId="28" fillId="0" borderId="0" xfId="0" applyFont="1"/>
    <xf numFmtId="0" fontId="29" fillId="0" borderId="15" xfId="0" applyFont="1" applyBorder="1" applyAlignment="1">
      <alignment vertical="center"/>
    </xf>
    <xf numFmtId="0" fontId="29" fillId="0" borderId="29" xfId="0" applyFont="1" applyBorder="1" applyAlignment="1">
      <alignment vertical="center"/>
    </xf>
    <xf numFmtId="0" fontId="30" fillId="0" borderId="11" xfId="0" applyFont="1" applyBorder="1"/>
    <xf numFmtId="0" fontId="29" fillId="0" borderId="22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0" borderId="13" xfId="0" applyFont="1" applyBorder="1"/>
    <xf numFmtId="0" fontId="29" fillId="0" borderId="14" xfId="0" applyFont="1" applyBorder="1" applyAlignment="1">
      <alignment vertical="center"/>
    </xf>
    <xf numFmtId="0" fontId="29" fillId="0" borderId="28" xfId="0" applyFont="1" applyBorder="1" applyAlignment="1">
      <alignment vertical="center"/>
    </xf>
    <xf numFmtId="1" fontId="31" fillId="0" borderId="20" xfId="0" applyNumberFormat="1" applyFont="1" applyBorder="1"/>
    <xf numFmtId="0" fontId="31" fillId="0" borderId="2" xfId="0" applyFont="1" applyBorder="1"/>
    <xf numFmtId="0" fontId="29" fillId="0" borderId="2" xfId="0" applyFont="1" applyBorder="1"/>
    <xf numFmtId="0" fontId="32" fillId="0" borderId="0" xfId="0" applyFont="1"/>
    <xf numFmtId="0" fontId="31" fillId="0" borderId="0" xfId="0" applyFont="1"/>
    <xf numFmtId="164" fontId="31" fillId="0" borderId="26" xfId="0" applyNumberFormat="1" applyFont="1" applyBorder="1"/>
    <xf numFmtId="1" fontId="29" fillId="0" borderId="25" xfId="0" applyNumberFormat="1" applyFont="1" applyBorder="1"/>
    <xf numFmtId="1" fontId="31" fillId="0" borderId="3" xfId="0" applyNumberFormat="1" applyFont="1" applyBorder="1"/>
    <xf numFmtId="0" fontId="31" fillId="0" borderId="1" xfId="0" applyFont="1" applyBorder="1"/>
    <xf numFmtId="0" fontId="29" fillId="0" borderId="1" xfId="0" applyFont="1" applyBorder="1"/>
    <xf numFmtId="164" fontId="31" fillId="0" borderId="14" xfId="0" applyNumberFormat="1" applyFont="1" applyBorder="1"/>
    <xf numFmtId="1" fontId="31" fillId="0" borderId="21" xfId="0" applyNumberFormat="1" applyFont="1" applyBorder="1"/>
    <xf numFmtId="0" fontId="31" fillId="0" borderId="1" xfId="0" applyFont="1" applyBorder="1" applyAlignment="1">
      <alignment horizontal="center"/>
    </xf>
    <xf numFmtId="0" fontId="32" fillId="0" borderId="1" xfId="0" applyFont="1" applyBorder="1"/>
    <xf numFmtId="0" fontId="33" fillId="0" borderId="1" xfId="0" applyFont="1" applyBorder="1"/>
    <xf numFmtId="164" fontId="31" fillId="0" borderId="6" xfId="0" applyNumberFormat="1" applyFont="1" applyBorder="1"/>
    <xf numFmtId="0" fontId="34" fillId="4" borderId="1" xfId="0" applyFont="1" applyFill="1" applyBorder="1" applyAlignment="1">
      <alignment horizontal="center"/>
    </xf>
    <xf numFmtId="0" fontId="34" fillId="4" borderId="1" xfId="0" applyFont="1" applyFill="1" applyBorder="1"/>
    <xf numFmtId="0" fontId="31" fillId="0" borderId="6" xfId="0" applyFont="1" applyBorder="1"/>
    <xf numFmtId="0" fontId="10" fillId="4" borderId="1" xfId="0" applyFont="1" applyFill="1" applyBorder="1"/>
    <xf numFmtId="1" fontId="29" fillId="0" borderId="6" xfId="0" applyNumberFormat="1" applyFont="1" applyBorder="1"/>
    <xf numFmtId="1" fontId="31" fillId="0" borderId="10" xfId="0" applyNumberFormat="1" applyFont="1" applyBorder="1"/>
    <xf numFmtId="1" fontId="31" fillId="0" borderId="6" xfId="0" applyNumberFormat="1" applyFont="1" applyBorder="1"/>
    <xf numFmtId="0" fontId="31" fillId="0" borderId="6" xfId="0" applyFont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164" fontId="31" fillId="0" borderId="1" xfId="0" applyNumberFormat="1" applyFont="1" applyBorder="1"/>
    <xf numFmtId="0" fontId="31" fillId="5" borderId="3" xfId="0" applyFont="1" applyFill="1" applyBorder="1"/>
    <xf numFmtId="0" fontId="31" fillId="4" borderId="3" xfId="0" applyFont="1" applyFill="1" applyBorder="1"/>
    <xf numFmtId="0" fontId="31" fillId="0" borderId="3" xfId="0" applyFont="1" applyBorder="1"/>
    <xf numFmtId="0" fontId="31" fillId="3" borderId="3" xfId="0" applyFont="1" applyFill="1" applyBorder="1"/>
    <xf numFmtId="0" fontId="31" fillId="0" borderId="3" xfId="0" applyFont="1" applyBorder="1" applyAlignment="1">
      <alignment horizontal="left"/>
    </xf>
    <xf numFmtId="0" fontId="32" fillId="0" borderId="6" xfId="0" applyFont="1" applyBorder="1"/>
    <xf numFmtId="0" fontId="24" fillId="0" borderId="1" xfId="0" applyFont="1" applyBorder="1"/>
    <xf numFmtId="0" fontId="6" fillId="0" borderId="45" xfId="0" applyFont="1" applyBorder="1"/>
    <xf numFmtId="0" fontId="6" fillId="0" borderId="16" xfId="0" applyFont="1" applyBorder="1"/>
    <xf numFmtId="1" fontId="6" fillId="0" borderId="13" xfId="0" applyNumberFormat="1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47" xfId="0" applyFont="1" applyBorder="1"/>
    <xf numFmtId="0" fontId="6" fillId="0" borderId="18" xfId="0" applyFont="1" applyBorder="1"/>
    <xf numFmtId="1" fontId="5" fillId="0" borderId="0" xfId="0" applyNumberFormat="1" applyFont="1"/>
    <xf numFmtId="0" fontId="20" fillId="0" borderId="0" xfId="0" applyFont="1"/>
    <xf numFmtId="0" fontId="19" fillId="0" borderId="0" xfId="0" applyFont="1"/>
    <xf numFmtId="0" fontId="2" fillId="0" borderId="0" xfId="0" applyFont="1"/>
    <xf numFmtId="0" fontId="6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" fontId="29" fillId="0" borderId="1" xfId="0" applyNumberFormat="1" applyFont="1" applyBorder="1"/>
    <xf numFmtId="164" fontId="1" fillId="0" borderId="0" xfId="0" applyNumberFormat="1" applyFont="1"/>
    <xf numFmtId="1" fontId="34" fillId="4" borderId="1" xfId="0" applyNumberFormat="1" applyFont="1" applyFill="1" applyBorder="1"/>
    <xf numFmtId="0" fontId="28" fillId="6" borderId="1" xfId="0" applyFont="1" applyFill="1" applyBorder="1"/>
    <xf numFmtId="0" fontId="35" fillId="9" borderId="1" xfId="0" applyFont="1" applyFill="1" applyBorder="1"/>
    <xf numFmtId="0" fontId="2" fillId="0" borderId="1" xfId="0" applyFont="1" applyBorder="1"/>
    <xf numFmtId="0" fontId="0" fillId="0" borderId="0" xfId="0"/>
    <xf numFmtId="0" fontId="0" fillId="12" borderId="0" xfId="0" applyFill="1"/>
    <xf numFmtId="0" fontId="3" fillId="2" borderId="1" xfId="0" applyFont="1" applyFill="1" applyBorder="1"/>
    <xf numFmtId="0" fontId="0" fillId="12" borderId="1" xfId="0" applyFill="1" applyBorder="1"/>
    <xf numFmtId="0" fontId="3" fillId="3" borderId="1" xfId="0" applyFont="1" applyFill="1" applyBorder="1"/>
    <xf numFmtId="0" fontId="3" fillId="0" borderId="1" xfId="0" applyFont="1" applyBorder="1"/>
    <xf numFmtId="0" fontId="4" fillId="13" borderId="1" xfId="0" applyFont="1" applyFill="1" applyBorder="1"/>
    <xf numFmtId="0" fontId="0" fillId="12" borderId="2" xfId="0" applyFill="1" applyBorder="1"/>
    <xf numFmtId="0" fontId="0" fillId="0" borderId="2" xfId="0" applyBorder="1"/>
    <xf numFmtId="0" fontId="3" fillId="2" borderId="7" xfId="0" applyFont="1" applyFill="1" applyBorder="1"/>
    <xf numFmtId="0" fontId="20" fillId="0" borderId="0" xfId="0" applyFont="1"/>
    <xf numFmtId="0" fontId="20" fillId="0" borderId="0" xfId="0" applyFont="1"/>
    <xf numFmtId="0" fontId="1" fillId="0" borderId="0" xfId="0" applyFont="1"/>
    <xf numFmtId="0" fontId="38" fillId="0" borderId="0" xfId="0" applyFont="1"/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2" xfId="0" applyFont="1" applyBorder="1"/>
    <xf numFmtId="0" fontId="15" fillId="0" borderId="51" xfId="0" applyFont="1" applyBorder="1"/>
    <xf numFmtId="1" fontId="15" fillId="0" borderId="51" xfId="0" applyNumberFormat="1" applyFont="1" applyBorder="1"/>
    <xf numFmtId="0" fontId="41" fillId="0" borderId="48" xfId="0" applyFont="1" applyBorder="1"/>
    <xf numFmtId="0" fontId="2" fillId="0" borderId="0" xfId="0" applyFont="1"/>
    <xf numFmtId="0" fontId="2" fillId="0" borderId="7" xfId="0" applyFont="1" applyBorder="1"/>
    <xf numFmtId="0" fontId="2" fillId="0" borderId="1" xfId="0" applyFont="1" applyBorder="1"/>
    <xf numFmtId="0" fontId="36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38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/>
    </xf>
    <xf numFmtId="0" fontId="18" fillId="0" borderId="9" xfId="0" applyFont="1" applyBorder="1" applyAlignment="1">
      <alignment horizontal="left" vertical="center"/>
    </xf>
    <xf numFmtId="0" fontId="0" fillId="0" borderId="0" xfId="0"/>
    <xf numFmtId="0" fontId="1" fillId="0" borderId="2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1" fillId="0" borderId="0" xfId="0" applyFont="1"/>
    <xf numFmtId="0" fontId="39" fillId="0" borderId="0" xfId="0" applyFont="1"/>
    <xf numFmtId="0" fontId="1" fillId="0" borderId="1" xfId="0" applyFont="1" applyBorder="1"/>
    <xf numFmtId="1" fontId="15" fillId="0" borderId="1" xfId="0" applyNumberFormat="1" applyFont="1" applyBorder="1" applyAlignment="1">
      <alignment horizontal="right" vertical="center"/>
    </xf>
    <xf numFmtId="0" fontId="18" fillId="0" borderId="0" xfId="0" applyFont="1"/>
    <xf numFmtId="0" fontId="0" fillId="0" borderId="0" xfId="0" applyAlignment="1">
      <alignment horizontal="left"/>
    </xf>
    <xf numFmtId="0" fontId="54" fillId="0" borderId="51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43" fillId="15" borderId="5" xfId="0" applyFont="1" applyFill="1" applyBorder="1" applyAlignment="1">
      <alignment horizontal="center"/>
    </xf>
    <xf numFmtId="0" fontId="43" fillId="16" borderId="3" xfId="0" applyFont="1" applyFill="1" applyBorder="1" applyAlignment="1">
      <alignment horizontal="center"/>
    </xf>
    <xf numFmtId="0" fontId="5" fillId="16" borderId="1" xfId="0" applyFont="1" applyFill="1" applyBorder="1"/>
    <xf numFmtId="0" fontId="1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54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/>
    </xf>
    <xf numFmtId="0" fontId="45" fillId="17" borderId="5" xfId="0" applyFont="1" applyFill="1" applyBorder="1" applyAlignment="1">
      <alignment horizontal="center"/>
    </xf>
    <xf numFmtId="0" fontId="45" fillId="18" borderId="3" xfId="0" applyFont="1" applyFill="1" applyBorder="1" applyAlignment="1">
      <alignment horizontal="center"/>
    </xf>
    <xf numFmtId="0" fontId="45" fillId="18" borderId="1" xfId="0" applyFont="1" applyFill="1" applyBorder="1"/>
    <xf numFmtId="0" fontId="18" fillId="17" borderId="0" xfId="0" applyFont="1" applyFill="1" applyAlignment="1">
      <alignment horizontal="center"/>
    </xf>
    <xf numFmtId="0" fontId="45" fillId="17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5" fillId="19" borderId="1" xfId="0" applyFont="1" applyFill="1" applyBorder="1"/>
    <xf numFmtId="0" fontId="1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8" xfId="0" applyFont="1" applyBorder="1" applyAlignment="1">
      <alignment horizontal="left" vertical="center"/>
    </xf>
    <xf numFmtId="0" fontId="18" fillId="0" borderId="51" xfId="0" applyFont="1" applyBorder="1" applyAlignment="1">
      <alignment horizontal="left"/>
    </xf>
    <xf numFmtId="0" fontId="18" fillId="0" borderId="51" xfId="0" applyFont="1" applyBorder="1"/>
    <xf numFmtId="0" fontId="48" fillId="0" borderId="51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1" fillId="0" borderId="7" xfId="0" applyFont="1" applyBorder="1"/>
    <xf numFmtId="0" fontId="41" fillId="0" borderId="49" xfId="0" applyFont="1" applyBorder="1" applyAlignment="1">
      <alignment horizontal="left"/>
    </xf>
    <xf numFmtId="0" fontId="41" fillId="0" borderId="48" xfId="0" applyFont="1" applyBorder="1" applyAlignment="1">
      <alignment horizontal="left"/>
    </xf>
    <xf numFmtId="0" fontId="49" fillId="0" borderId="0" xfId="0" applyFont="1"/>
    <xf numFmtId="0" fontId="2" fillId="0" borderId="7" xfId="0" applyFont="1" applyBorder="1" applyAlignment="1">
      <alignment horizontal="left"/>
    </xf>
    <xf numFmtId="0" fontId="41" fillId="0" borderId="0" xfId="0" applyFont="1" applyAlignment="1">
      <alignment horizontal="left"/>
    </xf>
    <xf numFmtId="165" fontId="38" fillId="0" borderId="0" xfId="0" applyNumberFormat="1" applyFont="1"/>
    <xf numFmtId="0" fontId="49" fillId="0" borderId="1" xfId="0" applyFont="1" applyBorder="1" applyAlignment="1">
      <alignment wrapText="1"/>
    </xf>
    <xf numFmtId="0" fontId="39" fillId="0" borderId="1" xfId="0" applyFont="1" applyBorder="1"/>
    <xf numFmtId="0" fontId="49" fillId="0" borderId="1" xfId="0" applyFont="1" applyBorder="1"/>
    <xf numFmtId="0" fontId="39" fillId="0" borderId="0" xfId="0" applyFont="1"/>
    <xf numFmtId="0" fontId="52" fillId="20" borderId="3" xfId="0" applyFont="1" applyFill="1" applyBorder="1"/>
    <xf numFmtId="0" fontId="53" fillId="20" borderId="1" xfId="0" applyFont="1" applyFill="1" applyBorder="1"/>
    <xf numFmtId="0" fontId="53" fillId="20" borderId="5" xfId="0" applyFont="1" applyFill="1" applyBorder="1"/>
    <xf numFmtId="0" fontId="0" fillId="20" borderId="1" xfId="0" applyFill="1" applyBorder="1"/>
    <xf numFmtId="164" fontId="39" fillId="20" borderId="1" xfId="0" applyNumberFormat="1" applyFont="1" applyFill="1" applyBorder="1"/>
    <xf numFmtId="0" fontId="0" fillId="20" borderId="0" xfId="0" applyFill="1"/>
    <xf numFmtId="0" fontId="39" fillId="20" borderId="1" xfId="0" applyFont="1" applyFill="1" applyBorder="1"/>
    <xf numFmtId="2" fontId="39" fillId="20" borderId="1" xfId="0" applyNumberFormat="1" applyFont="1" applyFill="1" applyBorder="1"/>
    <xf numFmtId="164" fontId="53" fillId="20" borderId="1" xfId="0" applyNumberFormat="1" applyFont="1" applyFill="1" applyBorder="1"/>
    <xf numFmtId="0" fontId="39" fillId="20" borderId="0" xfId="0" applyFont="1" applyFill="1"/>
    <xf numFmtId="0" fontId="0" fillId="20" borderId="2" xfId="0" applyFill="1" applyBorder="1"/>
    <xf numFmtId="0" fontId="39" fillId="20" borderId="2" xfId="0" applyFont="1" applyFill="1" applyBorder="1"/>
    <xf numFmtId="1" fontId="39" fillId="0" borderId="1" xfId="0" applyNumberFormat="1" applyFont="1" applyBorder="1"/>
    <xf numFmtId="165" fontId="39" fillId="0" borderId="0" xfId="0" applyNumberFormat="1" applyFont="1"/>
    <xf numFmtId="165" fontId="38" fillId="0" borderId="0" xfId="0" applyNumberFormat="1" applyFont="1"/>
    <xf numFmtId="165" fontId="39" fillId="0" borderId="0" xfId="0" applyNumberFormat="1" applyFont="1"/>
    <xf numFmtId="164" fontId="39" fillId="0" borderId="0" xfId="0" applyNumberFormat="1" applyFont="1"/>
    <xf numFmtId="165" fontId="39" fillId="0" borderId="1" xfId="0" applyNumberFormat="1" applyFont="1" applyBorder="1"/>
    <xf numFmtId="2" fontId="39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165" fontId="38" fillId="0" borderId="6" xfId="0" applyNumberFormat="1" applyFont="1" applyBorder="1"/>
    <xf numFmtId="0" fontId="39" fillId="0" borderId="0" xfId="0" applyFont="1"/>
    <xf numFmtId="1" fontId="49" fillId="0" borderId="1" xfId="0" applyNumberFormat="1" applyFont="1" applyBorder="1"/>
    <xf numFmtId="0" fontId="39" fillId="0" borderId="1" xfId="0" applyFont="1" applyBorder="1"/>
    <xf numFmtId="0" fontId="54" fillId="20" borderId="51" xfId="0" applyFont="1" applyFill="1" applyBorder="1"/>
    <xf numFmtId="2" fontId="54" fillId="20" borderId="51" xfId="0" applyNumberFormat="1" applyFont="1" applyFill="1" applyBorder="1"/>
    <xf numFmtId="164" fontId="54" fillId="20" borderId="51" xfId="0" applyNumberFormat="1" applyFont="1" applyFill="1" applyBorder="1"/>
    <xf numFmtId="1" fontId="54" fillId="20" borderId="51" xfId="0" applyNumberFormat="1" applyFont="1" applyFill="1" applyBorder="1"/>
    <xf numFmtId="164" fontId="45" fillId="20" borderId="51" xfId="0" applyNumberFormat="1" applyFont="1" applyFill="1" applyBorder="1"/>
    <xf numFmtId="0" fontId="45" fillId="20" borderId="51" xfId="0" applyFont="1" applyFill="1" applyBorder="1"/>
    <xf numFmtId="1" fontId="45" fillId="20" borderId="51" xfId="0" applyNumberFormat="1" applyFont="1" applyFill="1" applyBorder="1"/>
    <xf numFmtId="1" fontId="39" fillId="20" borderId="1" xfId="0" applyNumberFormat="1" applyFont="1" applyFill="1" applyBorder="1"/>
    <xf numFmtId="0" fontId="28" fillId="20" borderId="1" xfId="0" applyFont="1" applyFill="1" applyBorder="1"/>
    <xf numFmtId="2" fontId="58" fillId="20" borderId="1" xfId="0" applyNumberFormat="1" applyFont="1" applyFill="1" applyBorder="1"/>
    <xf numFmtId="0" fontId="58" fillId="20" borderId="1" xfId="0" applyFont="1" applyFill="1" applyBorder="1"/>
    <xf numFmtId="0" fontId="52" fillId="20" borderId="1" xfId="0" applyFont="1" applyFill="1" applyBorder="1"/>
    <xf numFmtId="0" fontId="52" fillId="20" borderId="5" xfId="0" applyFont="1" applyFill="1" applyBorder="1"/>
    <xf numFmtId="0" fontId="52" fillId="20" borderId="2" xfId="0" applyFont="1" applyFill="1" applyBorder="1"/>
    <xf numFmtId="0" fontId="52" fillId="20" borderId="57" xfId="0" applyFont="1" applyFill="1" applyBorder="1"/>
    <xf numFmtId="164" fontId="39" fillId="20" borderId="2" xfId="0" applyNumberFormat="1" applyFont="1" applyFill="1" applyBorder="1"/>
    <xf numFmtId="0" fontId="45" fillId="21" borderId="51" xfId="0" applyFont="1" applyFill="1" applyBorder="1"/>
    <xf numFmtId="164" fontId="45" fillId="21" borderId="51" xfId="0" applyNumberFormat="1" applyFont="1" applyFill="1" applyBorder="1"/>
    <xf numFmtId="1" fontId="45" fillId="21" borderId="51" xfId="0" applyNumberFormat="1" applyFont="1" applyFill="1" applyBorder="1"/>
    <xf numFmtId="0" fontId="51" fillId="20" borderId="3" xfId="0" applyFont="1" applyFill="1" applyBorder="1" applyAlignment="1">
      <alignment horizontal="center" vertical="center" wrapText="1"/>
    </xf>
    <xf numFmtId="0" fontId="51" fillId="20" borderId="1" xfId="0" applyFont="1" applyFill="1" applyBorder="1" applyAlignment="1">
      <alignment horizontal="center" vertical="center" wrapText="1"/>
    </xf>
    <xf numFmtId="0" fontId="51" fillId="20" borderId="5" xfId="0" applyFont="1" applyFill="1" applyBorder="1" applyAlignment="1">
      <alignment horizontal="center" vertical="center" wrapText="1"/>
    </xf>
    <xf numFmtId="2" fontId="45" fillId="20" borderId="51" xfId="0" applyNumberFormat="1" applyFont="1" applyFill="1" applyBorder="1"/>
    <xf numFmtId="0" fontId="45" fillId="10" borderId="51" xfId="0" applyFont="1" applyFill="1" applyBorder="1"/>
    <xf numFmtId="1" fontId="45" fillId="10" borderId="51" xfId="0" applyNumberFormat="1" applyFont="1" applyFill="1" applyBorder="1"/>
    <xf numFmtId="164" fontId="45" fillId="10" borderId="51" xfId="0" applyNumberFormat="1" applyFont="1" applyFill="1" applyBorder="1"/>
    <xf numFmtId="0" fontId="45" fillId="0" borderId="51" xfId="0" applyFont="1" applyBorder="1"/>
    <xf numFmtId="1" fontId="45" fillId="0" borderId="51" xfId="0" applyNumberFormat="1" applyFont="1" applyBorder="1"/>
    <xf numFmtId="164" fontId="45" fillId="0" borderId="51" xfId="0" applyNumberFormat="1" applyFont="1" applyBorder="1"/>
    <xf numFmtId="164" fontId="39" fillId="0" borderId="0" xfId="0" applyNumberFormat="1" applyFont="1"/>
    <xf numFmtId="164" fontId="49" fillId="0" borderId="0" xfId="0" applyNumberFormat="1" applyFont="1"/>
    <xf numFmtId="0" fontId="39" fillId="0" borderId="1" xfId="0" applyFont="1" applyBorder="1"/>
    <xf numFmtId="1" fontId="39" fillId="0" borderId="1" xfId="0" applyNumberFormat="1" applyFont="1" applyBorder="1"/>
    <xf numFmtId="165" fontId="45" fillId="0" borderId="51" xfId="0" applyNumberFormat="1" applyFont="1" applyBorder="1"/>
    <xf numFmtId="0" fontId="56" fillId="0" borderId="1" xfId="0" applyFont="1" applyBorder="1"/>
    <xf numFmtId="164" fontId="55" fillId="0" borderId="1" xfId="0" applyNumberFormat="1" applyFont="1" applyBorder="1"/>
    <xf numFmtId="2" fontId="55" fillId="0" borderId="1" xfId="0" applyNumberFormat="1" applyFont="1" applyBorder="1"/>
    <xf numFmtId="0" fontId="55" fillId="0" borderId="1" xfId="0" applyFont="1" applyBorder="1"/>
    <xf numFmtId="0" fontId="56" fillId="0" borderId="0" xfId="0" applyFont="1"/>
    <xf numFmtId="0" fontId="55" fillId="0" borderId="0" xfId="0" applyFont="1"/>
    <xf numFmtId="0" fontId="39" fillId="0" borderId="0" xfId="0" applyFont="1"/>
    <xf numFmtId="0" fontId="39" fillId="0" borderId="3" xfId="0" applyFont="1" applyBorder="1"/>
    <xf numFmtId="1" fontId="39" fillId="0" borderId="0" xfId="0" applyNumberFormat="1" applyFont="1" applyAlignment="1">
      <alignment horizontal="left" indent="1"/>
    </xf>
    <xf numFmtId="0" fontId="0" fillId="0" borderId="3" xfId="0" applyBorder="1"/>
    <xf numFmtId="1" fontId="39" fillId="0" borderId="0" xfId="0" applyNumberFormat="1" applyFont="1"/>
    <xf numFmtId="0" fontId="54" fillId="10" borderId="51" xfId="0" applyFont="1" applyFill="1" applyBorder="1"/>
    <xf numFmtId="164" fontId="54" fillId="10" borderId="51" xfId="0" applyNumberFormat="1" applyFont="1" applyFill="1" applyBorder="1"/>
    <xf numFmtId="2" fontId="54" fillId="10" borderId="51" xfId="0" applyNumberFormat="1" applyFont="1" applyFill="1" applyBorder="1"/>
    <xf numFmtId="1" fontId="54" fillId="10" borderId="51" xfId="0" applyNumberFormat="1" applyFont="1" applyFill="1" applyBorder="1"/>
    <xf numFmtId="0" fontId="45" fillId="22" borderId="51" xfId="0" applyFont="1" applyFill="1" applyBorder="1"/>
    <xf numFmtId="1" fontId="45" fillId="22" borderId="51" xfId="0" applyNumberFormat="1" applyFont="1" applyFill="1" applyBorder="1"/>
    <xf numFmtId="164" fontId="45" fillId="22" borderId="51" xfId="0" applyNumberFormat="1" applyFont="1" applyFill="1" applyBorder="1"/>
    <xf numFmtId="0" fontId="54" fillId="22" borderId="51" xfId="0" applyFont="1" applyFill="1" applyBorder="1"/>
    <xf numFmtId="164" fontId="54" fillId="22" borderId="51" xfId="0" applyNumberFormat="1" applyFont="1" applyFill="1" applyBorder="1"/>
    <xf numFmtId="2" fontId="54" fillId="22" borderId="51" xfId="0" applyNumberFormat="1" applyFont="1" applyFill="1" applyBorder="1"/>
    <xf numFmtId="0" fontId="45" fillId="14" borderId="51" xfId="0" applyFont="1" applyFill="1" applyBorder="1"/>
    <xf numFmtId="1" fontId="45" fillId="14" borderId="51" xfId="0" applyNumberFormat="1" applyFont="1" applyFill="1" applyBorder="1"/>
    <xf numFmtId="164" fontId="45" fillId="14" borderId="51" xfId="0" applyNumberFormat="1" applyFont="1" applyFill="1" applyBorder="1"/>
    <xf numFmtId="2" fontId="45" fillId="21" borderId="51" xfId="0" applyNumberFormat="1" applyFont="1" applyFill="1" applyBorder="1"/>
    <xf numFmtId="0" fontId="20" fillId="0" borderId="1" xfId="0" applyFont="1" applyBorder="1" applyAlignment="1">
      <alignment horizontal="center" vertical="top"/>
    </xf>
    <xf numFmtId="49" fontId="49" fillId="0" borderId="5" xfId="0" applyNumberFormat="1" applyFont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0" fillId="0" borderId="48" xfId="0" applyBorder="1"/>
    <xf numFmtId="49" fontId="0" fillId="2" borderId="48" xfId="0" applyNumberFormat="1" applyFill="1" applyBorder="1"/>
    <xf numFmtId="0" fontId="0" fillId="2" borderId="0" xfId="0" applyFill="1"/>
    <xf numFmtId="0" fontId="0" fillId="23" borderId="0" xfId="0" applyFill="1"/>
    <xf numFmtId="0" fontId="0" fillId="24" borderId="0" xfId="0" applyFill="1"/>
    <xf numFmtId="49" fontId="0" fillId="0" borderId="48" xfId="0" applyNumberFormat="1" applyBorder="1"/>
    <xf numFmtId="49" fontId="0" fillId="10" borderId="48" xfId="0" applyNumberFormat="1" applyFill="1" applyBorder="1"/>
    <xf numFmtId="0" fontId="0" fillId="10" borderId="0" xfId="0" applyFill="1"/>
    <xf numFmtId="49" fontId="40" fillId="2" borderId="48" xfId="0" applyNumberFormat="1" applyFont="1" applyFill="1" applyBorder="1"/>
    <xf numFmtId="0" fontId="40" fillId="2" borderId="0" xfId="0" applyFont="1" applyFill="1"/>
    <xf numFmtId="0" fontId="40" fillId="20" borderId="0" xfId="0" applyFont="1" applyFill="1"/>
    <xf numFmtId="49" fontId="60" fillId="0" borderId="48" xfId="0" applyNumberFormat="1" applyFont="1" applyBorder="1"/>
    <xf numFmtId="0" fontId="40" fillId="0" borderId="0" xfId="0" applyFont="1"/>
    <xf numFmtId="49" fontId="0" fillId="3" borderId="48" xfId="0" applyNumberFormat="1" applyFill="1" applyBorder="1"/>
    <xf numFmtId="0" fontId="0" fillId="3" borderId="0" xfId="0" applyFill="1"/>
    <xf numFmtId="0" fontId="61" fillId="2" borderId="0" xfId="0" applyFont="1" applyFill="1" applyAlignment="1">
      <alignment vertical="top" wrapText="1" readingOrder="1"/>
    </xf>
    <xf numFmtId="0" fontId="62" fillId="2" borderId="0" xfId="0" applyFont="1" applyFill="1" applyAlignment="1">
      <alignment horizontal="left"/>
    </xf>
    <xf numFmtId="0" fontId="39" fillId="2" borderId="0" xfId="0" applyFont="1" applyFill="1"/>
    <xf numFmtId="0" fontId="39" fillId="3" borderId="0" xfId="0" applyFont="1" applyFill="1"/>
    <xf numFmtId="49" fontId="63" fillId="2" borderId="48" xfId="0" applyNumberFormat="1" applyFont="1" applyFill="1" applyBorder="1"/>
    <xf numFmtId="49" fontId="36" fillId="3" borderId="48" xfId="0" applyNumberFormat="1" applyFont="1" applyFill="1" applyBorder="1"/>
    <xf numFmtId="0" fontId="1" fillId="2" borderId="0" xfId="0" applyFont="1" applyFill="1" applyAlignment="1">
      <alignment horizontal="left"/>
    </xf>
    <xf numFmtId="49" fontId="61" fillId="2" borderId="0" xfId="0" applyNumberFormat="1" applyFont="1" applyFill="1" applyAlignment="1">
      <alignment vertical="top" wrapText="1" readingOrder="1"/>
    </xf>
    <xf numFmtId="0" fontId="19" fillId="20" borderId="0" xfId="0" applyFont="1" applyFill="1" applyAlignment="1">
      <alignment vertical="top" wrapText="1"/>
    </xf>
    <xf numFmtId="49" fontId="64" fillId="2" borderId="0" xfId="0" applyNumberFormat="1" applyFont="1" applyFill="1"/>
    <xf numFmtId="0" fontId="39" fillId="0" borderId="48" xfId="0" applyFont="1" applyBorder="1"/>
    <xf numFmtId="49" fontId="39" fillId="3" borderId="48" xfId="0" applyNumberFormat="1" applyFont="1" applyFill="1" applyBorder="1"/>
    <xf numFmtId="0" fontId="61" fillId="3" borderId="0" xfId="0" applyFont="1" applyFill="1" applyAlignment="1">
      <alignment vertical="top" wrapText="1" readingOrder="1"/>
    </xf>
    <xf numFmtId="0" fontId="0" fillId="0" borderId="2" xfId="0" applyBorder="1"/>
    <xf numFmtId="0" fontId="0" fillId="0" borderId="1" xfId="0" applyBorder="1"/>
    <xf numFmtId="0" fontId="10" fillId="0" borderId="51" xfId="0" applyFont="1" applyBorder="1"/>
    <xf numFmtId="0" fontId="37" fillId="0" borderId="51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5" fillId="0" borderId="0" xfId="0" applyFont="1"/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9" xfId="0" applyFont="1" applyBorder="1"/>
    <xf numFmtId="0" fontId="4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52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0" fontId="20" fillId="0" borderId="1" xfId="0" applyFont="1" applyBorder="1"/>
    <xf numFmtId="0" fontId="0" fillId="0" borderId="1" xfId="0" applyBorder="1"/>
    <xf numFmtId="0" fontId="18" fillId="0" borderId="2" xfId="0" applyFont="1" applyBorder="1" applyAlignment="1">
      <alignment vertical="center"/>
    </xf>
    <xf numFmtId="0" fontId="65" fillId="0" borderId="0" xfId="0" applyFont="1"/>
    <xf numFmtId="0" fontId="18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8" fillId="0" borderId="9" xfId="0" applyFont="1" applyBorder="1" applyAlignment="1">
      <alignment horizontal="left" vertical="center" wrapText="1"/>
    </xf>
    <xf numFmtId="0" fontId="0" fillId="25" borderId="2" xfId="0" applyFill="1" applyBorder="1"/>
    <xf numFmtId="0" fontId="0" fillId="25" borderId="1" xfId="0" applyFill="1" applyBorder="1"/>
    <xf numFmtId="0" fontId="0" fillId="25" borderId="0" xfId="0" applyFill="1"/>
    <xf numFmtId="0" fontId="16" fillId="0" borderId="0" xfId="0" applyFont="1"/>
    <xf numFmtId="0" fontId="1" fillId="0" borderId="62" xfId="0" applyFont="1" applyBorder="1" applyAlignment="1">
      <alignment horizontal="left" vertical="center"/>
    </xf>
    <xf numFmtId="49" fontId="66" fillId="2" borderId="48" xfId="0" applyNumberFormat="1" applyFont="1" applyFill="1" applyBorder="1"/>
    <xf numFmtId="49" fontId="67" fillId="2" borderId="59" xfId="0" applyNumberFormat="1" applyFont="1" applyFill="1" applyBorder="1"/>
    <xf numFmtId="0" fontId="5" fillId="2" borderId="0" xfId="0" applyFont="1" applyFill="1" applyAlignment="1">
      <alignment horizontal="left"/>
    </xf>
    <xf numFmtId="0" fontId="0" fillId="0" borderId="0" xfId="0"/>
    <xf numFmtId="49" fontId="38" fillId="0" borderId="0" xfId="0" applyNumberFormat="1" applyFont="1"/>
    <xf numFmtId="49" fontId="38" fillId="0" borderId="0" xfId="0" applyNumberFormat="1" applyFont="1" applyAlignment="1">
      <alignment horizontal="left"/>
    </xf>
    <xf numFmtId="49" fontId="49" fillId="0" borderId="0" xfId="0" applyNumberFormat="1" applyFont="1"/>
    <xf numFmtId="49" fontId="38" fillId="0" borderId="0" xfId="0" applyNumberFormat="1" applyFont="1" applyAlignment="1">
      <alignment horizontal="left"/>
    </xf>
    <xf numFmtId="49" fontId="49" fillId="0" borderId="0" xfId="0" applyNumberFormat="1" applyFont="1" applyAlignment="1">
      <alignment horizontal="left"/>
    </xf>
    <xf numFmtId="49" fontId="38" fillId="0" borderId="0" xfId="0" applyNumberFormat="1" applyFont="1"/>
    <xf numFmtId="49" fontId="0" fillId="0" borderId="0" xfId="0" applyNumberFormat="1"/>
    <xf numFmtId="49" fontId="49" fillId="0" borderId="0" xfId="0" applyNumberFormat="1" applyFont="1" applyAlignment="1">
      <alignment horizontal="left" wrapText="1"/>
    </xf>
    <xf numFmtId="49" fontId="38" fillId="0" borderId="1" xfId="0" applyNumberFormat="1" applyFont="1" applyBorder="1"/>
    <xf numFmtId="49" fontId="18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1" fillId="0" borderId="46" xfId="0" applyFont="1" applyBorder="1" applyAlignment="1">
      <alignment horizontal="center" wrapText="1"/>
    </xf>
    <xf numFmtId="0" fontId="21" fillId="0" borderId="44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/>
    </xf>
    <xf numFmtId="0" fontId="30" fillId="0" borderId="27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5" fillId="18" borderId="54" xfId="0" applyFont="1" applyFill="1" applyBorder="1" applyAlignment="1">
      <alignment horizontal="center" vertical="center"/>
    </xf>
    <xf numFmtId="0" fontId="5" fillId="16" borderId="54" xfId="0" applyFont="1" applyFill="1" applyBorder="1" applyAlignment="1">
      <alignment horizontal="center" vertical="center"/>
    </xf>
    <xf numFmtId="0" fontId="5" fillId="16" borderId="53" xfId="0" applyFont="1" applyFill="1" applyBorder="1" applyAlignment="1">
      <alignment horizontal="center" vertical="center"/>
    </xf>
    <xf numFmtId="0" fontId="45" fillId="18" borderId="22" xfId="0" applyFont="1" applyFill="1" applyBorder="1" applyAlignment="1">
      <alignment horizontal="center" vertical="center" wrapText="1"/>
    </xf>
    <xf numFmtId="0" fontId="45" fillId="18" borderId="22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22" xfId="0" applyFont="1" applyFill="1" applyBorder="1" applyAlignment="1">
      <alignment horizontal="center" vertical="center"/>
    </xf>
    <xf numFmtId="0" fontId="5" fillId="19" borderId="54" xfId="0" applyFont="1" applyFill="1" applyBorder="1" applyAlignment="1">
      <alignment horizontal="center" vertical="center"/>
    </xf>
    <xf numFmtId="0" fontId="50" fillId="20" borderId="0" xfId="0" applyFont="1" applyFill="1" applyAlignment="1">
      <alignment horizontal="center" wrapText="1"/>
    </xf>
    <xf numFmtId="0" fontId="45" fillId="0" borderId="51" xfId="0" applyFont="1" applyBorder="1"/>
    <xf numFmtId="165" fontId="45" fillId="0" borderId="51" xfId="0" applyNumberFormat="1" applyFont="1" applyBorder="1"/>
    <xf numFmtId="0" fontId="11" fillId="0" borderId="0" xfId="0" applyFont="1" applyAlignment="1">
      <alignment horizontal="center" wrapText="1"/>
    </xf>
    <xf numFmtId="0" fontId="38" fillId="0" borderId="10" xfId="0" applyFont="1" applyBorder="1" applyAlignment="1">
      <alignment horizontal="center"/>
    </xf>
    <xf numFmtId="0" fontId="38" fillId="0" borderId="58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49" fontId="38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3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" fontId="2" fillId="0" borderId="5" xfId="0" applyNumberFormat="1" applyFont="1" applyBorder="1" applyAlignment="1">
      <alignment horizontal="right" vertical="center"/>
    </xf>
    <xf numFmtId="0" fontId="2" fillId="0" borderId="5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/>
    <xf numFmtId="0" fontId="1" fillId="0" borderId="6" xfId="0" applyFont="1" applyBorder="1" applyAlignment="1">
      <alignment horizontal="center" vertical="center"/>
    </xf>
    <xf numFmtId="0" fontId="42" fillId="0" borderId="1" xfId="0" applyFont="1" applyBorder="1"/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0" fillId="0" borderId="0" xfId="0" applyFont="1" applyAlignment="1">
      <alignment vertical="center"/>
    </xf>
  </cellXfs>
  <cellStyles count="14">
    <cellStyle name="Comma 2" xfId="8"/>
    <cellStyle name="Comma 3" xfId="10"/>
    <cellStyle name="ERROR" xfId="2"/>
    <cellStyle name="Good" xfId="1" builtinId="26"/>
    <cellStyle name="Normal" xfId="0" builtinId="0"/>
    <cellStyle name="Normal 2" xfId="6"/>
    <cellStyle name="Normal 2 2" xfId="3"/>
    <cellStyle name="Normal 2 3" xfId="11"/>
    <cellStyle name="Normal 3" xfId="5"/>
    <cellStyle name="Output" xfId="7" builtinId="21"/>
    <cellStyle name="Output 2" xfId="4"/>
    <cellStyle name="Output 2 2" xfId="9"/>
    <cellStyle name="Output 2 3" xfId="13"/>
    <cellStyle name="Output 3" xfId="12"/>
  </cellStyles>
  <dxfs count="3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  <color rgb="FFFF66CC"/>
      <color rgb="FFFF7C80"/>
      <color rgb="FF0080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10" Type="http://schemas.openxmlformats.org/officeDocument/2006/relationships/externalLink" Target="externalLinks/externalLink2.xml" TargetMode="Internal"/><Relationship Id="rId11" Type="http://schemas.openxmlformats.org/officeDocument/2006/relationships/externalLink" Target="externalLinks/externalLink3.xml" TargetMode="Internal"/><Relationship Id="rId12" Type="http://schemas.openxmlformats.org/officeDocument/2006/relationships/externalLink" Target="externalLinks/externalLink4.xml" TargetMode="Internal"/><Relationship Id="rId13" Type="http://schemas.openxmlformats.org/officeDocument/2006/relationships/theme" Target="theme/theme1.xml" TargetMode="Internal"/><Relationship Id="rId14" Type="http://schemas.openxmlformats.org/officeDocument/2006/relationships/styles" Target="styles.xml" TargetMode="Internal"/><Relationship Id="rId15" Type="http://schemas.openxmlformats.org/officeDocument/2006/relationships/sharedStrings" Target="sharedStrings.xml" TargetMode="Internal"/><Relationship Id="rId16" Type="http://schemas.openxmlformats.org/officeDocument/2006/relationships/sheetMetadata" Target="metadata.xml" TargetMode="Internal"/><Relationship Id="rId17" Type="http://schemas.openxmlformats.org/officeDocument/2006/relationships/calcChain" Target="calcChain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worksheet" Target="worksheets/sheet4.xml" TargetMode="Internal"/><Relationship Id="rId5" Type="http://schemas.openxmlformats.org/officeDocument/2006/relationships/worksheet" Target="worksheets/sheet5.xml" TargetMode="Internal"/><Relationship Id="rId6" Type="http://schemas.openxmlformats.org/officeDocument/2006/relationships/worksheet" Target="worksheets/sheet6.xml" TargetMode="Internal"/><Relationship Id="rId7" Type="http://schemas.openxmlformats.org/officeDocument/2006/relationships/worksheet" Target="worksheets/sheet7.xml" TargetMode="Internal"/><Relationship Id="rId8" Type="http://schemas.openxmlformats.org/officeDocument/2006/relationships/worksheet" Target="worksheets/sheet8.xml" TargetMode="Internal"/><Relationship Id="rId9" Type="http://schemas.openxmlformats.org/officeDocument/2006/relationships/externalLink" Target="externalLinks/externalLink1.xml" TargetMode="Interna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2_23_Exams%20TT/exams/Examtt2k22_23_ss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MAIN)"/>
      <sheetName val="COMBINED_ATTD_INV (3)"/>
      <sheetName val="Sheet1"/>
      <sheetName val="ROOMS AND SIZES"/>
      <sheetName val="FREQ"/>
      <sheetName val="WATER"/>
      <sheetName val="TALLY"/>
      <sheetName val="COORDINATORS_ATTENDANCE"/>
      <sheetName val="TEO_fred "/>
      <sheetName val="TT (Values)_1"/>
      <sheetName val="TT (Values)_for lect"/>
      <sheetName val="Collection_"/>
      <sheetName val="floor_coordinators (2)"/>
      <sheetName val="SESSIONS"/>
      <sheetName val="Sheet3"/>
      <sheetName val="COURSES"/>
      <sheetName val="TOTALSTD"/>
      <sheetName val="TEO (2)"/>
      <sheetName val="ATTDD"/>
      <sheetName val="TA_NSS"/>
      <sheetName val="TA_SCHED"/>
      <sheetName val="Sheet6"/>
      <sheetName val="Sheet5"/>
      <sheetName val="floor_TAs (final)"/>
    </sheetNames>
    <sheetDataSet>
      <sheetData sheetId="0">
        <row r="1">
          <cell r="I1" t="str">
            <v>Monday, 8 April 2024,</v>
          </cell>
        </row>
        <row r="3">
          <cell r="D3" t="str">
            <v>CLASS</v>
          </cell>
        </row>
        <row r="4">
          <cell r="D4" t="str">
            <v>ED1-EE</v>
          </cell>
        </row>
        <row r="5">
          <cell r="D5" t="str">
            <v>ED1-ME</v>
          </cell>
        </row>
        <row r="6">
          <cell r="D6" t="str">
            <v>ED1-TEL</v>
          </cell>
        </row>
        <row r="7">
          <cell r="D7" t="str">
            <v>ED1-AUTO</v>
          </cell>
        </row>
        <row r="8">
          <cell r="D8" t="str">
            <v>ED1-AE</v>
          </cell>
        </row>
        <row r="9">
          <cell r="D9" t="str">
            <v>ED1-IND</v>
          </cell>
        </row>
        <row r="10">
          <cell r="D10" t="str">
            <v>ED1-METE</v>
          </cell>
        </row>
        <row r="11">
          <cell r="D11" t="str">
            <v>ED1-MSE</v>
          </cell>
        </row>
        <row r="12">
          <cell r="D12" t="str">
            <v>ED3-CE</v>
          </cell>
        </row>
        <row r="13">
          <cell r="D13" t="str">
            <v>ED2-MARI</v>
          </cell>
        </row>
        <row r="14">
          <cell r="D14" t="str">
            <v>ED2-IND</v>
          </cell>
        </row>
        <row r="15">
          <cell r="D15" t="str">
            <v>ED2-AUTO</v>
          </cell>
        </row>
        <row r="21">
          <cell r="D21" t="str">
            <v>CLASS</v>
          </cell>
        </row>
        <row r="22">
          <cell r="D22" t="str">
            <v>ED2-AE</v>
          </cell>
        </row>
        <row r="23">
          <cell r="D23" t="str">
            <v>ED3-AUTO</v>
          </cell>
        </row>
        <row r="24">
          <cell r="D24" t="str">
            <v>ED1-CE</v>
          </cell>
        </row>
        <row r="25">
          <cell r="D25" t="str">
            <v>ED1-MARI</v>
          </cell>
        </row>
        <row r="26">
          <cell r="D26" t="str">
            <v>ED3-MARI</v>
          </cell>
        </row>
        <row r="27">
          <cell r="D27" t="str">
            <v>ED4-ME</v>
          </cell>
        </row>
        <row r="28">
          <cell r="D28" t="str">
            <v>ED3-AE</v>
          </cell>
        </row>
        <row r="29">
          <cell r="D29" t="str">
            <v>ED3-IND</v>
          </cell>
        </row>
        <row r="30">
          <cell r="D30" t="str">
            <v>ED2-TEL</v>
          </cell>
        </row>
        <row r="31">
          <cell r="D31" t="str">
            <v>ED4-COE</v>
          </cell>
        </row>
        <row r="32">
          <cell r="D32" t="str">
            <v>ED2-CHE</v>
          </cell>
        </row>
        <row r="33">
          <cell r="D33" t="str">
            <v>ED2-PCE</v>
          </cell>
        </row>
        <row r="39">
          <cell r="D39" t="str">
            <v>CLASS</v>
          </cell>
        </row>
        <row r="40">
          <cell r="D40" t="str">
            <v>ED2-EE</v>
          </cell>
        </row>
        <row r="41">
          <cell r="D41" t="str">
            <v>ED1-GEOM</v>
          </cell>
        </row>
        <row r="42">
          <cell r="D42" t="str">
            <v>ED3-MSE</v>
          </cell>
        </row>
        <row r="43">
          <cell r="D43" t="str">
            <v>ED3-METE</v>
          </cell>
        </row>
        <row r="44">
          <cell r="D44" t="str">
            <v>ED3-EE</v>
          </cell>
        </row>
        <row r="45">
          <cell r="D45" t="str">
            <v>ED2-ME</v>
          </cell>
        </row>
        <row r="46">
          <cell r="D46" t="str">
            <v>ED2-PETE</v>
          </cell>
        </row>
        <row r="47">
          <cell r="D47" t="str">
            <v>ED3-PETE</v>
          </cell>
        </row>
        <row r="48">
          <cell r="D48" t="str">
            <v>ED2-MSE</v>
          </cell>
        </row>
        <row r="49">
          <cell r="D49" t="str">
            <v>ED2-METE</v>
          </cell>
        </row>
        <row r="50">
          <cell r="D50" t="str">
            <v>ED4-PCE</v>
          </cell>
        </row>
        <row r="51">
          <cell r="D51" t="str">
            <v>ED3-CHE</v>
          </cell>
        </row>
        <row r="52">
          <cell r="D52" t="str">
            <v>ED3-PCE</v>
          </cell>
        </row>
        <row r="58">
          <cell r="D58" t="str">
            <v>CLASS</v>
          </cell>
        </row>
        <row r="59">
          <cell r="D59" t="str">
            <v>ED2-AERO</v>
          </cell>
        </row>
        <row r="60">
          <cell r="D60" t="str">
            <v>ED2-AE</v>
          </cell>
        </row>
        <row r="61">
          <cell r="D61" t="str">
            <v>ED2-GEOM</v>
          </cell>
        </row>
        <row r="62">
          <cell r="D62" t="str">
            <v>ED2-IND</v>
          </cell>
        </row>
        <row r="63">
          <cell r="D63" t="str">
            <v>ED4-AE</v>
          </cell>
        </row>
        <row r="64">
          <cell r="D64" t="str">
            <v>ED2-PCE</v>
          </cell>
        </row>
        <row r="65">
          <cell r="D65" t="str">
            <v>ED3-GEOM</v>
          </cell>
        </row>
        <row r="66">
          <cell r="D66" t="str">
            <v>ED4-MSE</v>
          </cell>
        </row>
        <row r="67">
          <cell r="D67" t="str">
            <v>ED4-METE</v>
          </cell>
        </row>
        <row r="68">
          <cell r="D68" t="str">
            <v>ED1-CHE</v>
          </cell>
        </row>
        <row r="69">
          <cell r="D69" t="str">
            <v>Total T1-1</v>
          </cell>
        </row>
        <row r="74">
          <cell r="D74" t="str">
            <v>CLASS</v>
          </cell>
        </row>
        <row r="75">
          <cell r="D75" t="str">
            <v>ED3-COE</v>
          </cell>
        </row>
        <row r="76">
          <cell r="D76" t="str">
            <v>ED4-CHE</v>
          </cell>
        </row>
        <row r="77">
          <cell r="D77" t="str">
            <v>ED4-AERO</v>
          </cell>
        </row>
        <row r="78">
          <cell r="D78" t="str">
            <v>ED4-PCE</v>
          </cell>
        </row>
        <row r="79">
          <cell r="D79" t="str">
            <v>ED4-BME</v>
          </cell>
        </row>
        <row r="80">
          <cell r="D80" t="str">
            <v>ED1-GEOM</v>
          </cell>
        </row>
        <row r="81">
          <cell r="D81" t="str">
            <v>ED1-PETE</v>
          </cell>
        </row>
        <row r="82">
          <cell r="D82" t="str">
            <v>ED1-CE</v>
          </cell>
        </row>
        <row r="83">
          <cell r="D83" t="str">
            <v>ED1-GEOL</v>
          </cell>
        </row>
        <row r="84">
          <cell r="D84" t="str">
            <v>ED3-PCE</v>
          </cell>
        </row>
        <row r="85">
          <cell r="D85" t="str">
            <v>ED2-CE</v>
          </cell>
        </row>
        <row r="86">
          <cell r="D86" t="str">
            <v>ED2-GEOL</v>
          </cell>
        </row>
        <row r="87">
          <cell r="D87" t="str">
            <v>ED3-IND</v>
          </cell>
        </row>
        <row r="88">
          <cell r="D88" t="str">
            <v>ED4-ME</v>
          </cell>
        </row>
        <row r="94">
          <cell r="D94" t="str">
            <v>CLASS</v>
          </cell>
        </row>
        <row r="95">
          <cell r="D95" t="str">
            <v>ED3-CHE</v>
          </cell>
        </row>
        <row r="96">
          <cell r="D96" t="str">
            <v>ED3-MARI</v>
          </cell>
        </row>
        <row r="97">
          <cell r="D97" t="str">
            <v>ED4-CE</v>
          </cell>
        </row>
        <row r="98">
          <cell r="D98" t="str">
            <v>ED4-GEOL</v>
          </cell>
        </row>
        <row r="99">
          <cell r="D99" t="str">
            <v>ED4-PETE</v>
          </cell>
        </row>
        <row r="100">
          <cell r="D100" t="str">
            <v>ED1-TEL</v>
          </cell>
        </row>
        <row r="101">
          <cell r="D101" t="str">
            <v>ED1-AERO</v>
          </cell>
        </row>
        <row r="102">
          <cell r="D102" t="str">
            <v>ED1-COE</v>
          </cell>
        </row>
        <row r="103">
          <cell r="D103" t="str">
            <v>ED1-IND</v>
          </cell>
        </row>
        <row r="104">
          <cell r="D104" t="str">
            <v>ED1-EE</v>
          </cell>
        </row>
        <row r="105">
          <cell r="D105" t="str">
            <v>ED1-ME</v>
          </cell>
        </row>
        <row r="106">
          <cell r="D106" t="str">
            <v>ED1-AUTO</v>
          </cell>
        </row>
        <row r="107">
          <cell r="D107" t="str">
            <v>ED1-AE</v>
          </cell>
        </row>
        <row r="108">
          <cell r="D108" t="str">
            <v>Total T1-3</v>
          </cell>
        </row>
        <row r="109">
          <cell r="D109"/>
        </row>
        <row r="114">
          <cell r="D114" t="str">
            <v>CLASS</v>
          </cell>
        </row>
        <row r="115">
          <cell r="D115" t="str">
            <v>ED3-PETE</v>
          </cell>
        </row>
        <row r="116">
          <cell r="D116" t="str">
            <v>ED2-CHE</v>
          </cell>
        </row>
        <row r="117">
          <cell r="D117" t="str">
            <v>ED3-CE</v>
          </cell>
        </row>
        <row r="118">
          <cell r="D118" t="str">
            <v>ED1-CE</v>
          </cell>
        </row>
        <row r="119">
          <cell r="D119" t="str">
            <v>ED2-PCE</v>
          </cell>
        </row>
        <row r="120">
          <cell r="D120" t="str">
            <v>ED2-GEOM</v>
          </cell>
        </row>
        <row r="121">
          <cell r="D121" t="str">
            <v>ED2-EE</v>
          </cell>
        </row>
        <row r="122">
          <cell r="D122" t="str">
            <v>ED4-AE</v>
          </cell>
        </row>
        <row r="123">
          <cell r="D123" t="str">
            <v>ED1-GEOL</v>
          </cell>
        </row>
        <row r="124">
          <cell r="D124" t="str">
            <v>ED1-BME</v>
          </cell>
        </row>
        <row r="125">
          <cell r="D125" t="str">
            <v>Total W1-1</v>
          </cell>
        </row>
        <row r="126">
          <cell r="D126"/>
        </row>
        <row r="127">
          <cell r="D127"/>
        </row>
        <row r="130">
          <cell r="D130" t="str">
            <v>CLASS</v>
          </cell>
        </row>
        <row r="131">
          <cell r="D131" t="str">
            <v>ED1-MARI</v>
          </cell>
        </row>
        <row r="132">
          <cell r="D132" t="str">
            <v>ED1-IND</v>
          </cell>
        </row>
        <row r="133">
          <cell r="D133" t="str">
            <v>ED1-AERO</v>
          </cell>
        </row>
        <row r="134">
          <cell r="D134" t="str">
            <v>ED1-MSE</v>
          </cell>
        </row>
        <row r="135">
          <cell r="D135" t="str">
            <v>ED1-METE</v>
          </cell>
        </row>
        <row r="136">
          <cell r="D136" t="str">
            <v>ED1-EE</v>
          </cell>
        </row>
        <row r="137">
          <cell r="D137" t="str">
            <v>ED1-AUTO</v>
          </cell>
        </row>
        <row r="138">
          <cell r="D138" t="str">
            <v>ED1-TEL</v>
          </cell>
        </row>
        <row r="139">
          <cell r="D139" t="str">
            <v>ED1-GEOM</v>
          </cell>
        </row>
        <row r="140">
          <cell r="D140" t="str">
            <v>ED2-IND</v>
          </cell>
        </row>
        <row r="141">
          <cell r="D141" t="str">
            <v>ED2-AUTO</v>
          </cell>
        </row>
        <row r="142">
          <cell r="D142" t="str">
            <v>ED2-BME</v>
          </cell>
        </row>
        <row r="143">
          <cell r="D143" t="str">
            <v>ED2-COE</v>
          </cell>
        </row>
        <row r="144">
          <cell r="D144" t="str">
            <v>ED3-AUTO</v>
          </cell>
        </row>
        <row r="145">
          <cell r="D145" t="str">
            <v>ED3-AE</v>
          </cell>
        </row>
        <row r="146">
          <cell r="D146" t="str">
            <v>ED3-IND</v>
          </cell>
        </row>
        <row r="147">
          <cell r="D147" t="str">
            <v>ED2-PETE</v>
          </cell>
        </row>
        <row r="148">
          <cell r="D148" t="str">
            <v>ED3-GEOL</v>
          </cell>
        </row>
        <row r="149">
          <cell r="D149" t="str">
            <v>ED3-EE</v>
          </cell>
        </row>
        <row r="150">
          <cell r="D150" t="str">
            <v>ED2-TEL</v>
          </cell>
        </row>
        <row r="151">
          <cell r="D151" t="str">
            <v>ED2-AERO</v>
          </cell>
        </row>
        <row r="152">
          <cell r="D152" t="str">
            <v>ED2-ME</v>
          </cell>
        </row>
        <row r="153">
          <cell r="D153" t="str">
            <v>Total W1-2</v>
          </cell>
        </row>
        <row r="154">
          <cell r="D154"/>
        </row>
        <row r="155">
          <cell r="D155"/>
        </row>
        <row r="156">
          <cell r="D156"/>
        </row>
        <row r="158">
          <cell r="D158" t="str">
            <v>CLASS</v>
          </cell>
        </row>
        <row r="159">
          <cell r="D159" t="str">
            <v>ED3-ME</v>
          </cell>
        </row>
        <row r="160">
          <cell r="D160" t="str">
            <v>ED3-AERO</v>
          </cell>
        </row>
        <row r="161">
          <cell r="D161" t="str">
            <v>ED3-MSE</v>
          </cell>
        </row>
        <row r="162">
          <cell r="D162" t="str">
            <v>ED3-METE</v>
          </cell>
        </row>
        <row r="163">
          <cell r="D163" t="str">
            <v>ED3-GEOM</v>
          </cell>
        </row>
        <row r="164">
          <cell r="D164" t="str">
            <v>ED2-CE</v>
          </cell>
        </row>
        <row r="165">
          <cell r="D165" t="str">
            <v>ED3-PCE</v>
          </cell>
        </row>
        <row r="166">
          <cell r="D166" t="str">
            <v>ED3-TEL</v>
          </cell>
        </row>
        <row r="167">
          <cell r="D167" t="str">
            <v>ED4-ME</v>
          </cell>
        </row>
        <row r="168">
          <cell r="D168" t="str">
            <v>ED4-AUTO</v>
          </cell>
        </row>
        <row r="169">
          <cell r="D169" t="str">
            <v>ED2-MSE</v>
          </cell>
        </row>
        <row r="170">
          <cell r="D170" t="str">
            <v>ED2-METE</v>
          </cell>
        </row>
        <row r="171">
          <cell r="D171" t="str">
            <v>ED4-CHE</v>
          </cell>
        </row>
        <row r="172">
          <cell r="D172" t="str">
            <v>ED4-PETE</v>
          </cell>
        </row>
        <row r="173">
          <cell r="D173" t="str">
            <v>ED4-PCE</v>
          </cell>
        </row>
        <row r="174">
          <cell r="D174" t="str">
            <v>Total W1-3</v>
          </cell>
        </row>
        <row r="175">
          <cell r="D175"/>
        </row>
        <row r="176">
          <cell r="D176"/>
        </row>
        <row r="177">
          <cell r="D177"/>
        </row>
        <row r="179">
          <cell r="D179" t="str">
            <v>CLASS</v>
          </cell>
        </row>
        <row r="180">
          <cell r="D180" t="str">
            <v>ED4-COE</v>
          </cell>
        </row>
        <row r="181">
          <cell r="D181" t="str">
            <v>ED3-BME</v>
          </cell>
        </row>
        <row r="182">
          <cell r="D182" t="str">
            <v>ED3-TEL</v>
          </cell>
        </row>
        <row r="183">
          <cell r="D183" t="str">
            <v>ED3-AE</v>
          </cell>
        </row>
        <row r="184">
          <cell r="D184" t="str">
            <v>ED3-GEOL</v>
          </cell>
        </row>
        <row r="185">
          <cell r="D185" t="str">
            <v>ED3-COE</v>
          </cell>
        </row>
        <row r="186">
          <cell r="D186" t="str">
            <v>ED3-AUTO</v>
          </cell>
        </row>
        <row r="187">
          <cell r="D187" t="str">
            <v>ED3-CE</v>
          </cell>
        </row>
        <row r="188">
          <cell r="D188" t="str">
            <v>ED3-IND</v>
          </cell>
        </row>
        <row r="189">
          <cell r="D189" t="str">
            <v>ED3-EE</v>
          </cell>
        </row>
        <row r="190">
          <cell r="D190" t="str">
            <v>ED3-MARI</v>
          </cell>
        </row>
        <row r="191">
          <cell r="D191" t="str">
            <v>ED3-AERO</v>
          </cell>
        </row>
        <row r="192">
          <cell r="D192" t="str">
            <v>ED3-CHE</v>
          </cell>
        </row>
        <row r="193">
          <cell r="D193" t="str">
            <v>ED3-ME</v>
          </cell>
        </row>
        <row r="194">
          <cell r="D194" t="str">
            <v>ED2-COE</v>
          </cell>
        </row>
        <row r="195">
          <cell r="D195" t="str">
            <v>ED2-EE</v>
          </cell>
        </row>
        <row r="196">
          <cell r="D196" t="str">
            <v>ED1-CE</v>
          </cell>
        </row>
        <row r="197">
          <cell r="D197" t="str">
            <v>ED1-GEOL</v>
          </cell>
        </row>
        <row r="198">
          <cell r="D198" t="str">
            <v>ED2-MSE</v>
          </cell>
        </row>
        <row r="199">
          <cell r="D199" t="str">
            <v>ED2-TEL</v>
          </cell>
        </row>
        <row r="200">
          <cell r="D200" t="str">
            <v>ED3-METE</v>
          </cell>
        </row>
        <row r="201">
          <cell r="D201" t="str">
            <v>ED3-GEOM</v>
          </cell>
        </row>
        <row r="202">
          <cell r="D202" t="str">
            <v>ED2-BME</v>
          </cell>
        </row>
        <row r="203">
          <cell r="D203" t="str">
            <v>ED3-PCE</v>
          </cell>
        </row>
        <row r="204">
          <cell r="D204" t="str">
            <v>ED1-ME</v>
          </cell>
        </row>
        <row r="205">
          <cell r="D205" t="str">
            <v>ED1-AUTO</v>
          </cell>
        </row>
        <row r="206">
          <cell r="D206" t="str">
            <v>ED1-IND</v>
          </cell>
        </row>
        <row r="207">
          <cell r="D207" t="str">
            <v>ED1-MARI</v>
          </cell>
        </row>
        <row r="208">
          <cell r="D208" t="str">
            <v>ED1-MSE</v>
          </cell>
        </row>
        <row r="209">
          <cell r="D209" t="str">
            <v>ED4-GEOL</v>
          </cell>
        </row>
        <row r="210">
          <cell r="D210" t="str">
            <v>ED2-GEOL</v>
          </cell>
        </row>
        <row r="211">
          <cell r="D211" t="str">
            <v>ED4-TEL</v>
          </cell>
        </row>
        <row r="212">
          <cell r="D212" t="str">
            <v>ED4-CE</v>
          </cell>
        </row>
        <row r="213">
          <cell r="D213" t="str">
            <v>Total F1-1</v>
          </cell>
        </row>
        <row r="214">
          <cell r="D214"/>
        </row>
        <row r="215">
          <cell r="D215"/>
        </row>
        <row r="218">
          <cell r="D218" t="str">
            <v>CLASS</v>
          </cell>
        </row>
        <row r="219">
          <cell r="D219" t="str">
            <v>Total F1-3</v>
          </cell>
        </row>
        <row r="224">
          <cell r="D224" t="str">
            <v>CLASS</v>
          </cell>
        </row>
        <row r="225">
          <cell r="D225" t="str">
            <v>ED2-MSE</v>
          </cell>
        </row>
        <row r="226">
          <cell r="D226" t="str">
            <v>ED2-METE</v>
          </cell>
        </row>
        <row r="227">
          <cell r="D227" t="str">
            <v>ED1-MARI</v>
          </cell>
        </row>
        <row r="228">
          <cell r="D228" t="str">
            <v>ED1-CE</v>
          </cell>
        </row>
        <row r="229">
          <cell r="D229" t="str">
            <v>ED1-AE</v>
          </cell>
        </row>
        <row r="230">
          <cell r="D230" t="str">
            <v>ED1-AERO</v>
          </cell>
        </row>
        <row r="231">
          <cell r="D231" t="str">
            <v>ED1-TEL</v>
          </cell>
        </row>
        <row r="232">
          <cell r="D232" t="str">
            <v>ED4-GEOM</v>
          </cell>
        </row>
        <row r="233">
          <cell r="D233" t="str">
            <v>ED3-METE</v>
          </cell>
        </row>
        <row r="234">
          <cell r="D234" t="str">
            <v>ED2-COE</v>
          </cell>
        </row>
        <row r="235">
          <cell r="D235" t="str">
            <v>ED1-AUTO</v>
          </cell>
        </row>
        <row r="236">
          <cell r="D236" t="str">
            <v>ED2-CHE</v>
          </cell>
        </row>
        <row r="237">
          <cell r="D237" t="str">
            <v>ED2-GEOM</v>
          </cell>
        </row>
        <row r="238">
          <cell r="D238" t="str">
            <v>ED3-GEOL</v>
          </cell>
        </row>
        <row r="239">
          <cell r="D239" t="str">
            <v>ED1-MSE</v>
          </cell>
        </row>
        <row r="240">
          <cell r="D240" t="str">
            <v>ED1-METE</v>
          </cell>
        </row>
        <row r="241">
          <cell r="D241" t="str">
            <v>Total M2-1</v>
          </cell>
        </row>
        <row r="242">
          <cell r="D242"/>
        </row>
        <row r="246">
          <cell r="D246" t="str">
            <v>CLASS</v>
          </cell>
        </row>
        <row r="247">
          <cell r="D247" t="str">
            <v>ED2-AE</v>
          </cell>
        </row>
        <row r="248">
          <cell r="D248" t="str">
            <v>ED2-EE</v>
          </cell>
        </row>
        <row r="249">
          <cell r="D249" t="str">
            <v>ED2-TEL</v>
          </cell>
        </row>
        <row r="250">
          <cell r="D250" t="str">
            <v>ED2-GEOL</v>
          </cell>
        </row>
        <row r="251">
          <cell r="D251" t="str">
            <v>ED4-BME</v>
          </cell>
        </row>
        <row r="252">
          <cell r="D252" t="str">
            <v>ED1-EE</v>
          </cell>
        </row>
        <row r="253">
          <cell r="D253" t="str">
            <v>ED1-GEOM</v>
          </cell>
        </row>
        <row r="254">
          <cell r="D254" t="str">
            <v>ED3-PETE</v>
          </cell>
        </row>
        <row r="255">
          <cell r="D255" t="str">
            <v>ED4-EE</v>
          </cell>
        </row>
        <row r="256">
          <cell r="D256" t="str">
            <v>ED1-CHE</v>
          </cell>
        </row>
        <row r="257">
          <cell r="D257" t="str">
            <v>ED1-PCE</v>
          </cell>
        </row>
        <row r="258">
          <cell r="D258" t="str">
            <v>ED1-PETE</v>
          </cell>
        </row>
        <row r="259">
          <cell r="D259" t="str">
            <v>Total M2-2</v>
          </cell>
        </row>
        <row r="260">
          <cell r="D260"/>
        </row>
        <row r="264">
          <cell r="D264" t="str">
            <v>CLASS</v>
          </cell>
        </row>
        <row r="265">
          <cell r="D265" t="str">
            <v>ED2-AERO</v>
          </cell>
        </row>
        <row r="266">
          <cell r="D266" t="str">
            <v>ED2-ME</v>
          </cell>
        </row>
        <row r="267">
          <cell r="D267" t="str">
            <v>ED2-PETE</v>
          </cell>
        </row>
        <row r="268">
          <cell r="D268" t="str">
            <v>ED3-CHE</v>
          </cell>
        </row>
        <row r="269">
          <cell r="D269" t="str">
            <v>ED3-PCE</v>
          </cell>
        </row>
        <row r="270">
          <cell r="D270" t="str">
            <v>ED2-BME</v>
          </cell>
        </row>
        <row r="271">
          <cell r="D271" t="str">
            <v>ED4-CE</v>
          </cell>
        </row>
        <row r="272">
          <cell r="D272" t="str">
            <v>ED3-IND</v>
          </cell>
        </row>
        <row r="273">
          <cell r="D273" t="str">
            <v>ED3-AERO</v>
          </cell>
        </row>
        <row r="274">
          <cell r="D274" t="str">
            <v>ED3-GEOM</v>
          </cell>
        </row>
        <row r="275">
          <cell r="D275" t="str">
            <v>ED3-ME</v>
          </cell>
        </row>
        <row r="276">
          <cell r="D276" t="str">
            <v>ED4-ME</v>
          </cell>
        </row>
        <row r="277">
          <cell r="D277" t="str">
            <v>ED4-AERO</v>
          </cell>
        </row>
        <row r="278">
          <cell r="D278" t="str">
            <v>ED3-MSE</v>
          </cell>
        </row>
        <row r="279">
          <cell r="D279" t="str">
            <v>ED4-CHE</v>
          </cell>
        </row>
        <row r="280">
          <cell r="D280" t="str">
            <v>ED4-PCE</v>
          </cell>
        </row>
        <row r="281">
          <cell r="D281" t="str">
            <v>Total M2-3</v>
          </cell>
        </row>
        <row r="282">
          <cell r="D282"/>
        </row>
        <row r="286">
          <cell r="D286" t="str">
            <v>CLASS</v>
          </cell>
        </row>
        <row r="287">
          <cell r="D287" t="str">
            <v>ED1-CHE</v>
          </cell>
        </row>
        <row r="288">
          <cell r="D288" t="str">
            <v>ED1-PCE</v>
          </cell>
        </row>
        <row r="289">
          <cell r="D289" t="str">
            <v>ED1-PETE</v>
          </cell>
        </row>
        <row r="290">
          <cell r="D290" t="str">
            <v>ED1-ME</v>
          </cell>
        </row>
        <row r="291">
          <cell r="D291" t="str">
            <v>ED1-AE</v>
          </cell>
        </row>
        <row r="292">
          <cell r="D292" t="str">
            <v>ED1-BME</v>
          </cell>
        </row>
        <row r="293">
          <cell r="D293" t="str">
            <v>ED1-GEOL</v>
          </cell>
        </row>
        <row r="294">
          <cell r="D294" t="str">
            <v>ED1-CE</v>
          </cell>
        </row>
        <row r="295">
          <cell r="D295" t="str">
            <v>ED1-COE</v>
          </cell>
        </row>
        <row r="296">
          <cell r="D296" t="str">
            <v>ED4-AERO</v>
          </cell>
        </row>
        <row r="297">
          <cell r="D297" t="str">
            <v>ED4-COE</v>
          </cell>
        </row>
        <row r="298">
          <cell r="D298" t="str">
            <v>ED4-PETE</v>
          </cell>
        </row>
        <row r="299">
          <cell r="D299" t="str">
            <v>Total T2-1</v>
          </cell>
        </row>
        <row r="300">
          <cell r="D300"/>
        </row>
        <row r="304">
          <cell r="D304" t="str">
            <v>CLASS</v>
          </cell>
        </row>
        <row r="305">
          <cell r="D305" t="str">
            <v>ED2-CHE</v>
          </cell>
        </row>
        <row r="306">
          <cell r="D306" t="str">
            <v>ED4-ME</v>
          </cell>
        </row>
        <row r="307">
          <cell r="D307" t="str">
            <v>ED4-CE</v>
          </cell>
        </row>
        <row r="308">
          <cell r="D308" t="str">
            <v>ED1-AERO</v>
          </cell>
        </row>
        <row r="309">
          <cell r="D309" t="str">
            <v>ED2-COE</v>
          </cell>
        </row>
        <row r="310">
          <cell r="D310" t="str">
            <v>ED2-BME</v>
          </cell>
        </row>
        <row r="311">
          <cell r="D311" t="str">
            <v>ED3-PCE</v>
          </cell>
        </row>
        <row r="312">
          <cell r="D312" t="str">
            <v>ED2-CE</v>
          </cell>
        </row>
        <row r="313">
          <cell r="D313" t="str">
            <v>ED3-AE</v>
          </cell>
        </row>
        <row r="314">
          <cell r="D314" t="str">
            <v>ED3-PETE</v>
          </cell>
        </row>
        <row r="315">
          <cell r="D315" t="str">
            <v>ED4-AE</v>
          </cell>
        </row>
        <row r="316">
          <cell r="D316" t="str">
            <v>ED3-IND</v>
          </cell>
        </row>
        <row r="317">
          <cell r="D317" t="str">
            <v>Total T2-2</v>
          </cell>
        </row>
        <row r="318">
          <cell r="D318"/>
        </row>
        <row r="322">
          <cell r="D322" t="str">
            <v>CLASS</v>
          </cell>
        </row>
        <row r="323">
          <cell r="D323" t="str">
            <v>ED4-MARI</v>
          </cell>
        </row>
        <row r="324">
          <cell r="D324" t="str">
            <v>ED4-AUTO</v>
          </cell>
        </row>
        <row r="325">
          <cell r="D325" t="str">
            <v>ED4-ME</v>
          </cell>
        </row>
        <row r="326">
          <cell r="D326" t="str">
            <v>ED3-COE</v>
          </cell>
        </row>
        <row r="327">
          <cell r="D327" t="str">
            <v>ED3-AERO</v>
          </cell>
        </row>
        <row r="328">
          <cell r="D328" t="str">
            <v>ED4-IND</v>
          </cell>
        </row>
        <row r="329">
          <cell r="D329" t="str">
            <v>ED4-MSE</v>
          </cell>
        </row>
        <row r="330">
          <cell r="D330" t="str">
            <v>ED4-METE</v>
          </cell>
        </row>
        <row r="331">
          <cell r="D331" t="str">
            <v>ED2-IND</v>
          </cell>
        </row>
        <row r="332">
          <cell r="D332" t="str">
            <v>ED2-AUTO</v>
          </cell>
        </row>
        <row r="333">
          <cell r="D333" t="str">
            <v>ED2-MARI</v>
          </cell>
        </row>
        <row r="334">
          <cell r="D334" t="str">
            <v>ED3-GEOL</v>
          </cell>
        </row>
        <row r="335">
          <cell r="D335" t="str">
            <v>ED4-CHE</v>
          </cell>
        </row>
        <row r="336">
          <cell r="D336" t="str">
            <v>Total T2-3</v>
          </cell>
        </row>
        <row r="337">
          <cell r="D337"/>
        </row>
        <row r="341">
          <cell r="D341" t="str">
            <v>CLASS</v>
          </cell>
        </row>
        <row r="342">
          <cell r="D342" t="str">
            <v>ED1-COE</v>
          </cell>
        </row>
        <row r="343">
          <cell r="D343" t="str">
            <v>ED1-BME</v>
          </cell>
        </row>
        <row r="344">
          <cell r="D344" t="str">
            <v>ED1-ME</v>
          </cell>
        </row>
        <row r="345">
          <cell r="D345" t="str">
            <v>ED1-AUTO</v>
          </cell>
        </row>
        <row r="346">
          <cell r="D346" t="str">
            <v>ED1-MARI</v>
          </cell>
        </row>
        <row r="347">
          <cell r="D347" t="str">
            <v>ED1-TEL</v>
          </cell>
        </row>
        <row r="348">
          <cell r="D348" t="str">
            <v>ED1-METE</v>
          </cell>
        </row>
        <row r="349">
          <cell r="D349" t="str">
            <v>ED1-PETE</v>
          </cell>
        </row>
        <row r="350">
          <cell r="D350" t="str">
            <v>ED1-AERO</v>
          </cell>
        </row>
        <row r="351">
          <cell r="D351" t="str">
            <v>ED1-IND</v>
          </cell>
        </row>
        <row r="352">
          <cell r="D352" t="str">
            <v>ED1-MSE</v>
          </cell>
        </row>
        <row r="353">
          <cell r="D353" t="str">
            <v>ED2-MARI</v>
          </cell>
        </row>
        <row r="354">
          <cell r="D354" t="str">
            <v>ED2-IND</v>
          </cell>
        </row>
        <row r="355">
          <cell r="D355" t="str">
            <v>ED2-AUTO</v>
          </cell>
        </row>
        <row r="356">
          <cell r="D356" t="str">
            <v>ED2-AERO</v>
          </cell>
        </row>
        <row r="357">
          <cell r="D357" t="str">
            <v>ED2-ME</v>
          </cell>
        </row>
        <row r="358">
          <cell r="D358" t="str">
            <v>ED3-CHE</v>
          </cell>
        </row>
        <row r="359">
          <cell r="D359" t="str">
            <v>Total W2-1</v>
          </cell>
        </row>
        <row r="360">
          <cell r="D360"/>
        </row>
        <row r="364">
          <cell r="D364" t="str">
            <v>CLASS</v>
          </cell>
        </row>
        <row r="365">
          <cell r="D365" t="str">
            <v>ED2-EE</v>
          </cell>
        </row>
        <row r="366">
          <cell r="D366" t="str">
            <v>ED4-EE</v>
          </cell>
        </row>
        <row r="367">
          <cell r="D367" t="str">
            <v>ED3-MSE</v>
          </cell>
        </row>
        <row r="368">
          <cell r="D368" t="str">
            <v>ED3-METE</v>
          </cell>
        </row>
        <row r="369">
          <cell r="D369" t="str">
            <v>ED3-EE</v>
          </cell>
        </row>
        <row r="370">
          <cell r="D370" t="str">
            <v>ED4-GEOL</v>
          </cell>
        </row>
        <row r="371">
          <cell r="D371" t="str">
            <v>ED4-PETE</v>
          </cell>
        </row>
        <row r="372">
          <cell r="D372" t="str">
            <v>ED4-TEL</v>
          </cell>
        </row>
        <row r="373">
          <cell r="D373" t="str">
            <v>ED4-ME</v>
          </cell>
        </row>
        <row r="374">
          <cell r="D374" t="str">
            <v>Total W2-2</v>
          </cell>
        </row>
        <row r="375">
          <cell r="D375"/>
        </row>
        <row r="379">
          <cell r="D379" t="str">
            <v>CLASS</v>
          </cell>
        </row>
        <row r="380">
          <cell r="D380" t="str">
            <v>ED3-BME</v>
          </cell>
        </row>
        <row r="381">
          <cell r="D381" t="str">
            <v>ED3-PETE</v>
          </cell>
        </row>
        <row r="382">
          <cell r="D382" t="str">
            <v>ED1-EE</v>
          </cell>
        </row>
        <row r="383">
          <cell r="D383" t="str">
            <v>ED1-CHE</v>
          </cell>
        </row>
        <row r="384">
          <cell r="D384" t="str">
            <v>ED1-PCE</v>
          </cell>
        </row>
        <row r="385">
          <cell r="D385" t="str">
            <v>ED1-AE</v>
          </cell>
        </row>
        <row r="386">
          <cell r="D386" t="str">
            <v>ED4-CE</v>
          </cell>
        </row>
        <row r="387">
          <cell r="D387" t="str">
            <v>ED3-CE</v>
          </cell>
        </row>
        <row r="388">
          <cell r="D388" t="str">
            <v>ED1-GEOM</v>
          </cell>
        </row>
        <row r="389">
          <cell r="D389" t="str">
            <v>ED4-PCE</v>
          </cell>
        </row>
        <row r="390">
          <cell r="D390" t="str">
            <v>ED3-GEOL</v>
          </cell>
        </row>
        <row r="391">
          <cell r="D391" t="str">
            <v>ED2-CHE</v>
          </cell>
        </row>
        <row r="392">
          <cell r="D392" t="str">
            <v>ED2-PCE</v>
          </cell>
        </row>
        <row r="393">
          <cell r="D393" t="str">
            <v>ED3-PCE</v>
          </cell>
        </row>
        <row r="394">
          <cell r="D394" t="str">
            <v>ED4-GEOM</v>
          </cell>
        </row>
        <row r="395">
          <cell r="D395" t="str">
            <v>Total W2-3</v>
          </cell>
        </row>
        <row r="396">
          <cell r="D396"/>
        </row>
        <row r="400">
          <cell r="D400" t="str">
            <v>CLASS</v>
          </cell>
        </row>
        <row r="401">
          <cell r="D401" t="str">
            <v>ED4-CHE</v>
          </cell>
        </row>
        <row r="402">
          <cell r="D402" t="str">
            <v>ED4-PCE</v>
          </cell>
        </row>
        <row r="403">
          <cell r="D403" t="str">
            <v>ED3-IND</v>
          </cell>
        </row>
        <row r="404">
          <cell r="D404" t="str">
            <v>ED2-AUTO</v>
          </cell>
        </row>
        <row r="405">
          <cell r="D405" t="str">
            <v>ED1-GEOL</v>
          </cell>
        </row>
        <row r="406">
          <cell r="D406" t="str">
            <v>ED4-COE</v>
          </cell>
        </row>
        <row r="407">
          <cell r="D407" t="str">
            <v>ED2-TEL</v>
          </cell>
        </row>
        <row r="408">
          <cell r="D408" t="str">
            <v>ED4-AE</v>
          </cell>
        </row>
        <row r="409">
          <cell r="D409" t="str">
            <v>ED2-COE</v>
          </cell>
        </row>
        <row r="410">
          <cell r="D410" t="str">
            <v>ED2-BME</v>
          </cell>
        </row>
        <row r="411">
          <cell r="D411" t="str">
            <v>ED4-PETE</v>
          </cell>
        </row>
        <row r="412">
          <cell r="D412" t="str">
            <v>Total H2-1</v>
          </cell>
        </row>
        <row r="413">
          <cell r="D413"/>
        </row>
        <row r="417">
          <cell r="D417" t="str">
            <v>CLASS</v>
          </cell>
        </row>
        <row r="418">
          <cell r="D418" t="str">
            <v>ED3-AERO</v>
          </cell>
        </row>
        <row r="419">
          <cell r="D419" t="str">
            <v>ED2-GEOM</v>
          </cell>
        </row>
        <row r="420">
          <cell r="D420" t="str">
            <v>ED2-PETE</v>
          </cell>
        </row>
        <row r="421">
          <cell r="D421" t="str">
            <v>ED4-CE</v>
          </cell>
        </row>
        <row r="422">
          <cell r="D422" t="str">
            <v>ED4-IND</v>
          </cell>
        </row>
        <row r="423">
          <cell r="D423" t="str">
            <v>ED3-AUTO</v>
          </cell>
        </row>
        <row r="424">
          <cell r="D424" t="str">
            <v>ED2-AERO</v>
          </cell>
        </row>
        <row r="425">
          <cell r="D425" t="str">
            <v>ED2-ME</v>
          </cell>
        </row>
        <row r="426">
          <cell r="D426" t="str">
            <v>ED2-MSE</v>
          </cell>
        </row>
        <row r="427">
          <cell r="D427" t="str">
            <v>ED2-METE</v>
          </cell>
        </row>
        <row r="428">
          <cell r="D428" t="str">
            <v>ED4-BME</v>
          </cell>
        </row>
        <row r="429">
          <cell r="D429" t="str">
            <v>ED4-AERO</v>
          </cell>
        </row>
        <row r="430">
          <cell r="D430" t="str">
            <v>ED4-ME</v>
          </cell>
        </row>
        <row r="431">
          <cell r="D431" t="str">
            <v>ED2-EE</v>
          </cell>
        </row>
        <row r="432">
          <cell r="D432" t="str">
            <v>ED2-MARI</v>
          </cell>
        </row>
        <row r="433">
          <cell r="D433" t="str">
            <v>ED4-MARI</v>
          </cell>
        </row>
        <row r="434">
          <cell r="D434" t="str">
            <v>Total H2-2</v>
          </cell>
        </row>
        <row r="435">
          <cell r="D435"/>
        </row>
        <row r="439">
          <cell r="D439" t="str">
            <v>CLASS</v>
          </cell>
        </row>
        <row r="440">
          <cell r="D440" t="str">
            <v>ED2-PCE</v>
          </cell>
        </row>
        <row r="441">
          <cell r="D441" t="str">
            <v>ED2-CE</v>
          </cell>
        </row>
        <row r="442">
          <cell r="D442" t="str">
            <v>ED2-GEOL</v>
          </cell>
        </row>
        <row r="443">
          <cell r="D443" t="str">
            <v>ED4-MSE</v>
          </cell>
        </row>
        <row r="444">
          <cell r="D444" t="str">
            <v>ED3-GEOM</v>
          </cell>
        </row>
        <row r="445">
          <cell r="D445" t="str">
            <v>ED3-MARI</v>
          </cell>
        </row>
        <row r="446">
          <cell r="D446" t="str">
            <v>ED3-TEL</v>
          </cell>
        </row>
        <row r="447">
          <cell r="D447" t="str">
            <v>ED3-BME</v>
          </cell>
        </row>
        <row r="448">
          <cell r="D448" t="str">
            <v>ED3-COE</v>
          </cell>
        </row>
        <row r="449">
          <cell r="D449" t="str">
            <v>ED4-ME</v>
          </cell>
        </row>
        <row r="450">
          <cell r="D450" t="str">
            <v>ED4-AERO</v>
          </cell>
        </row>
        <row r="451">
          <cell r="D451" t="str">
            <v>ED3-CHE</v>
          </cell>
        </row>
        <row r="452">
          <cell r="D452" t="str">
            <v>ED3-PCE</v>
          </cell>
        </row>
        <row r="453">
          <cell r="D453" t="str">
            <v>Total H2-3</v>
          </cell>
        </row>
        <row r="458">
          <cell r="D458" t="str">
            <v>CLASS</v>
          </cell>
        </row>
        <row r="459">
          <cell r="D459" t="str">
            <v>ED2-GEOM</v>
          </cell>
        </row>
        <row r="460">
          <cell r="D460" t="str">
            <v>ED4-GEOM</v>
          </cell>
        </row>
        <row r="461">
          <cell r="D461" t="str">
            <v>ED1-ME</v>
          </cell>
        </row>
        <row r="462">
          <cell r="D462" t="str">
            <v>ED3-AE</v>
          </cell>
        </row>
        <row r="463">
          <cell r="D463" t="str">
            <v>ED4-CE</v>
          </cell>
        </row>
        <row r="464">
          <cell r="D464" t="str">
            <v>ED3-PETE</v>
          </cell>
        </row>
        <row r="465">
          <cell r="D465" t="str">
            <v>ED4-GEOL</v>
          </cell>
        </row>
        <row r="466">
          <cell r="D466" t="str">
            <v>ED1-CHE</v>
          </cell>
        </row>
        <row r="467">
          <cell r="D467" t="str">
            <v>ED1-PCE</v>
          </cell>
        </row>
        <row r="468">
          <cell r="D468" t="str">
            <v>ED1-PETE</v>
          </cell>
        </row>
        <row r="469">
          <cell r="D469" t="str">
            <v>ED4-EE</v>
          </cell>
        </row>
        <row r="470">
          <cell r="D470" t="str">
            <v>ED4-TEL</v>
          </cell>
        </row>
        <row r="471">
          <cell r="D471" t="str">
            <v>ED3-EE</v>
          </cell>
        </row>
        <row r="472">
          <cell r="D472" t="str">
            <v>Total F2-1</v>
          </cell>
        </row>
        <row r="477">
          <cell r="D477" t="str">
            <v>CLASS</v>
          </cell>
        </row>
        <row r="478">
          <cell r="D478" t="str">
            <v>ED3-MARI</v>
          </cell>
        </row>
        <row r="479">
          <cell r="D479" t="str">
            <v>ED3-GEOL</v>
          </cell>
        </row>
        <row r="480">
          <cell r="D480" t="str">
            <v>ED3-BME</v>
          </cell>
        </row>
        <row r="481">
          <cell r="D481" t="str">
            <v>ED3-CE</v>
          </cell>
        </row>
        <row r="482">
          <cell r="D482" t="str">
            <v>ED3-COE</v>
          </cell>
        </row>
        <row r="483">
          <cell r="D483" t="str">
            <v>ED3-TEL</v>
          </cell>
        </row>
        <row r="484">
          <cell r="D484" t="str">
            <v>ED4-ME</v>
          </cell>
        </row>
        <row r="485">
          <cell r="D485" t="str">
            <v>ED2-TEL</v>
          </cell>
        </row>
        <row r="486">
          <cell r="D486" t="str">
            <v>ED2-AERO</v>
          </cell>
        </row>
        <row r="487">
          <cell r="D487" t="str">
            <v>ED2-GEOL</v>
          </cell>
        </row>
        <row r="488">
          <cell r="D488" t="str">
            <v>ED2-AE</v>
          </cell>
        </row>
        <row r="489">
          <cell r="D489" t="str">
            <v>ED2-COE</v>
          </cell>
        </row>
        <row r="490">
          <cell r="D490" t="str">
            <v>ED2-IND</v>
          </cell>
        </row>
        <row r="491">
          <cell r="D491" t="str">
            <v>ED3-METE</v>
          </cell>
        </row>
        <row r="492">
          <cell r="D492" t="str">
            <v>ED3-MSE</v>
          </cell>
        </row>
        <row r="493">
          <cell r="D493" t="str">
            <v>Total F2-2</v>
          </cell>
        </row>
        <row r="494">
          <cell r="D494"/>
        </row>
        <row r="495">
          <cell r="D495"/>
        </row>
        <row r="496">
          <cell r="D496"/>
        </row>
        <row r="497">
          <cell r="D497"/>
        </row>
        <row r="498">
          <cell r="D498" t="str">
            <v>CLASS</v>
          </cell>
        </row>
        <row r="499">
          <cell r="D499" t="str">
            <v>ED2-AUTO</v>
          </cell>
        </row>
        <row r="500">
          <cell r="D500" t="str">
            <v>ED2-BME</v>
          </cell>
        </row>
        <row r="501">
          <cell r="D501" t="str">
            <v>ED2-PCE</v>
          </cell>
        </row>
        <row r="502">
          <cell r="D502" t="str">
            <v>ED2-PETE</v>
          </cell>
        </row>
        <row r="506">
          <cell r="D506"/>
        </row>
        <row r="507">
          <cell r="D507"/>
        </row>
        <row r="508">
          <cell r="D508" t="str">
            <v>CLASS</v>
          </cell>
        </row>
        <row r="509">
          <cell r="D509" t="str">
            <v>ED3-PETE</v>
          </cell>
        </row>
        <row r="510">
          <cell r="D510" t="str">
            <v>ED4-PETE</v>
          </cell>
        </row>
        <row r="511">
          <cell r="D511" t="str">
            <v>ED2-MSE</v>
          </cell>
        </row>
        <row r="512">
          <cell r="D512" t="str">
            <v>ED2-METE</v>
          </cell>
        </row>
        <row r="513">
          <cell r="D513" t="str">
            <v>ED3-GEOM</v>
          </cell>
        </row>
        <row r="514">
          <cell r="D514" t="str">
            <v>ED2-AUTO</v>
          </cell>
        </row>
        <row r="515">
          <cell r="D515" t="str">
            <v>ED2-IND</v>
          </cell>
        </row>
        <row r="516">
          <cell r="D516" t="str">
            <v>ED2-MARI</v>
          </cell>
        </row>
        <row r="517">
          <cell r="D517" t="str">
            <v>ED4-TEL</v>
          </cell>
        </row>
        <row r="518">
          <cell r="D518" t="str">
            <v>ED4-ME</v>
          </cell>
        </row>
        <row r="519">
          <cell r="D519" t="str">
            <v>ED4-AERO</v>
          </cell>
        </row>
        <row r="520">
          <cell r="D520" t="str">
            <v>ED4-MARI</v>
          </cell>
        </row>
        <row r="521">
          <cell r="D521" t="str">
            <v>ED1-AE</v>
          </cell>
        </row>
        <row r="522">
          <cell r="D522" t="str">
            <v>ED2-BME</v>
          </cell>
        </row>
        <row r="523">
          <cell r="D523" t="str">
            <v>ED4-GEOL</v>
          </cell>
        </row>
        <row r="524">
          <cell r="D524" t="str">
            <v>Total T3-1</v>
          </cell>
        </row>
        <row r="525">
          <cell r="D525"/>
        </row>
        <row r="526">
          <cell r="D526"/>
        </row>
        <row r="529">
          <cell r="D529" t="str">
            <v>CLASS</v>
          </cell>
        </row>
        <row r="530">
          <cell r="D530" t="str">
            <v>ED1-COE</v>
          </cell>
        </row>
        <row r="531">
          <cell r="D531" t="str">
            <v>ED1-METE</v>
          </cell>
        </row>
        <row r="532">
          <cell r="D532" t="str">
            <v>ED1-BME</v>
          </cell>
        </row>
        <row r="533">
          <cell r="D533" t="str">
            <v>ED3-METE</v>
          </cell>
        </row>
        <row r="534">
          <cell r="D534" t="str">
            <v>ED3-MSE</v>
          </cell>
        </row>
        <row r="535">
          <cell r="D535" t="str">
            <v>ED1-EE</v>
          </cell>
        </row>
        <row r="536">
          <cell r="D536" t="str">
            <v>ED1-GEOL</v>
          </cell>
        </row>
        <row r="537">
          <cell r="D537" t="str">
            <v>ED1-PCE</v>
          </cell>
        </row>
        <row r="538">
          <cell r="D538" t="str">
            <v>ED3-COE</v>
          </cell>
        </row>
        <row r="539">
          <cell r="D539" t="str">
            <v>ED3-BME</v>
          </cell>
        </row>
        <row r="540">
          <cell r="D540" t="str">
            <v>ED3-EE</v>
          </cell>
        </row>
        <row r="541">
          <cell r="D541" t="str">
            <v>Total T3-2</v>
          </cell>
        </row>
        <row r="542">
          <cell r="D542"/>
        </row>
        <row r="543">
          <cell r="D543"/>
        </row>
        <row r="544">
          <cell r="D544"/>
        </row>
        <row r="546">
          <cell r="D546" t="str">
            <v>CLASS</v>
          </cell>
        </row>
        <row r="547">
          <cell r="D547" t="str">
            <v>ED4-COE</v>
          </cell>
        </row>
        <row r="548">
          <cell r="D548" t="str">
            <v>ED2-AE</v>
          </cell>
        </row>
        <row r="549">
          <cell r="D549" t="str">
            <v>ED2-GEOM</v>
          </cell>
        </row>
        <row r="550">
          <cell r="D550" t="str">
            <v>ED2-EE</v>
          </cell>
        </row>
        <row r="551">
          <cell r="D551" t="str">
            <v>ED2-CHE</v>
          </cell>
        </row>
        <row r="552">
          <cell r="D552" t="str">
            <v>ED4-PCE</v>
          </cell>
        </row>
        <row r="553">
          <cell r="D553" t="str">
            <v>ED3-ME</v>
          </cell>
        </row>
        <row r="554">
          <cell r="D554" t="str">
            <v>ED3-MARI</v>
          </cell>
        </row>
        <row r="555">
          <cell r="D555" t="str">
            <v>ED3-AUTO</v>
          </cell>
        </row>
        <row r="556">
          <cell r="D556" t="str">
            <v>ED4-IND</v>
          </cell>
        </row>
        <row r="557">
          <cell r="D557" t="str">
            <v>ED4-AE</v>
          </cell>
        </row>
        <row r="558">
          <cell r="D558" t="str">
            <v>Total T3-3</v>
          </cell>
        </row>
        <row r="559">
          <cell r="D559"/>
        </row>
        <row r="560">
          <cell r="D560"/>
        </row>
        <row r="561">
          <cell r="D561"/>
        </row>
        <row r="562">
          <cell r="D562"/>
        </row>
        <row r="563">
          <cell r="D563" t="str">
            <v>CLASS</v>
          </cell>
        </row>
        <row r="564">
          <cell r="D564" t="str">
            <v>ED2-COE</v>
          </cell>
        </row>
        <row r="565">
          <cell r="D565" t="str">
            <v>ED2-EE</v>
          </cell>
        </row>
        <row r="566">
          <cell r="D566" t="str">
            <v>ED2-MSE</v>
          </cell>
        </row>
        <row r="567">
          <cell r="D567" t="str">
            <v>ED2-TEL</v>
          </cell>
        </row>
        <row r="568">
          <cell r="D568" t="str">
            <v>ED1-CE</v>
          </cell>
        </row>
        <row r="569">
          <cell r="D569" t="str">
            <v>ED1-GEOL</v>
          </cell>
        </row>
        <row r="570">
          <cell r="D570" t="str">
            <v>ED2-BME</v>
          </cell>
        </row>
        <row r="571">
          <cell r="D571" t="str">
            <v>ED3-CHE</v>
          </cell>
        </row>
        <row r="572">
          <cell r="D572" t="str">
            <v>ED3-GEOM</v>
          </cell>
        </row>
        <row r="573">
          <cell r="D573" t="str">
            <v>ED3-METE</v>
          </cell>
        </row>
        <row r="574">
          <cell r="D574" t="str">
            <v>ED1-MARI</v>
          </cell>
        </row>
        <row r="575">
          <cell r="D575" t="str">
            <v>ED1-AERO</v>
          </cell>
        </row>
        <row r="576">
          <cell r="D576" t="str">
            <v>ED4-ME</v>
          </cell>
        </row>
        <row r="577">
          <cell r="D577" t="str">
            <v>ED2-IND</v>
          </cell>
        </row>
        <row r="578">
          <cell r="D578" t="str">
            <v>ED2-ME</v>
          </cell>
        </row>
        <row r="579">
          <cell r="D579" t="str">
            <v>ED2-AUTO</v>
          </cell>
        </row>
        <row r="580">
          <cell r="D580" t="str">
            <v>ED2-MARI</v>
          </cell>
        </row>
        <row r="581">
          <cell r="D581" t="str">
            <v>ED2-AERO</v>
          </cell>
        </row>
        <row r="582">
          <cell r="D582" t="str">
            <v>ED3-PCE</v>
          </cell>
        </row>
        <row r="583">
          <cell r="D583" t="str">
            <v>Total M3-1</v>
          </cell>
        </row>
        <row r="584">
          <cell r="D584"/>
        </row>
        <row r="585">
          <cell r="D585"/>
        </row>
        <row r="588">
          <cell r="D588" t="str">
            <v>CLASS</v>
          </cell>
        </row>
        <row r="589">
          <cell r="D589" t="str">
            <v>ED1-PETE</v>
          </cell>
        </row>
        <row r="590">
          <cell r="D590" t="str">
            <v>ED3-AERO</v>
          </cell>
        </row>
        <row r="591">
          <cell r="D591" t="str">
            <v>ED4-AUTO</v>
          </cell>
        </row>
        <row r="592">
          <cell r="D592" t="str">
            <v>ED2-CE</v>
          </cell>
        </row>
        <row r="593">
          <cell r="D593" t="str">
            <v>ED3-CE</v>
          </cell>
        </row>
        <row r="594">
          <cell r="D594" t="str">
            <v>ED2-AE</v>
          </cell>
        </row>
        <row r="595">
          <cell r="D595" t="str">
            <v>ED4-GEOM</v>
          </cell>
        </row>
        <row r="596">
          <cell r="D596" t="str">
            <v>ED4-BME</v>
          </cell>
        </row>
        <row r="597">
          <cell r="D597" t="str">
            <v>ED4-CHE</v>
          </cell>
        </row>
        <row r="598">
          <cell r="D598" t="str">
            <v>ED4-PCE</v>
          </cell>
        </row>
        <row r="599">
          <cell r="D599" t="str">
            <v>ED2-CHE</v>
          </cell>
        </row>
        <row r="600">
          <cell r="D600" t="str">
            <v>ED2-PCE</v>
          </cell>
        </row>
        <row r="601">
          <cell r="D601" t="str">
            <v>Total M3-2</v>
          </cell>
        </row>
        <row r="602">
          <cell r="D602"/>
        </row>
        <row r="606">
          <cell r="D606" t="str">
            <v>CLASS</v>
          </cell>
        </row>
        <row r="607">
          <cell r="D607" t="str">
            <v>ED1-TEL</v>
          </cell>
        </row>
        <row r="608">
          <cell r="D608" t="str">
            <v>ED3-IND</v>
          </cell>
        </row>
        <row r="609">
          <cell r="D609" t="str">
            <v>ED3-GEOL</v>
          </cell>
        </row>
        <row r="610">
          <cell r="D610" t="str">
            <v>ED2-PETE</v>
          </cell>
        </row>
        <row r="611">
          <cell r="D611" t="str">
            <v>ED4-ME</v>
          </cell>
        </row>
        <row r="612">
          <cell r="D612" t="str">
            <v>ED4-IND</v>
          </cell>
        </row>
        <row r="613">
          <cell r="D613" t="str">
            <v>ED4-MSE</v>
          </cell>
        </row>
        <row r="614">
          <cell r="D614" t="str">
            <v>ED4-METE</v>
          </cell>
        </row>
        <row r="615">
          <cell r="D615" t="str">
            <v>ED2-GEOL</v>
          </cell>
        </row>
        <row r="616">
          <cell r="D616" t="str">
            <v>ED3-AE</v>
          </cell>
        </row>
        <row r="617">
          <cell r="D617" t="str">
            <v>ED3-ME</v>
          </cell>
        </row>
        <row r="618">
          <cell r="D618" t="str">
            <v>ED3-TEL</v>
          </cell>
        </row>
        <row r="619">
          <cell r="D619" t="str">
            <v>ED2-GEOM</v>
          </cell>
        </row>
        <row r="620">
          <cell r="D620" t="str">
            <v>ED4-AERO</v>
          </cell>
        </row>
        <row r="621">
          <cell r="D621" t="str">
            <v>ED3-MARI</v>
          </cell>
        </row>
        <row r="622">
          <cell r="D622" t="str">
            <v>ED3-AUTO</v>
          </cell>
        </row>
        <row r="625">
          <cell r="D625"/>
        </row>
        <row r="626">
          <cell r="D626"/>
        </row>
        <row r="627">
          <cell r="D627"/>
        </row>
        <row r="628">
          <cell r="D628"/>
        </row>
        <row r="629">
          <cell r="D629"/>
        </row>
        <row r="630">
          <cell r="D630" t="str">
            <v>CLASS</v>
          </cell>
        </row>
        <row r="631">
          <cell r="D631" t="str">
            <v>ED1-AERO</v>
          </cell>
        </row>
        <row r="632">
          <cell r="D632" t="str">
            <v>ED1-AE</v>
          </cell>
        </row>
        <row r="633">
          <cell r="D633" t="str">
            <v>ED1-AUTO</v>
          </cell>
        </row>
        <row r="634">
          <cell r="D634" t="str">
            <v>ED1-BME</v>
          </cell>
        </row>
        <row r="635">
          <cell r="D635" t="str">
            <v>ED1-CHE</v>
          </cell>
        </row>
        <row r="636">
          <cell r="D636" t="str">
            <v>ED1-PCE</v>
          </cell>
        </row>
        <row r="637">
          <cell r="D637" t="str">
            <v>ED1-COE</v>
          </cell>
        </row>
        <row r="638">
          <cell r="D638" t="str">
            <v>ED1-CE</v>
          </cell>
        </row>
        <row r="639">
          <cell r="D639" t="str">
            <v>ED1-EE</v>
          </cell>
        </row>
        <row r="640">
          <cell r="D640" t="str">
            <v>ED1-GEOL</v>
          </cell>
        </row>
        <row r="641">
          <cell r="D641" t="str">
            <v>ED1-METE</v>
          </cell>
        </row>
        <row r="642">
          <cell r="D642" t="str">
            <v>ED1-GEOM</v>
          </cell>
        </row>
        <row r="643">
          <cell r="D643" t="str">
            <v>ED1-IND</v>
          </cell>
        </row>
        <row r="644">
          <cell r="D644" t="str">
            <v>ED1-MARI</v>
          </cell>
        </row>
        <row r="645">
          <cell r="D645" t="str">
            <v>ED1-MSE</v>
          </cell>
        </row>
        <row r="646">
          <cell r="D646" t="str">
            <v>ED1-ME</v>
          </cell>
        </row>
        <row r="647">
          <cell r="D647" t="str">
            <v>ED1-PETE</v>
          </cell>
        </row>
        <row r="648">
          <cell r="D648" t="str">
            <v>ED1-TEL</v>
          </cell>
        </row>
        <row r="649">
          <cell r="D649" t="str">
            <v>ED2-MARI</v>
          </cell>
        </row>
        <row r="650">
          <cell r="D650" t="str">
            <v>ED2-ME</v>
          </cell>
        </row>
        <row r="651">
          <cell r="D651" t="str">
            <v>ED2-CE</v>
          </cell>
        </row>
        <row r="652">
          <cell r="D652" t="str">
            <v>ED2-METE</v>
          </cell>
        </row>
        <row r="653">
          <cell r="D653" t="str">
            <v>ED2-GEOL</v>
          </cell>
        </row>
        <row r="654">
          <cell r="D654" t="str">
            <v>ED3-MSE</v>
          </cell>
        </row>
        <row r="655">
          <cell r="D655" t="str">
            <v>ED2-TEL</v>
          </cell>
        </row>
        <row r="656">
          <cell r="D656" t="str">
            <v>ED3-BME</v>
          </cell>
        </row>
        <row r="657">
          <cell r="D657" t="str">
            <v>ED2-COE</v>
          </cell>
        </row>
        <row r="658">
          <cell r="D658" t="str">
            <v>ED3-GEOM</v>
          </cell>
        </row>
        <row r="659">
          <cell r="D659" t="str">
            <v>Total W3-1</v>
          </cell>
        </row>
        <row r="660">
          <cell r="D660"/>
        </row>
        <row r="661">
          <cell r="D661"/>
        </row>
        <row r="662">
          <cell r="D662"/>
        </row>
        <row r="663">
          <cell r="D663"/>
        </row>
        <row r="664">
          <cell r="D664" t="str">
            <v>CLASS</v>
          </cell>
        </row>
        <row r="665">
          <cell r="D665" t="str">
            <v>ED4-EE</v>
          </cell>
        </row>
        <row r="666">
          <cell r="D666" t="str">
            <v>ED4-ME</v>
          </cell>
        </row>
        <row r="667">
          <cell r="D667" t="str">
            <v>ED4-COE</v>
          </cell>
        </row>
        <row r="668">
          <cell r="D668" t="str">
            <v>ED4-MSE</v>
          </cell>
        </row>
        <row r="669">
          <cell r="D669" t="str">
            <v>ED4-METE</v>
          </cell>
        </row>
        <row r="670">
          <cell r="D670" t="str">
            <v>ED4-AE</v>
          </cell>
        </row>
        <row r="671">
          <cell r="D671" t="str">
            <v>ED4-TEL</v>
          </cell>
        </row>
        <row r="672">
          <cell r="D672" t="str">
            <v>ED4-BME</v>
          </cell>
        </row>
        <row r="673">
          <cell r="D673" t="str">
            <v>ED4-AUTO</v>
          </cell>
        </row>
        <row r="674">
          <cell r="D674" t="str">
            <v>ED4-IND</v>
          </cell>
        </row>
        <row r="675">
          <cell r="D675" t="str">
            <v>ED4-MARI</v>
          </cell>
        </row>
        <row r="676">
          <cell r="D676" t="str">
            <v>Total W3-2</v>
          </cell>
        </row>
        <row r="677">
          <cell r="D677"/>
        </row>
        <row r="678">
          <cell r="D678"/>
        </row>
        <row r="679">
          <cell r="D679"/>
        </row>
        <row r="680">
          <cell r="D680"/>
        </row>
        <row r="681">
          <cell r="D681" t="str">
            <v>CLASS</v>
          </cell>
        </row>
        <row r="682">
          <cell r="D682" t="str">
            <v>ED3-CE</v>
          </cell>
        </row>
        <row r="683">
          <cell r="D683" t="str">
            <v>ED3-GEOL</v>
          </cell>
        </row>
        <row r="684">
          <cell r="D684" t="str">
            <v>ED3-AERO</v>
          </cell>
        </row>
        <row r="685">
          <cell r="D685" t="str">
            <v>ED3-ME</v>
          </cell>
        </row>
        <row r="686">
          <cell r="D686" t="str">
            <v>ED3-MARI</v>
          </cell>
        </row>
        <row r="687">
          <cell r="D687" t="str">
            <v>ED3-CHE</v>
          </cell>
        </row>
        <row r="688">
          <cell r="D688" t="str">
            <v>ED3-TEL</v>
          </cell>
        </row>
        <row r="689">
          <cell r="D689" t="str">
            <v>ED4-CHE</v>
          </cell>
        </row>
        <row r="690">
          <cell r="D690" t="str">
            <v>ED4-GEOM</v>
          </cell>
        </row>
        <row r="691">
          <cell r="D691" t="str">
            <v>ED4-CE</v>
          </cell>
        </row>
        <row r="692">
          <cell r="D692" t="str">
            <v>Total W3-3</v>
          </cell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 t="str">
            <v>CLASS</v>
          </cell>
        </row>
        <row r="698">
          <cell r="D698" t="str">
            <v>ED2-BME</v>
          </cell>
        </row>
        <row r="699">
          <cell r="D699" t="str">
            <v>ED2-COE</v>
          </cell>
        </row>
        <row r="700">
          <cell r="D700" t="str">
            <v>ED3-METE</v>
          </cell>
        </row>
        <row r="701">
          <cell r="D701" t="str">
            <v>ED2-TEL</v>
          </cell>
        </row>
        <row r="702">
          <cell r="D702" t="str">
            <v>ED2-MSE</v>
          </cell>
        </row>
        <row r="703">
          <cell r="D703" t="str">
            <v>ED3-GEOM</v>
          </cell>
        </row>
        <row r="704">
          <cell r="D704" t="str">
            <v>ED1-GEOL</v>
          </cell>
        </row>
        <row r="705">
          <cell r="D705" t="str">
            <v>ED3-ME</v>
          </cell>
        </row>
        <row r="706">
          <cell r="D706" t="str">
            <v>ED1-MSE</v>
          </cell>
        </row>
        <row r="707">
          <cell r="D707" t="str">
            <v>ED2-AERO</v>
          </cell>
        </row>
        <row r="708">
          <cell r="D708" t="str">
            <v>ED2-AE</v>
          </cell>
        </row>
        <row r="709">
          <cell r="D709" t="str">
            <v>ED1-BME</v>
          </cell>
        </row>
        <row r="710">
          <cell r="D710" t="str">
            <v>ED2-ME</v>
          </cell>
        </row>
        <row r="711">
          <cell r="D711" t="str">
            <v>ED3-AUTO</v>
          </cell>
        </row>
        <row r="712">
          <cell r="D712" t="str">
            <v>ED4-ME</v>
          </cell>
        </row>
        <row r="713">
          <cell r="D713" t="str">
            <v>ED4-GEOL</v>
          </cell>
        </row>
        <row r="714">
          <cell r="D714" t="str">
            <v>ED2-METE</v>
          </cell>
        </row>
        <row r="715">
          <cell r="D715" t="str">
            <v>ED3-MARI</v>
          </cell>
        </row>
        <row r="718">
          <cell r="D718"/>
        </row>
        <row r="719">
          <cell r="D719"/>
        </row>
        <row r="720">
          <cell r="D720"/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ED3-TEL</v>
          </cell>
        </row>
        <row r="724">
          <cell r="D724" t="str">
            <v>ED3-COE</v>
          </cell>
        </row>
        <row r="725">
          <cell r="D725" t="str">
            <v>ED3-BME</v>
          </cell>
        </row>
        <row r="726">
          <cell r="D726" t="str">
            <v>ED4-PCE</v>
          </cell>
        </row>
        <row r="727">
          <cell r="D727" t="str">
            <v>ED4-EE</v>
          </cell>
        </row>
        <row r="728">
          <cell r="D728" t="str">
            <v>ED4-METE</v>
          </cell>
        </row>
        <row r="729">
          <cell r="D729" t="str">
            <v>ED2-MARI</v>
          </cell>
        </row>
        <row r="730">
          <cell r="D730" t="str">
            <v>ED2-PETE</v>
          </cell>
        </row>
        <row r="731">
          <cell r="D731" t="str">
            <v>ED3-PETE</v>
          </cell>
        </row>
        <row r="732">
          <cell r="D732" t="str">
            <v>ED1-COE</v>
          </cell>
        </row>
        <row r="733">
          <cell r="D733" t="str">
            <v>ED1-CE</v>
          </cell>
        </row>
        <row r="734">
          <cell r="D734" t="str">
            <v>Total H3-2</v>
          </cell>
        </row>
        <row r="735">
          <cell r="D735"/>
        </row>
        <row r="736">
          <cell r="D736"/>
        </row>
        <row r="737">
          <cell r="D737"/>
        </row>
        <row r="738">
          <cell r="D738"/>
        </row>
        <row r="739">
          <cell r="D739" t="str">
            <v>CLASS</v>
          </cell>
        </row>
        <row r="740">
          <cell r="D740" t="str">
            <v>ED2-IND</v>
          </cell>
        </row>
        <row r="741">
          <cell r="D741" t="str">
            <v>ED2-MARI</v>
          </cell>
        </row>
        <row r="742">
          <cell r="D742" t="str">
            <v>ED2-AUTO</v>
          </cell>
        </row>
        <row r="743">
          <cell r="D743" t="str">
            <v>ED4-CE</v>
          </cell>
        </row>
        <row r="744">
          <cell r="D744" t="str">
            <v>ED1-GEOM</v>
          </cell>
        </row>
        <row r="745">
          <cell r="D745" t="str">
            <v>ED3-PCE</v>
          </cell>
        </row>
        <row r="746">
          <cell r="D746" t="str">
            <v>ED3-CHE</v>
          </cell>
        </row>
        <row r="747">
          <cell r="D747" t="str">
            <v>ED2-CHE</v>
          </cell>
        </row>
        <row r="748">
          <cell r="D748" t="str">
            <v>ED2-PCE</v>
          </cell>
        </row>
        <row r="749">
          <cell r="D749" t="str">
            <v>ED2-GEOM</v>
          </cell>
        </row>
        <row r="750">
          <cell r="D750" t="str">
            <v>ED3-AE</v>
          </cell>
        </row>
        <row r="751">
          <cell r="D751" t="str">
            <v>ED4-AUTO</v>
          </cell>
        </row>
        <row r="752">
          <cell r="D752" t="str">
            <v>ED4-MARI</v>
          </cell>
        </row>
        <row r="753">
          <cell r="D753" t="str">
            <v>ED4-AERO</v>
          </cell>
        </row>
        <row r="754">
          <cell r="D754" t="str">
            <v>ED4-ME</v>
          </cell>
        </row>
        <row r="755">
          <cell r="D755" t="str">
            <v>ED1-MARI</v>
          </cell>
        </row>
        <row r="756">
          <cell r="D756" t="str">
            <v>ED1-IND</v>
          </cell>
        </row>
        <row r="757">
          <cell r="D757" t="str">
            <v>ED1-CHE</v>
          </cell>
        </row>
        <row r="758">
          <cell r="D758" t="str">
            <v>ED1-PCE</v>
          </cell>
        </row>
        <row r="759">
          <cell r="D759" t="str">
            <v>ED1-PETE</v>
          </cell>
        </row>
        <row r="760">
          <cell r="D760" t="str">
            <v>Total H3-3</v>
          </cell>
        </row>
        <row r="761">
          <cell r="D761"/>
        </row>
        <row r="762">
          <cell r="D762"/>
        </row>
        <row r="763">
          <cell r="D763"/>
        </row>
        <row r="764">
          <cell r="D764"/>
        </row>
        <row r="765">
          <cell r="D765" t="str">
            <v>CLASS</v>
          </cell>
        </row>
        <row r="766">
          <cell r="D766" t="str">
            <v>ED4-ME</v>
          </cell>
        </row>
        <row r="767">
          <cell r="D767" t="str">
            <v>ED4-IND</v>
          </cell>
        </row>
        <row r="768">
          <cell r="D768" t="str">
            <v>ED1-GEOL</v>
          </cell>
        </row>
        <row r="769">
          <cell r="D769" t="str">
            <v>ED1-METE</v>
          </cell>
        </row>
        <row r="770">
          <cell r="D770" t="str">
            <v>ED2-AE</v>
          </cell>
        </row>
        <row r="771">
          <cell r="D771" t="str">
            <v>ED3-CHE</v>
          </cell>
        </row>
        <row r="772">
          <cell r="D772" t="str">
            <v>ED2-PETE</v>
          </cell>
        </row>
        <row r="773">
          <cell r="D773" t="str">
            <v>ED2-EE</v>
          </cell>
        </row>
        <row r="774">
          <cell r="D774" t="str">
            <v>ED4-CHE</v>
          </cell>
        </row>
        <row r="775">
          <cell r="D775" t="str">
            <v>ED2-CE</v>
          </cell>
        </row>
        <row r="776">
          <cell r="D776" t="str">
            <v>ED3-METE</v>
          </cell>
        </row>
        <row r="777">
          <cell r="D777" t="str">
            <v>ED3-AUTO</v>
          </cell>
        </row>
        <row r="778">
          <cell r="D778" t="str">
            <v>ED3-EE</v>
          </cell>
        </row>
        <row r="779">
          <cell r="D779" t="str">
            <v>ED3-MSE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WATER"/>
      <sheetName val="SESSIONS"/>
      <sheetName val="COURSES"/>
      <sheetName val="TEO_fred"/>
      <sheetName val="COMBINED_ATTD_INV (3)"/>
      <sheetName val="COMBINED"/>
      <sheetName val="Sheet8"/>
      <sheetName val="Sheet1"/>
      <sheetName val="Invigilators_Analysis"/>
      <sheetName val="ROOMS"/>
      <sheetName val="Sheet7"/>
    </sheetNames>
    <sheetDataSet>
      <sheetData sheetId="0"/>
      <sheetData sheetId="1"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7">
          <cell r="D7"/>
        </row>
        <row r="8">
          <cell r="D8"/>
        </row>
        <row r="9">
          <cell r="D9"/>
        </row>
        <row r="10">
          <cell r="D10"/>
        </row>
        <row r="11">
          <cell r="D11"/>
        </row>
        <row r="12">
          <cell r="D12"/>
        </row>
        <row r="13">
          <cell r="D13"/>
        </row>
        <row r="19">
          <cell r="D19" t="str">
            <v>CLASS</v>
          </cell>
        </row>
        <row r="20">
          <cell r="D20"/>
        </row>
        <row r="21">
          <cell r="D21"/>
        </row>
        <row r="22">
          <cell r="D22"/>
        </row>
        <row r="23">
          <cell r="D23"/>
        </row>
        <row r="24">
          <cell r="D24"/>
        </row>
        <row r="25">
          <cell r="D25"/>
        </row>
        <row r="26">
          <cell r="D26"/>
        </row>
        <row r="27">
          <cell r="D27"/>
        </row>
        <row r="28">
          <cell r="D28"/>
        </row>
        <row r="29">
          <cell r="D29"/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38">
          <cell r="D38"/>
        </row>
        <row r="39">
          <cell r="D39"/>
        </row>
        <row r="40">
          <cell r="D40"/>
        </row>
        <row r="41">
          <cell r="D41"/>
        </row>
        <row r="42">
          <cell r="D42"/>
        </row>
        <row r="43">
          <cell r="D43"/>
        </row>
        <row r="44">
          <cell r="D44"/>
        </row>
        <row r="45">
          <cell r="D45"/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54">
          <cell r="D54"/>
        </row>
        <row r="55">
          <cell r="D55"/>
        </row>
        <row r="56">
          <cell r="D56"/>
        </row>
        <row r="57">
          <cell r="D57"/>
        </row>
        <row r="58">
          <cell r="D58"/>
        </row>
        <row r="59">
          <cell r="D59"/>
        </row>
        <row r="60">
          <cell r="D60"/>
        </row>
        <row r="61">
          <cell r="D61"/>
        </row>
        <row r="67">
          <cell r="D67" t="str">
            <v>CLASS</v>
          </cell>
        </row>
        <row r="68">
          <cell r="D68"/>
        </row>
        <row r="69">
          <cell r="D69"/>
        </row>
        <row r="70">
          <cell r="D70"/>
        </row>
        <row r="71">
          <cell r="D71"/>
        </row>
        <row r="72">
          <cell r="D72"/>
        </row>
        <row r="73">
          <cell r="D73"/>
        </row>
        <row r="74">
          <cell r="D74"/>
        </row>
        <row r="75">
          <cell r="D75"/>
        </row>
        <row r="76">
          <cell r="D76"/>
        </row>
        <row r="77">
          <cell r="D77"/>
        </row>
        <row r="83">
          <cell r="D83" t="str">
            <v>CLASS</v>
          </cell>
        </row>
        <row r="84">
          <cell r="D84" t="str">
            <v>ED3-PCE</v>
          </cell>
        </row>
        <row r="85">
          <cell r="D85"/>
        </row>
        <row r="86">
          <cell r="D86"/>
        </row>
        <row r="87">
          <cell r="D87"/>
        </row>
        <row r="88">
          <cell r="D88"/>
        </row>
        <row r="89">
          <cell r="D89"/>
        </row>
        <row r="90">
          <cell r="D90"/>
        </row>
        <row r="91">
          <cell r="D91"/>
        </row>
        <row r="92">
          <cell r="D92"/>
        </row>
        <row r="93">
          <cell r="D93"/>
        </row>
        <row r="99">
          <cell r="D99" t="str">
            <v>CLASS</v>
          </cell>
        </row>
        <row r="100">
          <cell r="D100" t="str">
            <v>ED3-GEOL</v>
          </cell>
        </row>
        <row r="101">
          <cell r="D101"/>
        </row>
        <row r="102">
          <cell r="D102"/>
        </row>
        <row r="103">
          <cell r="D103"/>
        </row>
        <row r="104">
          <cell r="D104"/>
        </row>
        <row r="105">
          <cell r="D105"/>
        </row>
        <row r="106">
          <cell r="D106"/>
        </row>
        <row r="107">
          <cell r="D107"/>
        </row>
        <row r="108">
          <cell r="D108"/>
        </row>
        <row r="109">
          <cell r="D109"/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21">
          <cell r="D121"/>
        </row>
        <row r="122">
          <cell r="D122"/>
        </row>
        <row r="123">
          <cell r="D123"/>
        </row>
        <row r="124">
          <cell r="D124"/>
        </row>
        <row r="125">
          <cell r="D125"/>
        </row>
        <row r="131">
          <cell r="D131" t="str">
            <v>CLASS</v>
          </cell>
        </row>
        <row r="132">
          <cell r="D132" t="str">
            <v>ED3-IND</v>
          </cell>
        </row>
        <row r="133">
          <cell r="D133"/>
        </row>
        <row r="134">
          <cell r="D134"/>
        </row>
        <row r="135">
          <cell r="D135"/>
        </row>
        <row r="136">
          <cell r="D136"/>
        </row>
        <row r="137">
          <cell r="D137"/>
        </row>
        <row r="138">
          <cell r="D138"/>
        </row>
        <row r="139">
          <cell r="D139"/>
        </row>
        <row r="140">
          <cell r="D140"/>
        </row>
        <row r="141">
          <cell r="D141"/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83">
          <cell r="D183" t="str">
            <v>CLASS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44">
          <cell r="D244" t="str">
            <v>CLASS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6">
          <cell r="D266" t="str">
            <v>CLASS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90">
          <cell r="D290" t="str">
            <v>CLASS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9">
          <cell r="D449" t="str">
            <v>CLASS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5">
          <cell r="D765" t="str">
            <v>CLASS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80">
          <cell r="D780" t="str">
            <v>CLASS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800">
          <cell r="D800" t="str">
            <v>CLASS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22">
          <cell r="D822" t="str">
            <v>CLASS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41">
          <cell r="D841" t="str">
            <v>CLASS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eme1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 TargetMode="Internal"/><Relationship Id="rId2" Type="http://schemas.openxmlformats.org/officeDocument/2006/relationships/vmlDrawing" Target="../drawings/vmlDrawing1.vml" TargetMode="Internal"/><Relationship Id="rId3" Type="http://schemas.openxmlformats.org/officeDocument/2006/relationships/comments" Target="../comments1.xml" TargetMode="In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 TargetMode="Internal"/><Relationship Id="rId2" Type="http://schemas.openxmlformats.org/officeDocument/2006/relationships/vmlDrawing" Target="../drawings/vmlDrawing2.vml" TargetMode="Internal"/><Relationship Id="rId3" Type="http://schemas.openxmlformats.org/officeDocument/2006/relationships/comments" Target="../comments2.xml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 TargetMode="In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 TargetMode="In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 TargetMode="In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455F-E4CF-4361-BE63-8835B1372546}">
  <sheetPr codeName="Sheet1">
    <tabColor rgb="FF00B050"/>
    <pageSetUpPr fitToPage="1"/>
  </sheetPr>
  <sheetViews>
    <sheetView workbookViewId="0" tabSelected="1" view="pageBreakPreview" zoomScaleNormal="100" zoomScalePageLayoutView="90" zoomScaleSheetLayoutView="100">
      <selection pane="topLeft" activeCell="A1" sqref="A1"/>
    </sheetView>
  </sheetViews>
  <sheetFormatPr baseColWidth="8" defaultColWidth="7.75" defaultRowHeight="15"/>
  <cols>
    <col min="1" max="1" width="10.375" style="352" bestFit="1" customWidth="1"/>
    <col min="2" max="2" width="68.875" style="352" bestFit="1" customWidth="1"/>
    <col min="3" max="3" width="55.875" style="119" customWidth="1"/>
    <col min="4" max="4" width="11.125" style="352" bestFit="1" customWidth="1"/>
    <col min="5" max="5" width="8.75" style="105" bestFit="1" customWidth="1"/>
    <col min="6" max="6" width="58.75" style="140" customWidth="1"/>
    <col min="7" max="7" width="10.5" style="105" customWidth="1"/>
    <col min="8" max="8" width="25.625" style="359" customWidth="1"/>
    <col min="9" max="9" width="21.625" style="104" customWidth="1"/>
    <col min="10" max="10" width="41" style="352" customWidth="1"/>
    <col min="11" max="16384" width="7.75" style="352" customWidth="1"/>
  </cols>
  <sheetData>
    <row r="1" spans="1:10">
      <c r="A1" s="83"/>
      <c r="B1" s="83"/>
      <c r="C1" s="109"/>
      <c r="D1" s="83"/>
      <c r="E1" s="83"/>
      <c r="F1" s="109"/>
      <c r="G1" s="83"/>
      <c r="H1" s="353"/>
      <c r="I1" s="83" t="str">
        <f>_xlfn.CONCAT(A1,",",D1)</f>
        <v>,</v>
      </c>
      <c r="J1" s="81" t="e">
        <f>#N/A</f>
        <v>#N/A</v>
      </c>
    </row>
    <row r="2" spans="1:10">
      <c r="A2" s="83"/>
      <c r="B2" s="83"/>
      <c r="C2" s="109"/>
      <c r="D2" s="83"/>
      <c r="E2" s="83"/>
      <c r="F2" s="109"/>
      <c r="G2" s="83"/>
      <c r="H2" s="353"/>
      <c r="I2" s="83" t="str">
        <v>,</v>
      </c>
      <c r="J2" s="81" t="e">
        <f>#N/A</f>
        <v>#N/A</v>
      </c>
    </row>
    <row r="3" spans="1:10">
      <c r="A3" s="363" t="s">
        <v>1450</v>
      </c>
      <c r="B3" s="363"/>
      <c r="C3" s="363"/>
      <c r="D3" s="363"/>
      <c r="E3" s="363"/>
      <c r="F3" s="363"/>
      <c r="G3" s="363"/>
      <c r="H3" s="353"/>
      <c r="I3" s="83" t="str">
        <v>Tuesday, 7 April 2026,</v>
      </c>
      <c r="J3" s="81" t="e">
        <f>#N/A</f>
        <v>#N/A</v>
      </c>
    </row>
    <row r="4" spans="1:10">
      <c r="A4" s="364" t="s">
        <v>411</v>
      </c>
      <c r="B4" s="365"/>
      <c r="C4" s="365"/>
      <c r="D4" s="365"/>
      <c r="E4" s="365"/>
      <c r="F4" s="365"/>
      <c r="G4" s="366"/>
      <c r="H4" s="353"/>
      <c r="I4" s="83" t="str">
        <v>Session, 1 (8:30 AM - 10:30 AM),</v>
      </c>
      <c r="J4" s="81" t="e">
        <f>#N/A</f>
        <v>#N/A</v>
      </c>
    </row>
    <row r="5" spans="1:10">
      <c r="A5" s="111" t="s">
        <v>24</v>
      </c>
      <c r="B5" s="111" t="s">
        <v>25</v>
      </c>
      <c r="C5" s="178" t="s">
        <v>26</v>
      </c>
      <c r="D5" s="111" t="s">
        <v>27</v>
      </c>
      <c r="E5" s="111" t="s">
        <v>266</v>
      </c>
      <c r="F5" s="178" t="s">
        <v>28</v>
      </c>
      <c r="G5" s="111" t="s">
        <v>265</v>
      </c>
      <c r="H5" s="353"/>
      <c r="I5" s="83" t="str">
        <v>CODE ,CLASS</v>
      </c>
      <c r="J5" s="81" t="e">
        <f>#N/A</f>
        <v>#N/A</v>
      </c>
    </row>
    <row r="6" spans="1:10">
      <c r="A6" s="180" t="s">
        <v>140</v>
      </c>
      <c r="B6" s="180" t="str">
        <f>IFERROR(VLOOKUP(I6:I15,Lecturers!A2:F596,6,FALSE),0)</f>
        <v>DIFFERENTIAL EQUATIONS</v>
      </c>
      <c r="C6" s="123" t="str">
        <f>IFERROR(VLOOKUP(I6:I15,Lecturers!A2:F596,2,FALSE),0)</f>
        <v>Boateng Maxwell Akwasi</v>
      </c>
      <c r="D6" s="180" t="s">
        <v>103</v>
      </c>
      <c r="E6" s="112">
        <f>IFERROR(VLOOKUP(I6:I15,Lecturers!A2:F596,3,FALSE),0)</f>
        <v>37</v>
      </c>
      <c r="F6" s="123" t="s">
        <v>331</v>
      </c>
      <c r="G6" s="107">
        <f>E6*1.1</f>
        <v>40.7</v>
      </c>
      <c r="H6" s="353" t="s">
        <v>1978</v>
      </c>
      <c r="I6" s="83" t="str">
        <f>_xlfn.CONCAT(A6,",",D6)</f>
        <v>MATH 251,ED2-MARI</v>
      </c>
      <c r="J6" s="81">
        <v>74</v>
      </c>
    </row>
    <row ht="15" customHeight="1" r="7" spans="1:10">
      <c r="A7" s="180" t="s">
        <v>140</v>
      </c>
      <c r="B7" s="180" t="str">
        <v>DIFFERENTIAL EQUATIONS</v>
      </c>
      <c r="C7" s="123" t="str">
        <v>Boateng Maxwell Akwasi</v>
      </c>
      <c r="D7" s="180" t="s">
        <v>82</v>
      </c>
      <c r="E7" s="112">
        <v>242</v>
      </c>
      <c r="F7" s="124" t="s">
        <v>2152</v>
      </c>
      <c r="G7" s="107">
        <f>E7*1.1</f>
        <v>266.2</v>
      </c>
      <c r="H7" s="353" t="s">
        <v>2289</v>
      </c>
      <c r="I7" s="83" t="str">
        <v>MATH 251,ED2-ME</v>
      </c>
      <c r="J7" s="81" t="e">
        <f>#N/A</f>
        <v>#N/A</v>
      </c>
    </row>
    <row r="8" spans="1:10">
      <c r="A8" s="180" t="s">
        <v>91</v>
      </c>
      <c r="B8" s="180" t="str">
        <v>ORGANIC CHEMISTRY FOR ENGINEERS</v>
      </c>
      <c r="C8" s="123" t="str">
        <v>Laryea Michael Konney</v>
      </c>
      <c r="D8" s="180" t="s">
        <v>8</v>
      </c>
      <c r="E8" s="106">
        <v>120</v>
      </c>
      <c r="F8" s="124" t="s">
        <v>2284</v>
      </c>
      <c r="G8" s="107">
        <f>E8*1.1</f>
        <v>132</v>
      </c>
      <c r="H8" s="353" t="s">
        <v>2290</v>
      </c>
      <c r="I8" s="83" t="str">
        <v>CHE 153,ED1-CHE</v>
      </c>
      <c r="J8" s="81">
        <v>129</v>
      </c>
    </row>
    <row r="9" spans="1:10">
      <c r="A9" s="180" t="s">
        <v>91</v>
      </c>
      <c r="B9" s="180" t="str">
        <v>ORGANIC CHEMISTRY FOR ENGINEERS</v>
      </c>
      <c r="C9" s="123" t="str">
        <v>Laryea Michael Konney</v>
      </c>
      <c r="D9" s="180" t="s">
        <v>30</v>
      </c>
      <c r="E9" s="106">
        <v>58</v>
      </c>
      <c r="F9" s="128" t="s">
        <v>2285</v>
      </c>
      <c r="G9" s="107">
        <f>E9*1.1</f>
        <v>63.8</v>
      </c>
      <c r="H9" s="353" t="s">
        <v>2291</v>
      </c>
      <c r="I9" s="83" t="str">
        <v>CHE 153,ED1-PCE</v>
      </c>
      <c r="J9" s="81">
        <v>61</v>
      </c>
    </row>
    <row r="10" spans="1:10">
      <c r="A10" s="180" t="s">
        <v>305</v>
      </c>
      <c r="B10" s="180" t="str">
        <v>ORGANIC CHEMISTRY FOR ENGINEERS</v>
      </c>
      <c r="C10" s="123" t="str">
        <v>Laryea Michael Konney</v>
      </c>
      <c r="D10" s="180" t="s">
        <v>1467</v>
      </c>
      <c r="E10" s="106">
        <v>130</v>
      </c>
      <c r="F10" s="124" t="s">
        <v>2286</v>
      </c>
      <c r="G10" s="107">
        <f>E10*1.1</f>
        <v>143</v>
      </c>
      <c r="H10" s="353" t="s">
        <v>2292</v>
      </c>
      <c r="I10" s="83" t="str">
        <v>PE 153,ED1-PE</v>
      </c>
      <c r="J10" s="81">
        <v>107</v>
      </c>
    </row>
    <row r="11" spans="1:10" s="112" customFormat="1">
      <c r="A11" s="112" t="s">
        <v>186</v>
      </c>
      <c r="B11" s="112" t="str">
        <v>PHARMACEUTICAL TECHNOLOGY</v>
      </c>
      <c r="C11" s="176" t="str">
        <v>Johnson Raphael</v>
      </c>
      <c r="D11" s="112" t="s">
        <v>79</v>
      </c>
      <c r="E11" s="112">
        <v>36</v>
      </c>
      <c r="F11" s="175" t="s">
        <v>331</v>
      </c>
      <c r="G11" s="113">
        <f>E11*1.1</f>
        <v>39.6</v>
      </c>
      <c r="H11" s="354" t="s">
        <v>2293</v>
      </c>
      <c r="I11" s="112" t="str">
        <f>_xlfn.CONCAT(A11,",",D11)</f>
        <v>CHE 471,ED4-PCE</v>
      </c>
      <c r="J11" s="112">
        <v>45</v>
      </c>
    </row>
    <row r="12" spans="1:10" s="112" customFormat="1">
      <c r="A12" s="112" t="s">
        <v>175</v>
      </c>
      <c r="B12" s="112" t="str">
        <v>PETROLEUM FLUID PROPERTIES</v>
      </c>
      <c r="C12" s="176" t="str">
        <v>Adenutsi Caspar Daniel</v>
      </c>
      <c r="D12" s="112" t="s">
        <v>46</v>
      </c>
      <c r="E12" s="112">
        <v>51</v>
      </c>
      <c r="F12" s="175" t="s">
        <v>2285</v>
      </c>
      <c r="G12" s="113">
        <f>E12*1.1</f>
        <v>56.1</v>
      </c>
      <c r="H12" s="354" t="s">
        <v>2294</v>
      </c>
      <c r="I12" s="112" t="str">
        <f>_xlfn.CONCAT(A12,",",D12)</f>
        <v>PCE 359,ED3-PCE</v>
      </c>
      <c r="J12" s="112">
        <v>99</v>
      </c>
    </row>
    <row r="13" spans="1:10" s="136" customFormat="1">
      <c r="A13" s="181" t="s">
        <v>258</v>
      </c>
      <c r="B13" s="181" t="str">
        <v>ENGINEERING IN SOCIETY</v>
      </c>
      <c r="C13" s="338" t="str">
        <v>Odame Prince</v>
      </c>
      <c r="D13" s="181" t="s">
        <v>86</v>
      </c>
      <c r="E13" s="108">
        <v>80</v>
      </c>
      <c r="F13" s="129" t="s">
        <v>2228</v>
      </c>
      <c r="G13" s="138">
        <f>E13*1.1</f>
        <v>88</v>
      </c>
      <c r="H13" s="355" t="s">
        <v>2295</v>
      </c>
      <c r="I13" s="318" t="str">
        <v>CENG 291,ED2-BME</v>
      </c>
      <c r="J13" s="81"/>
    </row>
    <row ht="14.25" customHeight="1" r="14" spans="1:10" s="136" customFormat="1">
      <c r="A14" s="181" t="s">
        <v>258</v>
      </c>
      <c r="B14" s="181" t="str">
        <v>ENGINEERING IN SOCIETY</v>
      </c>
      <c r="C14" s="338" t="str">
        <v>Odame Prince</v>
      </c>
      <c r="D14" s="181" t="s">
        <v>87</v>
      </c>
      <c r="E14" s="108">
        <v>255</v>
      </c>
      <c r="F14" s="129" t="s">
        <v>2287</v>
      </c>
      <c r="G14" s="138">
        <f>E14*1.1</f>
        <v>280.5</v>
      </c>
      <c r="H14" s="355" t="s">
        <v>2296</v>
      </c>
      <c r="I14" s="139" t="str">
        <f>_xlfn.CONCAT(A14,",",D14)</f>
        <v>CENG 291,ED2-COE</v>
      </c>
      <c r="J14" s="81">
        <v>240</v>
      </c>
    </row>
    <row r="15" spans="1:10">
      <c r="A15" s="180" t="s">
        <v>167</v>
      </c>
      <c r="B15" s="180" t="str">
        <v>DC MACHINES</v>
      </c>
      <c r="C15" s="122" t="str">
        <v>Effah Francis Boafo</v>
      </c>
      <c r="D15" s="180" t="s">
        <v>98</v>
      </c>
      <c r="E15" s="106">
        <v>345</v>
      </c>
      <c r="F15" s="124" t="s">
        <v>2288</v>
      </c>
      <c r="G15" s="107">
        <f>E15*1.1</f>
        <v>379.5</v>
      </c>
      <c r="H15" s="353" t="s">
        <v>2297</v>
      </c>
      <c r="I15" s="83" t="str">
        <v>EE 261,ED2-EE</v>
      </c>
      <c r="J15" s="81">
        <v>129</v>
      </c>
    </row>
    <row r="16" spans="1:10">
      <c r="A16" s="83"/>
      <c r="B16" s="83"/>
      <c r="C16" s="109"/>
      <c r="D16" s="180" t="s">
        <v>283</v>
      </c>
      <c r="E16" s="91">
        <f>SUM(E6:E15)</f>
        <v>1354</v>
      </c>
      <c r="F16" s="109"/>
      <c r="G16" s="83"/>
      <c r="H16" s="353"/>
      <c r="I16" s="83" t="str">
        <f>_xlfn.CONCAT(A16,",",D16)</f>
        <v>,Total T1-1</v>
      </c>
      <c r="J16" s="81" t="e">
        <f>#N/A</f>
        <v>#N/A</v>
      </c>
    </row>
    <row r="17" spans="1:10">
      <c r="A17" s="83"/>
      <c r="B17" s="83"/>
      <c r="C17" s="109"/>
      <c r="D17" s="83"/>
      <c r="E17" s="83"/>
      <c r="F17" s="109"/>
      <c r="G17" s="83"/>
      <c r="H17" s="353"/>
      <c r="I17" s="83" t="str">
        <v>,</v>
      </c>
      <c r="J17" s="81" t="e">
        <f>#N/A</f>
        <v>#N/A</v>
      </c>
    </row>
    <row r="18" spans="1:10">
      <c r="A18" s="83"/>
      <c r="B18" s="83"/>
      <c r="C18" s="109"/>
      <c r="D18" s="83"/>
      <c r="E18" s="83"/>
      <c r="F18" s="109"/>
      <c r="G18" s="83"/>
      <c r="H18" s="353"/>
      <c r="I18" s="83" t="str">
        <v>,</v>
      </c>
      <c r="J18" s="81" t="e">
        <f>#N/A</f>
        <v>#N/A</v>
      </c>
    </row>
    <row r="19" spans="1:10">
      <c r="A19" s="364" t="s">
        <v>1450</v>
      </c>
      <c r="B19" s="365"/>
      <c r="C19" s="365"/>
      <c r="D19" s="365"/>
      <c r="E19" s="365"/>
      <c r="F19" s="365"/>
      <c r="G19" s="366"/>
      <c r="H19" s="353"/>
      <c r="I19" s="83" t="str">
        <v>Tuesday, 7 April 2026,</v>
      </c>
      <c r="J19" s="81" t="e">
        <f>#N/A</f>
        <v>#N/A</v>
      </c>
    </row>
    <row r="20" spans="1:10">
      <c r="A20" s="364" t="s">
        <v>412</v>
      </c>
      <c r="B20" s="365"/>
      <c r="C20" s="365"/>
      <c r="D20" s="365"/>
      <c r="E20" s="365"/>
      <c r="F20" s="365"/>
      <c r="G20" s="366"/>
      <c r="H20" s="353"/>
      <c r="I20" s="83" t="str">
        <v>Session, 2 (12:00 PM - 2:00 PM),</v>
      </c>
      <c r="J20" s="81" t="e">
        <f>#N/A</f>
        <v>#N/A</v>
      </c>
    </row>
    <row r="21" spans="1:10" s="112" customFormat="1">
      <c r="A21" s="112" t="s">
        <v>24</v>
      </c>
      <c r="B21" s="112" t="s">
        <v>25</v>
      </c>
      <c r="C21" s="112" t="s">
        <v>26</v>
      </c>
      <c r="D21" s="112" t="s">
        <v>27</v>
      </c>
      <c r="E21" s="112" t="s">
        <v>266</v>
      </c>
      <c r="F21" s="112" t="s">
        <v>28</v>
      </c>
      <c r="G21" s="112" t="s">
        <v>265</v>
      </c>
      <c r="H21" s="353"/>
      <c r="I21" s="112" t="str">
        <v>CODE ,CLASS</v>
      </c>
      <c r="J21" s="112" t="e">
        <f>#N/A</f>
        <v>#N/A</v>
      </c>
    </row>
    <row r="22" spans="1:10" s="112" customFormat="1">
      <c r="A22" s="112" t="s">
        <v>429</v>
      </c>
      <c r="B22" s="112" t="str">
        <f>IFERROR(VLOOKUP(I22:I32,Lecturers!A2:F596,6,FALSE),0)</f>
        <v>DATA STRUCTURES AND ALGORITHMS</v>
      </c>
      <c r="C22" s="176" t="str">
        <f>VLOOKUP(I22:I32,Lecturers!A2:G598,2,FALSE)</f>
        <v>Adjaidoo Theresa-Samuelle Maame Atwemaah</v>
      </c>
      <c r="D22" s="112" t="s">
        <v>55</v>
      </c>
      <c r="E22" s="112">
        <f>IFERROR(VLOOKUP(I22:I32,Lecturers!A2:F596,3,FALSE),0)</f>
        <v>270</v>
      </c>
      <c r="F22" s="176" t="s">
        <v>1814</v>
      </c>
      <c r="G22" s="113">
        <f>E22*1.1</f>
        <v>297</v>
      </c>
      <c r="H22" s="353"/>
      <c r="I22" s="112" t="str">
        <v>COE 363,ED3-COE</v>
      </c>
    </row>
    <row r="23" spans="1:10" s="112" customFormat="1">
      <c r="A23" s="112" t="s">
        <v>249</v>
      </c>
      <c r="B23" s="112" t="str">
        <v>THEORY OF STRUCTURES</v>
      </c>
      <c r="C23" s="176" t="str">
        <v>Ampofo James Wiafe</v>
      </c>
      <c r="D23" s="112" t="s">
        <v>84</v>
      </c>
      <c r="E23" s="112">
        <v>255</v>
      </c>
      <c r="F23" s="175" t="s">
        <v>2298</v>
      </c>
      <c r="G23" s="113">
        <f>E23*1.1</f>
        <v>280.5</v>
      </c>
      <c r="H23" s="354" t="s">
        <v>2303</v>
      </c>
      <c r="I23" s="112" t="str">
        <v>CE 255,ED2-CE</v>
      </c>
      <c r="J23" s="112">
        <v>285</v>
      </c>
    </row>
    <row r="24" spans="1:10" s="112" customFormat="1">
      <c r="A24" s="112" t="s">
        <v>249</v>
      </c>
      <c r="B24" s="112" t="str">
        <v>THEORY OF STRUCTURES</v>
      </c>
      <c r="C24" s="176" t="str">
        <v>Ampofo James Wiafe</v>
      </c>
      <c r="D24" s="112" t="s">
        <v>73</v>
      </c>
      <c r="E24" s="112">
        <v>150</v>
      </c>
      <c r="F24" s="175" t="s">
        <v>2299</v>
      </c>
      <c r="G24" s="113">
        <f>E24*1.1</f>
        <v>165</v>
      </c>
      <c r="H24" s="354" t="s">
        <v>2304</v>
      </c>
      <c r="I24" s="112" t="str">
        <v>CE 255,ED2-GEOL</v>
      </c>
      <c r="J24" s="112">
        <v>151</v>
      </c>
    </row>
    <row r="25" spans="1:10">
      <c r="A25" s="180" t="s">
        <v>136</v>
      </c>
      <c r="B25" s="180" t="str">
        <v>HIGHWAY AND TRANSPORTATION ENGINEERING I</v>
      </c>
      <c r="C25" s="123" t="str">
        <v>Ababio-Donkor Augustus</v>
      </c>
      <c r="D25" s="180" t="s">
        <v>107</v>
      </c>
      <c r="E25" s="112">
        <v>125</v>
      </c>
      <c r="F25" s="132" t="s">
        <v>2108</v>
      </c>
      <c r="G25" s="107">
        <f>E25*1.1</f>
        <v>137.5</v>
      </c>
      <c r="H25" s="354" t="s">
        <v>2305</v>
      </c>
      <c r="I25" s="83" t="str">
        <f>_xlfn.CONCAT(A25,",",D25)</f>
        <v>CE 367,ED3-GEOM</v>
      </c>
      <c r="J25" s="81">
        <v>150</v>
      </c>
    </row>
    <row r="26" spans="1:10">
      <c r="A26" s="180" t="s">
        <v>154</v>
      </c>
      <c r="B26" s="180" t="str">
        <v>BASIC MECHANICS</v>
      </c>
      <c r="C26" s="330" t="str">
        <v>Opoku Richard</v>
      </c>
      <c r="D26" s="180" t="s">
        <v>36</v>
      </c>
      <c r="E26" s="106">
        <v>245</v>
      </c>
      <c r="F26" s="332" t="s">
        <v>2300</v>
      </c>
      <c r="G26" s="107">
        <f>E26*1.1</f>
        <v>269.5</v>
      </c>
      <c r="H26" s="353" t="s">
        <v>2306</v>
      </c>
      <c r="I26" s="83" t="str">
        <f>_xlfn.CONCAT(A26,",",D26)</f>
        <v>ME 161,ED1-CE</v>
      </c>
      <c r="J26" s="81">
        <v>105</v>
      </c>
    </row>
    <row r="27" spans="1:10">
      <c r="A27" s="180" t="s">
        <v>166</v>
      </c>
      <c r="B27" s="180" t="str">
        <v>BASIC GEOLOGY</v>
      </c>
      <c r="C27" s="122" t="str">
        <v>Gawu Simon Kafui Yawo</v>
      </c>
      <c r="D27" s="180" t="s">
        <v>6</v>
      </c>
      <c r="E27" s="106">
        <v>125</v>
      </c>
      <c r="F27" s="124" t="s">
        <v>2301</v>
      </c>
      <c r="G27" s="107">
        <f>E27*1.1</f>
        <v>137.5</v>
      </c>
      <c r="H27" s="354" t="s">
        <v>2307</v>
      </c>
      <c r="I27" s="104" t="str">
        <f>_xlfn.CONCAT(A27,",",D27)</f>
        <v>GED 151,ED1-GEOL</v>
      </c>
      <c r="J27" s="81">
        <v>105</v>
      </c>
    </row>
    <row r="28" spans="1:10">
      <c r="A28" s="180" t="s">
        <v>258</v>
      </c>
      <c r="B28" s="180" t="str">
        <v>ENGINEERING IN SOCIETY</v>
      </c>
      <c r="C28" s="330" t="str">
        <v>Koomson Bennetta</v>
      </c>
      <c r="D28" s="180" t="s">
        <v>104</v>
      </c>
      <c r="E28" s="106">
        <v>80</v>
      </c>
      <c r="F28" s="332" t="s">
        <v>2302</v>
      </c>
      <c r="G28" s="107">
        <f>E28*1.1</f>
        <v>88</v>
      </c>
      <c r="H28" s="353" t="s">
        <v>2308</v>
      </c>
      <c r="I28" s="83" t="str">
        <f>_xlfn.CONCAT(A28,",",D28)</f>
        <v>CENG 291,ED2-MSE</v>
      </c>
      <c r="J28" s="81">
        <v>148</v>
      </c>
    </row>
    <row r="29" spans="1:10">
      <c r="A29" s="180" t="s">
        <v>258</v>
      </c>
      <c r="B29" s="180" t="str">
        <v>ENGINEERING IN SOCIETY</v>
      </c>
      <c r="C29" s="330" t="str">
        <v>Koomson Bennetta</v>
      </c>
      <c r="D29" s="180" t="s">
        <v>72</v>
      </c>
      <c r="E29" s="106">
        <v>59</v>
      </c>
      <c r="F29" s="332" t="s">
        <v>2141</v>
      </c>
      <c r="G29" s="107">
        <f>E29*1.1</f>
        <v>64.9</v>
      </c>
      <c r="H29" s="353" t="s">
        <v>2023</v>
      </c>
      <c r="I29" s="83" t="str">
        <f>_xlfn.CONCAT(A29,",",D29)</f>
        <v>CENG 291,ED2-METE</v>
      </c>
      <c r="J29" s="81">
        <v>148</v>
      </c>
    </row>
    <row r="30" spans="1:10">
      <c r="A30" s="180" t="s">
        <v>1817</v>
      </c>
      <c r="B30" s="180" t="str">
        <v>COMPUTER NETWORKING</v>
      </c>
      <c r="C30" s="133" t="str">
        <v>Adrah Charles Mawutor</v>
      </c>
      <c r="D30" s="180" t="s">
        <v>114</v>
      </c>
      <c r="E30" s="106">
        <v>215</v>
      </c>
      <c r="F30" s="123" t="s">
        <v>2152</v>
      </c>
      <c r="G30" s="107">
        <f>E30*1.1</f>
        <v>236.5</v>
      </c>
      <c r="H30" s="353" t="s">
        <v>2309</v>
      </c>
      <c r="I30" s="104" t="str">
        <f>_xlfn.CONCAT(A30,",",D30)</f>
        <v>COE 475P,ED4-EE</v>
      </c>
      <c r="J30" s="81"/>
    </row>
    <row r="31" spans="1:10">
      <c r="A31" s="187" t="s">
        <v>1484</v>
      </c>
      <c r="B31" s="187" t="str">
        <v>OPERATIONS RESEARCH</v>
      </c>
      <c r="C31" s="134" t="str">
        <v>Mensah Lena Dzifa</v>
      </c>
      <c r="D31" s="187" t="s">
        <v>17</v>
      </c>
      <c r="E31" s="112">
        <v>2</v>
      </c>
      <c r="F31" s="321" t="s">
        <v>380</v>
      </c>
      <c r="G31" s="107">
        <f>E31*1.1</f>
        <v>2.2</v>
      </c>
      <c r="H31" s="354">
        <v>2</v>
      </c>
      <c r="I31" s="83" t="str">
        <v>ME 499,ED4-AERO</v>
      </c>
      <c r="J31" s="81"/>
    </row>
    <row r="32" spans="1:10" s="112" customFormat="1">
      <c r="A32" s="112" t="s">
        <v>311</v>
      </c>
      <c r="B32" s="112" t="str">
        <v>OPERATIONS RESEARCH I</v>
      </c>
      <c r="C32" s="176" t="str">
        <v>Mensah Lena Dzifa</v>
      </c>
      <c r="D32" s="112" t="s">
        <v>108</v>
      </c>
      <c r="E32" s="112">
        <v>72</v>
      </c>
      <c r="F32" s="175" t="s">
        <v>414</v>
      </c>
      <c r="G32" s="113">
        <f>E32*1.1</f>
        <v>79.2</v>
      </c>
      <c r="H32" s="356">
        <v>72</v>
      </c>
      <c r="I32" s="112" t="str">
        <f>_xlfn.CONCAT(A32,",",D32)</f>
        <v>IE 351,ED3-IND</v>
      </c>
      <c r="J32" s="112">
        <v>143</v>
      </c>
    </row>
    <row r="33" spans="1:10">
      <c r="A33" s="83"/>
      <c r="B33" s="83"/>
      <c r="C33" s="109"/>
      <c r="D33" s="180" t="s">
        <v>284</v>
      </c>
      <c r="E33" s="91">
        <f>SUM(E23:E32)</f>
        <v>1328</v>
      </c>
      <c r="F33" s="109"/>
      <c r="G33" s="83"/>
      <c r="H33" s="353"/>
      <c r="I33" s="83" t="str">
        <v>,Total T1-2</v>
      </c>
      <c r="J33" s="81" t="e">
        <f>#N/A</f>
        <v>#N/A</v>
      </c>
    </row>
    <row r="34" spans="1:10">
      <c r="A34" s="83"/>
      <c r="B34" s="83"/>
      <c r="C34" s="109"/>
      <c r="D34" s="83"/>
      <c r="E34" s="83"/>
      <c r="F34" s="109"/>
      <c r="G34" s="83"/>
      <c r="H34" s="353"/>
      <c r="I34" s="83" t="str">
        <v>,</v>
      </c>
      <c r="J34" s="81" t="e">
        <f>#N/A</f>
        <v>#N/A</v>
      </c>
    </row>
    <row r="35" spans="1:10">
      <c r="A35" s="83"/>
      <c r="B35" s="83"/>
      <c r="C35" s="109"/>
      <c r="D35" s="83"/>
      <c r="E35" s="83"/>
      <c r="F35" s="109"/>
      <c r="G35" s="83"/>
      <c r="H35" s="353"/>
      <c r="I35" s="83" t="str">
        <v>,</v>
      </c>
      <c r="J35" s="81" t="e">
        <f>#N/A</f>
        <v>#N/A</v>
      </c>
    </row>
    <row r="36" spans="1:10">
      <c r="A36" s="364" t="s">
        <v>1450</v>
      </c>
      <c r="B36" s="365"/>
      <c r="C36" s="365"/>
      <c r="D36" s="365"/>
      <c r="E36" s="365"/>
      <c r="F36" s="365"/>
      <c r="G36" s="366"/>
      <c r="H36" s="353"/>
      <c r="I36" s="83" t="str">
        <v>Tuesday, 7 April 2026,</v>
      </c>
      <c r="J36" s="81" t="e">
        <f>#N/A</f>
        <v>#N/A</v>
      </c>
    </row>
    <row r="37" spans="1:10">
      <c r="A37" s="364" t="s">
        <v>413</v>
      </c>
      <c r="B37" s="365"/>
      <c r="C37" s="365"/>
      <c r="D37" s="365"/>
      <c r="E37" s="365"/>
      <c r="F37" s="365"/>
      <c r="G37" s="366"/>
      <c r="H37" s="353"/>
      <c r="I37" s="83" t="str">
        <v>Session, 3 (3:00 PM - 5:00 PM),</v>
      </c>
      <c r="J37" s="81" t="e">
        <f>#N/A</f>
        <v>#N/A</v>
      </c>
    </row>
    <row r="38" spans="1:10">
      <c r="A38" s="111" t="s">
        <v>24</v>
      </c>
      <c r="B38" s="111" t="s">
        <v>25</v>
      </c>
      <c r="C38" s="178" t="s">
        <v>26</v>
      </c>
      <c r="D38" s="111" t="s">
        <v>27</v>
      </c>
      <c r="E38" s="111" t="s">
        <v>266</v>
      </c>
      <c r="F38" s="178" t="s">
        <v>28</v>
      </c>
      <c r="G38" s="111" t="s">
        <v>265</v>
      </c>
      <c r="H38" s="353"/>
      <c r="I38" s="83" t="str">
        <v>CODE ,CLASS</v>
      </c>
      <c r="J38" s="81" t="e">
        <f>#N/A</f>
        <v>#N/A</v>
      </c>
    </row>
    <row r="39" spans="1:10" s="130" customFormat="1">
      <c r="A39" s="180" t="s">
        <v>164</v>
      </c>
      <c r="B39" s="180" t="str">
        <f>IFERROR(VLOOKUP(I39:I49,Lecturers!A2:F596,6,FALSE),0)</f>
        <v>GEOTECHNICAL ENGINEERING I</v>
      </c>
      <c r="C39" s="122" t="str">
        <f>VLOOKUP(I39:I49,Lecturers!A2:G598,2,FALSE)</f>
        <v>Ayeh Felix Jojo Fianko</v>
      </c>
      <c r="D39" s="180" t="s">
        <v>19</v>
      </c>
      <c r="E39" s="112">
        <f>IFERROR(VLOOKUP(I39:I49,Lecturers!A2:F596,3,FALSE),0)</f>
        <v>35</v>
      </c>
      <c r="F39" s="134" t="s">
        <v>277</v>
      </c>
      <c r="G39" s="107">
        <f>E39*1.1</f>
        <v>38.5</v>
      </c>
      <c r="H39" s="354" t="s">
        <v>2313</v>
      </c>
      <c r="I39" s="83" t="str">
        <v>CE 477,ED4-CE</v>
      </c>
      <c r="J39" s="103"/>
    </row>
    <row r="40" spans="1:10">
      <c r="A40" s="180" t="s">
        <v>164</v>
      </c>
      <c r="B40" s="180" t="str">
        <v>GEOTECHNICAL ENGINEERING I</v>
      </c>
      <c r="C40" s="122" t="str">
        <v>Ampadu Samuel Innocent Kofi</v>
      </c>
      <c r="D40" s="180" t="s">
        <v>22</v>
      </c>
      <c r="E40" s="112">
        <v>95</v>
      </c>
      <c r="F40" s="124" t="s">
        <v>2310</v>
      </c>
      <c r="G40" s="107">
        <f>E40*1.1</f>
        <v>104.5</v>
      </c>
      <c r="H40" s="354" t="s">
        <v>2314</v>
      </c>
      <c r="I40" s="83" t="str">
        <v>CE 477,ED4-GEOL</v>
      </c>
      <c r="J40" s="81">
        <v>134</v>
      </c>
    </row>
    <row r="41" spans="1:10">
      <c r="A41" s="180" t="s">
        <v>336</v>
      </c>
      <c r="B41" s="180" t="str">
        <v>RESERVOIR ENGINEERING II</v>
      </c>
      <c r="C41" s="123" t="str">
        <v>Adenutsi Caspar Daniel</v>
      </c>
      <c r="D41" s="180" t="s">
        <v>1469</v>
      </c>
      <c r="E41" s="106">
        <v>80</v>
      </c>
      <c r="F41" s="124" t="s">
        <v>431</v>
      </c>
      <c r="G41" s="107">
        <f>E41*1.1</f>
        <v>88</v>
      </c>
      <c r="H41" s="353">
        <v>80</v>
      </c>
      <c r="I41" s="83" t="str">
        <f>_xlfn.CONCAT(A41,",",D41)</f>
        <v>PE 361,ED3-PE</v>
      </c>
      <c r="J41" s="81">
        <v>218</v>
      </c>
    </row>
    <row r="42" spans="1:10" s="136" customFormat="1">
      <c r="A42" s="181" t="s">
        <v>258</v>
      </c>
      <c r="B42" s="181" t="str">
        <v>ENGINEERING IN SOCIETY</v>
      </c>
      <c r="C42" s="132" t="str">
        <v>Kwao-Boateng Emmanuela</v>
      </c>
      <c r="D42" s="181" t="s">
        <v>40</v>
      </c>
      <c r="E42" s="108">
        <v>65</v>
      </c>
      <c r="F42" s="321" t="s">
        <v>2311</v>
      </c>
      <c r="G42" s="138">
        <f>E42*1.1</f>
        <v>71.5</v>
      </c>
      <c r="H42" s="357" t="s">
        <v>2315</v>
      </c>
      <c r="I42" s="139" t="str">
        <f>_xlfn.CONCAT(A42,",",D42)</f>
        <v>CENG 291,ED2-PCE</v>
      </c>
      <c r="J42" s="81"/>
    </row>
    <row r="43" spans="1:10" s="136" customFormat="1">
      <c r="A43" s="181" t="s">
        <v>258</v>
      </c>
      <c r="B43" s="181" t="str">
        <v>ENGINEERING IN SOCIETY</v>
      </c>
      <c r="C43" s="126" t="str">
        <v>Baah-Ennumh Emmanuel Kwaku</v>
      </c>
      <c r="D43" s="181" t="s">
        <v>39</v>
      </c>
      <c r="E43" s="108">
        <v>157</v>
      </c>
      <c r="F43" s="132" t="s">
        <v>2299</v>
      </c>
      <c r="G43" s="138">
        <f>E43*1.1</f>
        <v>172.7</v>
      </c>
      <c r="H43" s="357" t="s">
        <v>2316</v>
      </c>
      <c r="I43" s="139" t="str">
        <f>_xlfn.CONCAT(A43,",",D43)</f>
        <v>CENG 291,ED2-CHE</v>
      </c>
      <c r="J43" s="81">
        <v>102</v>
      </c>
    </row>
    <row r="44" spans="1:10">
      <c r="A44" s="180" t="s">
        <v>155</v>
      </c>
      <c r="B44" s="180" t="str">
        <v>ENVIRONMENTAL STUDIES</v>
      </c>
      <c r="C44" s="123" t="str">
        <v>Buamah Richard Akwasi</v>
      </c>
      <c r="D44" s="180" t="s">
        <v>31</v>
      </c>
      <c r="E44" s="112">
        <v>130</v>
      </c>
      <c r="F44" s="124" t="s">
        <v>1973</v>
      </c>
      <c r="G44" s="107">
        <f>E44*1.1</f>
        <v>143</v>
      </c>
      <c r="H44" s="354" t="s">
        <v>2317</v>
      </c>
      <c r="I44" s="83" t="str">
        <v>CE 155,ED1-TEL</v>
      </c>
      <c r="J44" s="81">
        <v>154</v>
      </c>
    </row>
    <row r="45" spans="1:10">
      <c r="A45" s="180" t="s">
        <v>155</v>
      </c>
      <c r="B45" s="180" t="str">
        <v>ENVIRONMENTAL STUDIES</v>
      </c>
      <c r="C45" s="123" t="str">
        <v>Appiah-Brempong Miriam</v>
      </c>
      <c r="D45" s="180" t="s">
        <v>1</v>
      </c>
      <c r="E45" s="112">
        <v>70</v>
      </c>
      <c r="F45" s="123" t="s">
        <v>414</v>
      </c>
      <c r="G45" s="107">
        <f>E45*1.1</f>
        <v>77</v>
      </c>
      <c r="H45" s="354">
        <v>70</v>
      </c>
      <c r="I45" s="83" t="str">
        <v>CE 155,ED1-AERO</v>
      </c>
      <c r="J45" s="81">
        <v>72</v>
      </c>
    </row>
    <row r="46" spans="1:10">
      <c r="A46" s="180" t="s">
        <v>155</v>
      </c>
      <c r="B46" s="180" t="str">
        <v>ENVIRONMENTAL STUDIES</v>
      </c>
      <c r="C46" s="123" t="str">
        <v>Essandoh Helen Michelle Korkor</v>
      </c>
      <c r="D46" s="180" t="s">
        <v>32</v>
      </c>
      <c r="E46" s="112">
        <v>262</v>
      </c>
      <c r="F46" s="123" t="s">
        <v>2312</v>
      </c>
      <c r="G46" s="107">
        <f>E46*1.1</f>
        <v>288.2</v>
      </c>
      <c r="H46" s="354" t="s">
        <v>2318</v>
      </c>
      <c r="I46" s="83" t="str">
        <v>CE 155,ED1-COE</v>
      </c>
      <c r="J46" s="81">
        <v>185</v>
      </c>
    </row>
    <row r="47" spans="1:10">
      <c r="A47" s="180" t="s">
        <v>155</v>
      </c>
      <c r="B47" s="180" t="str">
        <v>ENVIRONMENTAL STUDIES</v>
      </c>
      <c r="C47" s="123" t="str">
        <v>Appiah-Brempong Miriam</v>
      </c>
      <c r="D47" s="180" t="s">
        <v>3</v>
      </c>
      <c r="E47" s="112">
        <v>83</v>
      </c>
      <c r="F47" s="123" t="s">
        <v>1958</v>
      </c>
      <c r="G47" s="107">
        <f>E47*1.1</f>
        <v>91.3</v>
      </c>
      <c r="H47" s="354" t="s">
        <v>2319</v>
      </c>
      <c r="I47" s="83" t="str">
        <v>CE 155,ED1-IND</v>
      </c>
      <c r="J47" s="81">
        <v>69</v>
      </c>
    </row>
    <row r="48" spans="1:10">
      <c r="A48" s="180" t="s">
        <v>155</v>
      </c>
      <c r="B48" s="180" t="str">
        <v>ENVIRONMENTAL STUDIES</v>
      </c>
      <c r="C48" s="123" t="str">
        <v>Awuah Esi</v>
      </c>
      <c r="D48" s="180" t="s">
        <v>9</v>
      </c>
      <c r="E48" s="112">
        <v>226</v>
      </c>
      <c r="F48" s="123" t="s">
        <v>2298</v>
      </c>
      <c r="G48" s="107">
        <f>E48*1.1</f>
        <v>248.6</v>
      </c>
      <c r="H48" s="354" t="s">
        <v>2137</v>
      </c>
      <c r="I48" s="83" t="str">
        <v>CE 155,ED1-ME</v>
      </c>
      <c r="J48" s="81">
        <v>166</v>
      </c>
    </row>
    <row r="49" spans="1:10">
      <c r="A49" s="180" t="s">
        <v>155</v>
      </c>
      <c r="B49" s="180" t="str">
        <v>ENVIRONMENTAL STUDIES</v>
      </c>
      <c r="C49" s="123" t="str">
        <v>Buamah Richard Akwasi</v>
      </c>
      <c r="D49" s="180" t="s">
        <v>37</v>
      </c>
      <c r="E49" s="112">
        <v>130</v>
      </c>
      <c r="F49" s="123" t="s">
        <v>2310</v>
      </c>
      <c r="G49" s="107">
        <f>E49*1.1</f>
        <v>143</v>
      </c>
      <c r="H49" s="354" t="s">
        <v>1991</v>
      </c>
      <c r="I49" s="83" t="str">
        <v>CE 155,ED1-AE</v>
      </c>
      <c r="J49" s="81">
        <v>124</v>
      </c>
    </row>
    <row r="50" spans="1:10">
      <c r="A50" s="83"/>
      <c r="B50" s="83"/>
      <c r="C50" s="109"/>
      <c r="D50" s="180" t="s">
        <v>285</v>
      </c>
      <c r="E50" s="91">
        <f>SUM(E39:E49)</f>
        <v>1333</v>
      </c>
      <c r="F50" s="109"/>
      <c r="G50" s="83"/>
      <c r="H50" s="353"/>
      <c r="I50" s="83" t="str">
        <v>,Total T1-3</v>
      </c>
      <c r="J50" s="81" t="e">
        <f>#N/A</f>
        <v>#N/A</v>
      </c>
    </row>
    <row r="51" spans="1:10">
      <c r="A51" s="83"/>
      <c r="B51" s="83"/>
      <c r="C51" s="109"/>
      <c r="D51" s="185"/>
      <c r="E51" s="83"/>
      <c r="F51" s="109"/>
      <c r="G51" s="83"/>
      <c r="H51" s="353"/>
      <c r="I51" s="83" t="str">
        <v>,</v>
      </c>
      <c r="J51" s="81" t="e">
        <f>#N/A</f>
        <v>#N/A</v>
      </c>
    </row>
    <row r="52" spans="1:10">
      <c r="A52" s="83"/>
      <c r="B52" s="83"/>
      <c r="C52" s="109"/>
      <c r="D52" s="83"/>
      <c r="E52" s="83"/>
      <c r="F52" s="109"/>
      <c r="G52" s="83"/>
      <c r="H52" s="353"/>
      <c r="I52" s="83" t="str">
        <v>,</v>
      </c>
      <c r="J52" s="81" t="e">
        <f>#N/A</f>
        <v>#N/A</v>
      </c>
    </row>
    <row r="53" spans="1:10">
      <c r="A53" s="83"/>
      <c r="B53" s="83"/>
      <c r="C53" s="109"/>
      <c r="D53" s="83"/>
      <c r="E53" s="83"/>
      <c r="F53" s="109"/>
      <c r="G53" s="83"/>
      <c r="H53" s="353"/>
      <c r="I53" s="83" t="str">
        <v>,</v>
      </c>
      <c r="J53" s="81" t="e">
        <f>#N/A</f>
        <v>#N/A</v>
      </c>
    </row>
    <row r="54" spans="1:10">
      <c r="A54" s="364" t="s">
        <v>1451</v>
      </c>
      <c r="B54" s="365"/>
      <c r="C54" s="365"/>
      <c r="D54" s="365"/>
      <c r="E54" s="365"/>
      <c r="F54" s="365"/>
      <c r="G54" s="366"/>
      <c r="H54" s="353"/>
      <c r="I54" s="83" t="str">
        <v>Wednesday, 8 April 2026,</v>
      </c>
      <c r="J54" s="81" t="e">
        <f>#N/A</f>
        <v>#N/A</v>
      </c>
    </row>
    <row r="55" spans="1:10">
      <c r="A55" s="364" t="s">
        <v>411</v>
      </c>
      <c r="B55" s="365"/>
      <c r="C55" s="365"/>
      <c r="D55" s="365"/>
      <c r="E55" s="365"/>
      <c r="F55" s="365"/>
      <c r="G55" s="366"/>
      <c r="H55" s="353"/>
      <c r="I55" s="83" t="str">
        <v>Session, 1 (8:30 AM - 10:30 AM),</v>
      </c>
      <c r="J55" s="81" t="e">
        <f>#N/A</f>
        <v>#N/A</v>
      </c>
    </row>
    <row r="56" spans="1:10">
      <c r="A56" s="111" t="s">
        <v>24</v>
      </c>
      <c r="B56" s="111" t="s">
        <v>25</v>
      </c>
      <c r="C56" s="178" t="s">
        <v>26</v>
      </c>
      <c r="D56" s="111" t="s">
        <v>27</v>
      </c>
      <c r="E56" s="111" t="s">
        <v>266</v>
      </c>
      <c r="F56" s="178" t="s">
        <v>28</v>
      </c>
      <c r="G56" s="111" t="s">
        <v>265</v>
      </c>
      <c r="H56" s="353"/>
      <c r="I56" s="83" t="str">
        <v>CODE ,CLASS</v>
      </c>
      <c r="J56" s="81" t="e">
        <f>#N/A</f>
        <v>#N/A</v>
      </c>
    </row>
    <row r="57" spans="1:10">
      <c r="A57" s="180" t="s">
        <v>83</v>
      </c>
      <c r="B57" s="180" t="str">
        <f>IFERROR(VLOOKUP(I57:I67,Lecturers!A2:F596,6,FALSE),0)</f>
        <v>LITERATURE IN ENGLISH I</v>
      </c>
      <c r="C57" s="122" t="str">
        <f>VLOOKUP(I57:I67,Lecturers!A2:G598,2,FALSE)</f>
        <v>Yeboah Philomena Ama Okyeso</v>
      </c>
      <c r="D57" s="180" t="s">
        <v>80</v>
      </c>
      <c r="E57" s="112">
        <f>IFERROR(VLOOKUP(I57:I67,Lecturers!A2:F596,3,FALSE),0)</f>
        <v>75</v>
      </c>
      <c r="F57" s="186" t="s">
        <v>2320</v>
      </c>
      <c r="G57" s="107">
        <f>E57*1.1</f>
        <v>82.5</v>
      </c>
      <c r="H57" s="353" t="s">
        <v>2325</v>
      </c>
      <c r="I57" s="83" t="str">
        <v>ENGL 263,ED2-AERO</v>
      </c>
      <c r="J57" s="81">
        <v>178</v>
      </c>
    </row>
    <row r="58" spans="1:10">
      <c r="A58" s="180" t="s">
        <v>83</v>
      </c>
      <c r="B58" s="180" t="str">
        <v>LITERATURE IN ENGLISH I</v>
      </c>
      <c r="C58" s="122" t="str">
        <v>Yeboah Philomena Ama Okyeso</v>
      </c>
      <c r="D58" s="180" t="s">
        <v>43</v>
      </c>
      <c r="E58" s="106">
        <v>155</v>
      </c>
      <c r="F58" s="124" t="s">
        <v>2299</v>
      </c>
      <c r="G58" s="107">
        <f>E58*1.1</f>
        <v>170.5</v>
      </c>
      <c r="H58" s="353" t="s">
        <v>2326</v>
      </c>
      <c r="I58" s="83" t="str">
        <f>_xlfn.CONCAT(A58,",",D58)</f>
        <v>ENGL 263,ED2-AE</v>
      </c>
      <c r="J58" s="81">
        <v>130</v>
      </c>
    </row>
    <row r="59" spans="1:10">
      <c r="A59" s="180" t="s">
        <v>83</v>
      </c>
      <c r="B59" s="180" t="str">
        <v>LITERATURE IN ENGLISH I</v>
      </c>
      <c r="C59" s="122" t="str">
        <v>Yeboah Philomena Ama Okyeso</v>
      </c>
      <c r="D59" s="180" t="s">
        <v>102</v>
      </c>
      <c r="E59" s="106">
        <v>80</v>
      </c>
      <c r="F59" s="124" t="s">
        <v>1958</v>
      </c>
      <c r="G59" s="107">
        <f>E59*1.1</f>
        <v>88</v>
      </c>
      <c r="H59" s="353" t="s">
        <v>2019</v>
      </c>
      <c r="I59" s="83" t="str">
        <v>ENGL 263,ED2-IND</v>
      </c>
      <c r="J59" s="81"/>
    </row>
    <row r="60" spans="1:10">
      <c r="A60" s="180" t="s">
        <v>83</v>
      </c>
      <c r="B60" s="180" t="str">
        <v>LITERATURE IN ENGLISH I</v>
      </c>
      <c r="C60" s="122" t="str">
        <v>Yeboah Philomena Ama Okyeso</v>
      </c>
      <c r="D60" s="180" t="s">
        <v>85</v>
      </c>
      <c r="E60" s="106">
        <v>134</v>
      </c>
      <c r="F60" s="124" t="s">
        <v>2321</v>
      </c>
      <c r="G60" s="107">
        <f>E60*1.1</f>
        <v>147.4</v>
      </c>
      <c r="H60" s="353" t="s">
        <v>2327</v>
      </c>
      <c r="I60" s="83" t="str">
        <v>ENGL 263,ED2-GEOM</v>
      </c>
      <c r="J60" s="81">
        <v>112</v>
      </c>
    </row>
    <row r="61" spans="1:10" s="136" customFormat="1">
      <c r="A61" s="181" t="s">
        <v>196</v>
      </c>
      <c r="B61" s="181" t="str">
        <v>MACHINE DESIGN I</v>
      </c>
      <c r="C61" s="338" t="str">
        <v>Aveyire Joseph</v>
      </c>
      <c r="D61" s="181" t="s">
        <v>50</v>
      </c>
      <c r="E61" s="108">
        <v>100</v>
      </c>
      <c r="F61" s="321" t="s">
        <v>2322</v>
      </c>
      <c r="G61" s="138">
        <f>E61*1.1</f>
        <v>110</v>
      </c>
      <c r="H61" s="355" t="s">
        <v>2328</v>
      </c>
      <c r="I61" s="139" t="str">
        <v>AE 373,ED3-AE</v>
      </c>
      <c r="J61" s="81"/>
    </row>
    <row r="62" spans="1:10">
      <c r="A62" s="180" t="s">
        <v>1523</v>
      </c>
      <c r="B62" s="180" t="str">
        <v>MECHANICAL ENGINEERING LAB. III</v>
      </c>
      <c r="C62" s="123" t="str">
        <v>Boahen Samuel</v>
      </c>
      <c r="D62" s="180" t="s">
        <v>49</v>
      </c>
      <c r="E62" s="106">
        <v>225</v>
      </c>
      <c r="F62" s="176" t="s">
        <v>2298</v>
      </c>
      <c r="G62" s="107">
        <f>E62*1.1</f>
        <v>247.5</v>
      </c>
      <c r="H62" s="353" t="s">
        <v>2329</v>
      </c>
      <c r="I62" s="104" t="str">
        <v>ME 395,ED3-ME</v>
      </c>
      <c r="J62" s="81">
        <v>255</v>
      </c>
    </row>
    <row r="63" spans="1:10">
      <c r="A63" s="180" t="s">
        <v>306</v>
      </c>
      <c r="B63" s="180" t="str">
        <v>INTRODUCTION TO INFORMATION TECHNOLOGY</v>
      </c>
      <c r="C63" s="123" t="str">
        <v>Sokama-Neuyam Yen Adams</v>
      </c>
      <c r="D63" s="180" t="s">
        <v>1467</v>
      </c>
      <c r="E63" s="112">
        <v>130</v>
      </c>
      <c r="F63" s="127" t="s">
        <v>2310</v>
      </c>
      <c r="G63" s="107">
        <f>E63*1.1</f>
        <v>143</v>
      </c>
      <c r="H63" s="353" t="s">
        <v>1991</v>
      </c>
      <c r="I63" s="83" t="str">
        <f>_xlfn.CONCAT(A63,",",D63)</f>
        <v>PE 155,ED1-PE</v>
      </c>
      <c r="J63" s="81">
        <v>107</v>
      </c>
    </row>
    <row r="64" spans="1:10" s="136" customFormat="1">
      <c r="A64" s="181" t="s">
        <v>1475</v>
      </c>
      <c r="B64" s="181" t="str">
        <v>FUNDAMENTALS OF NETWORK SECURITY</v>
      </c>
      <c r="C64" s="132" t="str">
        <v>Agyemang Justice Owusu</v>
      </c>
      <c r="D64" s="181" t="s">
        <v>117</v>
      </c>
      <c r="E64" s="108">
        <v>140</v>
      </c>
      <c r="F64" s="132" t="s">
        <v>414</v>
      </c>
      <c r="G64" s="138">
        <f>E64*1.1</f>
        <v>154</v>
      </c>
      <c r="H64" s="355">
        <v>140</v>
      </c>
      <c r="I64" s="318" t="str">
        <f>_xlfn.CONCAT(A64,",",D64)</f>
        <v>TE 451,ED4-TEL</v>
      </c>
      <c r="J64" s="81">
        <v>85</v>
      </c>
    </row>
    <row r="65" spans="1:10" s="105" customFormat="1">
      <c r="A65" s="180" t="s">
        <v>433</v>
      </c>
      <c r="B65" s="180" t="str">
        <v>INTRODUCTION TO PROGRAMMING II</v>
      </c>
      <c r="C65" s="123" t="str">
        <v>Agyemang Justice Owusu</v>
      </c>
      <c r="D65" s="180" t="s">
        <v>99</v>
      </c>
      <c r="E65" s="106">
        <v>175</v>
      </c>
      <c r="F65" s="176" t="s">
        <v>2045</v>
      </c>
      <c r="G65" s="107">
        <f>E65*1.1</f>
        <v>192.5</v>
      </c>
      <c r="H65" s="353" t="s">
        <v>2330</v>
      </c>
      <c r="I65" s="105" t="str">
        <f>CONCATENATE(A65,",",D65)</f>
        <v>TE 255,ED2-TEL</v>
      </c>
      <c r="J65" s="102"/>
    </row>
    <row r="66" spans="1:10">
      <c r="A66" s="180" t="s">
        <v>232</v>
      </c>
      <c r="B66" s="180" t="str">
        <v>POLYMER PROCESSING</v>
      </c>
      <c r="C66" s="122" t="str">
        <v>Asare Eric Kwame Anokye</v>
      </c>
      <c r="D66" s="180" t="s">
        <v>111</v>
      </c>
      <c r="E66" s="106">
        <v>89</v>
      </c>
      <c r="F66" s="123" t="s">
        <v>2323</v>
      </c>
      <c r="G66" s="107">
        <f>E66*1.1</f>
        <v>97.9</v>
      </c>
      <c r="H66" s="353" t="s">
        <v>2331</v>
      </c>
      <c r="I66" s="83" t="str">
        <f>_xlfn.CONCAT(A66,",",D66)</f>
        <v>MSE 355,ED3-MSE</v>
      </c>
      <c r="J66" s="81">
        <v>82</v>
      </c>
    </row>
    <row r="67" spans="1:10">
      <c r="A67" s="187" t="s">
        <v>88</v>
      </c>
      <c r="B67" s="180" t="str">
        <v>BIOMECHANICS I</v>
      </c>
      <c r="C67" s="123" t="str">
        <v>Odame Prince</v>
      </c>
      <c r="D67" s="180" t="s">
        <v>75</v>
      </c>
      <c r="E67" s="112">
        <v>87</v>
      </c>
      <c r="F67" s="122" t="s">
        <v>2324</v>
      </c>
      <c r="G67" s="107">
        <f>E67*1.1</f>
        <v>95.7</v>
      </c>
      <c r="H67" s="353" t="s">
        <v>2332</v>
      </c>
      <c r="I67" s="83" t="str">
        <v>BME 461,ED4-BME</v>
      </c>
      <c r="J67" s="81"/>
    </row>
    <row r="68" spans="1:10">
      <c r="A68" s="83"/>
      <c r="B68" s="83"/>
      <c r="C68" s="109"/>
      <c r="D68" s="180" t="s">
        <v>396</v>
      </c>
      <c r="E68" s="91">
        <f>SUM(E58:E67)</f>
        <v>1315</v>
      </c>
      <c r="F68" s="109"/>
      <c r="G68" s="83"/>
      <c r="H68" s="353"/>
      <c r="I68" s="83" t="str">
        <f>_xlfn.CONCAT(A68,",",D68)</f>
        <v>,Total W1-1</v>
      </c>
      <c r="J68" s="81" t="e">
        <f>#N/A</f>
        <v>#N/A</v>
      </c>
    </row>
    <row r="69" spans="1:10">
      <c r="A69" s="83"/>
      <c r="B69" s="83"/>
      <c r="C69" s="109"/>
      <c r="D69" s="83"/>
      <c r="E69" s="83"/>
      <c r="F69" s="109"/>
      <c r="G69" s="83"/>
      <c r="H69" s="353"/>
      <c r="I69" s="83" t="str">
        <f>_xlfn.CONCAT(A69,",",D69)</f>
        <v>,</v>
      </c>
      <c r="J69" s="81" t="e">
        <f>#N/A</f>
        <v>#N/A</v>
      </c>
    </row>
    <row r="70" spans="1:10">
      <c r="A70" s="83"/>
      <c r="B70" s="83"/>
      <c r="C70" s="109"/>
      <c r="D70" s="83"/>
      <c r="E70" s="83"/>
      <c r="F70" s="109"/>
      <c r="G70" s="83"/>
      <c r="H70" s="353"/>
      <c r="I70" s="83" t="str">
        <v>,</v>
      </c>
      <c r="J70" s="81" t="e">
        <f>#N/A</f>
        <v>#N/A</v>
      </c>
    </row>
    <row r="71" spans="1:10">
      <c r="A71" s="363" t="s">
        <v>1451</v>
      </c>
      <c r="B71" s="363"/>
      <c r="C71" s="363"/>
      <c r="D71" s="363"/>
      <c r="E71" s="363"/>
      <c r="F71" s="363"/>
      <c r="G71" s="363"/>
      <c r="H71" s="353"/>
      <c r="I71" s="83" t="str">
        <v>Wednesday, 8 April 2026,</v>
      </c>
      <c r="J71" s="81" t="e">
        <f>#N/A</f>
        <v>#N/A</v>
      </c>
    </row>
    <row r="72" spans="1:10">
      <c r="A72" s="364" t="s">
        <v>412</v>
      </c>
      <c r="B72" s="365"/>
      <c r="C72" s="365"/>
      <c r="D72" s="365"/>
      <c r="E72" s="365"/>
      <c r="F72" s="365"/>
      <c r="G72" s="366"/>
      <c r="H72" s="353"/>
      <c r="I72" s="83" t="str">
        <v>Session, 2 (12:00 PM - 2:00 PM),</v>
      </c>
      <c r="J72" s="81" t="e">
        <f>#N/A</f>
        <v>#N/A</v>
      </c>
    </row>
    <row r="73" spans="1:10">
      <c r="A73" s="111" t="s">
        <v>24</v>
      </c>
      <c r="B73" s="111" t="s">
        <v>25</v>
      </c>
      <c r="C73" s="178" t="s">
        <v>26</v>
      </c>
      <c r="D73" s="111" t="s">
        <v>27</v>
      </c>
      <c r="E73" s="111" t="s">
        <v>266</v>
      </c>
      <c r="F73" s="178" t="s">
        <v>28</v>
      </c>
      <c r="G73" s="111" t="s">
        <v>265</v>
      </c>
      <c r="H73" s="353"/>
      <c r="I73" s="83" t="str">
        <v>CODE ,CLASS</v>
      </c>
      <c r="J73" s="81" t="e">
        <f>#N/A</f>
        <v>#N/A</v>
      </c>
    </row>
    <row r="74" spans="1:10">
      <c r="A74" s="180" t="s">
        <v>152</v>
      </c>
      <c r="B74" s="180" t="str">
        <f>IFERROR(VLOOKUP(I74:I86,Lecturers!A2:F596,6,FALSE),0)</f>
        <v>DISTRIBUTED COMPUTING</v>
      </c>
      <c r="C74" s="123" t="str">
        <f>VLOOKUP(I74:I86,Lecturers!A2:G598,2,FALSE)</f>
        <v>Keelson Eliel</v>
      </c>
      <c r="D74" s="180" t="s">
        <v>113</v>
      </c>
      <c r="E74" s="106">
        <f>IFERROR(VLOOKUP(I74:I86,Lecturers!A2:F596,3,FALSE),0)</f>
        <v>140</v>
      </c>
      <c r="F74" s="436" t="s">
        <v>2045</v>
      </c>
      <c r="G74" s="107">
        <f>E74*1.1</f>
        <v>154</v>
      </c>
      <c r="H74" s="353" t="s">
        <v>2334</v>
      </c>
      <c r="I74" s="83" t="str">
        <f>_xlfn.CONCAT(A74,",",D74)</f>
        <v>COE 453,ED4-COE</v>
      </c>
      <c r="J74" s="81">
        <v>136</v>
      </c>
    </row>
    <row r="75" spans="1:10">
      <c r="A75" s="180" t="s">
        <v>259</v>
      </c>
      <c r="B75" s="180" t="str">
        <v>CHEMICAL ENGINEERING LABORATORY I</v>
      </c>
      <c r="C75" s="123" t="str">
        <v>Mensah Mary</v>
      </c>
      <c r="D75" s="180" t="s">
        <v>106</v>
      </c>
      <c r="E75" s="106">
        <v>100</v>
      </c>
      <c r="F75" s="124" t="s">
        <v>2333</v>
      </c>
      <c r="G75" s="107">
        <f>E75*1.1</f>
        <v>110</v>
      </c>
      <c r="H75" s="353" t="s">
        <v>2335</v>
      </c>
      <c r="I75" s="104" t="str">
        <f>_xlfn.CONCAT(A75,",",D75)</f>
        <v>CHE 353,ED3-CHE</v>
      </c>
      <c r="J75" s="81">
        <v>65</v>
      </c>
    </row>
    <row r="76" spans="1:10">
      <c r="A76" s="180" t="s">
        <v>260</v>
      </c>
      <c r="B76" s="180" t="str">
        <v>PETROCHEMICAL ENGINEERING LABORATORY I</v>
      </c>
      <c r="C76" s="123" t="str">
        <v>Mensah Mary</v>
      </c>
      <c r="D76" s="180" t="s">
        <v>46</v>
      </c>
      <c r="E76" s="106">
        <v>51</v>
      </c>
      <c r="F76" s="124" t="s">
        <v>2078</v>
      </c>
      <c r="G76" s="107">
        <f>E76*1.1</f>
        <v>56.1</v>
      </c>
      <c r="H76" s="353" t="s">
        <v>2294</v>
      </c>
      <c r="I76" s="104" t="str">
        <v>PCE 353,ED3-PCE</v>
      </c>
      <c r="J76" s="81" t="e">
        <f>#N/A</f>
        <v>#N/A</v>
      </c>
    </row>
    <row r="77" spans="1:10" s="105" customFormat="1">
      <c r="A77" s="180" t="s">
        <v>458</v>
      </c>
      <c r="B77" s="180" t="str">
        <v>OPTICAL COMMUNICATION</v>
      </c>
      <c r="C77" s="176" t="str">
        <v>Gadze James Dzisi</v>
      </c>
      <c r="D77" s="180" t="s">
        <v>54</v>
      </c>
      <c r="E77" s="106">
        <v>140</v>
      </c>
      <c r="F77" s="123" t="s">
        <v>2087</v>
      </c>
      <c r="G77" s="107">
        <f>E77*1.1</f>
        <v>154</v>
      </c>
      <c r="H77" s="353" t="s">
        <v>2336</v>
      </c>
      <c r="I77" s="105" t="str">
        <f>CONCATENATE(A77,",",D77)</f>
        <v>TE 357,ED3-TEL</v>
      </c>
      <c r="J77" s="102"/>
    </row>
    <row r="78" spans="1:10">
      <c r="A78" s="180" t="s">
        <v>300</v>
      </c>
      <c r="B78" s="180" t="str">
        <v>BASIC GEOLOGY</v>
      </c>
      <c r="C78" s="122" t="str">
        <v>Quaye Jonathan Atuquaye</v>
      </c>
      <c r="D78" s="180" t="s">
        <v>1468</v>
      </c>
      <c r="E78" s="106">
        <v>95</v>
      </c>
      <c r="F78" s="124" t="s">
        <v>2310</v>
      </c>
      <c r="G78" s="107">
        <f>E78*1.1</f>
        <v>104.5</v>
      </c>
      <c r="H78" s="353" t="s">
        <v>2314</v>
      </c>
      <c r="I78" s="83" t="str">
        <f>_xlfn.CONCAT(A78,",",D78)</f>
        <v>PE 253,ED2-PE</v>
      </c>
      <c r="J78" s="81">
        <v>184</v>
      </c>
    </row>
    <row r="79" spans="1:10">
      <c r="A79" s="180" t="s">
        <v>14</v>
      </c>
      <c r="B79" s="180" t="str">
        <v>COMPUTER AIDED DESIGN AND MANUFACTURING</v>
      </c>
      <c r="C79" s="123" t="str">
        <v>Afriyie Nyarko Frank Kwabena</v>
      </c>
      <c r="D79" s="180" t="s">
        <v>15</v>
      </c>
      <c r="E79" s="112">
        <v>35</v>
      </c>
      <c r="F79" s="122" t="s">
        <v>277</v>
      </c>
      <c r="G79" s="107">
        <f>E79*1.1</f>
        <v>38.5</v>
      </c>
      <c r="H79" s="353" t="s">
        <v>2313</v>
      </c>
      <c r="I79" s="83" t="str">
        <v>ME 473,ED4-ME</v>
      </c>
      <c r="J79" s="81">
        <v>87</v>
      </c>
    </row>
    <row r="80" spans="1:10">
      <c r="A80" s="180" t="s">
        <v>14</v>
      </c>
      <c r="B80" s="180" t="str">
        <v>COMPUTER AIDED DESIGN AND MANUFACTURING</v>
      </c>
      <c r="C80" s="123" t="str">
        <v>Afriyie Nyarko Frank Kwabena</v>
      </c>
      <c r="D80" s="180" t="s">
        <v>17</v>
      </c>
      <c r="E80" s="112">
        <v>7</v>
      </c>
      <c r="F80" s="122" t="s">
        <v>44</v>
      </c>
      <c r="G80" s="107">
        <f>E80*1.1</f>
        <v>7.7</v>
      </c>
      <c r="H80" s="353" t="s">
        <v>2337</v>
      </c>
      <c r="I80" s="83" t="str">
        <v>ME 473,ED4-AERO</v>
      </c>
      <c r="J80" s="81">
        <v>87</v>
      </c>
    </row>
    <row r="81" spans="1:10" s="136" customFormat="1">
      <c r="A81" s="181" t="s">
        <v>347</v>
      </c>
      <c r="B81" s="181" t="str">
        <v>ADVANCED MANUFACTURING TECHNOLOGY II</v>
      </c>
      <c r="C81" s="132" t="str">
        <v>Takyi Gabriel</v>
      </c>
      <c r="D81" s="181" t="s">
        <v>115</v>
      </c>
      <c r="E81" s="108">
        <v>67</v>
      </c>
      <c r="F81" s="129" t="s">
        <v>1958</v>
      </c>
      <c r="G81" s="138">
        <f>E81*1.1</f>
        <v>73.7</v>
      </c>
      <c r="H81" s="355" t="s">
        <v>2338</v>
      </c>
      <c r="I81" s="318" t="str">
        <f>_xlfn.CONCAT(A81,",",D81)</f>
        <v>IE 457,ED4-IND</v>
      </c>
      <c r="J81" s="81">
        <v>33</v>
      </c>
    </row>
    <row r="82" spans="1:10">
      <c r="A82" s="180" t="s">
        <v>178</v>
      </c>
      <c r="B82" s="180" t="str">
        <v>LINEAR ELECTRONIC CIRCUITS</v>
      </c>
      <c r="C82" s="122" t="str">
        <v>Sekyere Yaw Opoku Mensah</v>
      </c>
      <c r="D82" s="180" t="s">
        <v>53</v>
      </c>
      <c r="E82" s="106">
        <v>240</v>
      </c>
      <c r="F82" s="124" t="s">
        <v>2298</v>
      </c>
      <c r="G82" s="107">
        <f>E82*1.1</f>
        <v>264</v>
      </c>
      <c r="H82" s="353" t="s">
        <v>2070</v>
      </c>
      <c r="I82" s="104" t="str">
        <v>EE 371,ED3-EE</v>
      </c>
      <c r="J82" s="81">
        <v>183</v>
      </c>
    </row>
    <row r="83" spans="1:10">
      <c r="A83" s="180" t="s">
        <v>126</v>
      </c>
      <c r="B83" s="180" t="str">
        <v>INTRODUCTION TO PETROCHEMICAL INDUSTRIES</v>
      </c>
      <c r="C83" s="122" t="str">
        <v>Baidoo Martina Francisca</v>
      </c>
      <c r="D83" s="180" t="s">
        <v>40</v>
      </c>
      <c r="E83" s="112">
        <v>65</v>
      </c>
      <c r="F83" s="123" t="s">
        <v>431</v>
      </c>
      <c r="G83" s="107">
        <f>E83*1.1</f>
        <v>71.5</v>
      </c>
      <c r="H83" s="353">
        <v>65</v>
      </c>
      <c r="I83" s="83" t="str">
        <v>PCE 253,ED2-PCE</v>
      </c>
      <c r="J83" s="81">
        <v>128</v>
      </c>
    </row>
    <row r="84" spans="1:10" s="112" customFormat="1">
      <c r="A84" s="112" t="s">
        <v>326</v>
      </c>
      <c r="B84" s="112" t="str">
        <v>ENGINEERING THERMODYNAMICS</v>
      </c>
      <c r="C84" s="176" t="str">
        <v>Amoabeng Kofi Owura</v>
      </c>
      <c r="D84" s="112" t="s">
        <v>109</v>
      </c>
      <c r="E84" s="112">
        <v>40</v>
      </c>
      <c r="F84" s="175" t="s">
        <v>331</v>
      </c>
      <c r="G84" s="113">
        <f>E84*1.1</f>
        <v>44</v>
      </c>
      <c r="H84" s="354" t="s">
        <v>2001</v>
      </c>
      <c r="I84" s="112" t="str">
        <v>MME 365,ED3-MARI</v>
      </c>
      <c r="J84" s="112">
        <v>66</v>
      </c>
    </row>
    <row r="85" spans="1:10" s="105" customFormat="1">
      <c r="A85" s="180" t="s">
        <v>456</v>
      </c>
      <c r="B85" s="180" t="str">
        <v>GENERAL CHEMISTRY</v>
      </c>
      <c r="C85" s="123" t="str">
        <v>Sarpong Lilian</v>
      </c>
      <c r="D85" s="180" t="s">
        <v>33</v>
      </c>
      <c r="E85" s="106">
        <v>136</v>
      </c>
      <c r="F85" s="176" t="s">
        <v>2299</v>
      </c>
      <c r="G85" s="107">
        <f>E85*1.1</f>
        <v>149.6</v>
      </c>
      <c r="H85" s="353" t="s">
        <v>2339</v>
      </c>
      <c r="I85" s="105" t="str">
        <f>CONCATENATE(A85,",",D85)</f>
        <v>CHEM 151,ED1-BME</v>
      </c>
      <c r="J85" s="102"/>
    </row>
    <row r="86" spans="1:10">
      <c r="A86" s="180" t="s">
        <v>262</v>
      </c>
      <c r="B86" s="180" t="str">
        <v>MECHANICAL ENGINEERING LAB. I</v>
      </c>
      <c r="C86" s="123" t="str">
        <v>Quansah David Ato</v>
      </c>
      <c r="D86" s="180" t="s">
        <v>82</v>
      </c>
      <c r="E86" s="106">
        <v>242</v>
      </c>
      <c r="F86" s="124" t="s">
        <v>2300</v>
      </c>
      <c r="G86" s="107">
        <f>E86*1.1</f>
        <v>266.2</v>
      </c>
      <c r="H86" s="353" t="s">
        <v>2081</v>
      </c>
      <c r="I86" s="83" t="str">
        <v>ME 295,ED2-ME</v>
      </c>
      <c r="J86" s="81" t="e">
        <f>#N/A</f>
        <v>#N/A</v>
      </c>
    </row>
    <row r="87" spans="1:10">
      <c r="A87" s="83"/>
      <c r="B87" s="83"/>
      <c r="C87" s="109"/>
      <c r="D87" s="180" t="s">
        <v>397</v>
      </c>
      <c r="E87" s="110">
        <f>SUM(E74:E86)</f>
        <v>1358</v>
      </c>
      <c r="F87" s="109"/>
      <c r="G87" s="83"/>
      <c r="H87" s="353"/>
      <c r="I87" s="83" t="str">
        <v>,Total W1-2</v>
      </c>
      <c r="J87" s="81" t="e">
        <f>#N/A</f>
        <v>#N/A</v>
      </c>
    </row>
    <row r="88" spans="1:10">
      <c r="A88" s="83"/>
      <c r="B88" s="83"/>
      <c r="C88" s="109" t="s">
        <v>617</v>
      </c>
      <c r="D88" s="185"/>
      <c r="E88" s="83"/>
      <c r="F88" s="109"/>
      <c r="G88" s="83"/>
      <c r="H88" s="353"/>
      <c r="I88" s="83" t="str">
        <v>,</v>
      </c>
      <c r="J88" s="81" t="e">
        <f>#N/A</f>
        <v>#N/A</v>
      </c>
    </row>
    <row r="89" spans="1:10">
      <c r="A89" s="83"/>
      <c r="B89" s="83"/>
      <c r="C89" s="109"/>
      <c r="D89" s="185"/>
      <c r="E89" s="83"/>
      <c r="F89" s="109"/>
      <c r="G89" s="83"/>
      <c r="H89" s="353"/>
      <c r="I89" s="83" t="str">
        <v>,</v>
      </c>
      <c r="J89" s="81" t="e">
        <f>#N/A</f>
        <v>#N/A</v>
      </c>
    </row>
    <row r="90" spans="1:10">
      <c r="A90" s="363" t="s">
        <v>1451</v>
      </c>
      <c r="B90" s="363"/>
      <c r="C90" s="363"/>
      <c r="D90" s="363"/>
      <c r="E90" s="363"/>
      <c r="F90" s="363"/>
      <c r="G90" s="363"/>
      <c r="H90" s="353"/>
      <c r="I90" s="83" t="str">
        <v>Wednesday, 8 April 2026,</v>
      </c>
      <c r="J90" s="81" t="e">
        <f>#N/A</f>
        <v>#N/A</v>
      </c>
    </row>
    <row r="91" spans="1:10">
      <c r="A91" s="364" t="s">
        <v>413</v>
      </c>
      <c r="B91" s="365"/>
      <c r="C91" s="365"/>
      <c r="D91" s="365"/>
      <c r="E91" s="365"/>
      <c r="F91" s="365"/>
      <c r="G91" s="366"/>
      <c r="H91" s="353"/>
      <c r="I91" s="83" t="str">
        <v>Session, 3 (3:00 PM - 5:00 PM),</v>
      </c>
      <c r="J91" s="81" t="e">
        <f>#N/A</f>
        <v>#N/A</v>
      </c>
    </row>
    <row r="92" spans="1:10">
      <c r="A92" s="111" t="s">
        <v>24</v>
      </c>
      <c r="B92" s="111" t="s">
        <v>25</v>
      </c>
      <c r="C92" s="178" t="s">
        <v>26</v>
      </c>
      <c r="D92" s="111" t="s">
        <v>27</v>
      </c>
      <c r="E92" s="111" t="s">
        <v>266</v>
      </c>
      <c r="F92" s="179" t="s">
        <v>28</v>
      </c>
      <c r="G92" s="111" t="s">
        <v>265</v>
      </c>
      <c r="H92" s="353"/>
      <c r="I92" s="83" t="str">
        <v>CODE ,CLASS</v>
      </c>
      <c r="J92" s="81" t="e">
        <f>#N/A</f>
        <v>#N/A</v>
      </c>
    </row>
    <row r="93" spans="1:10">
      <c r="A93" s="180" t="s">
        <v>59</v>
      </c>
      <c r="B93" s="180" t="str">
        <f>IFERROR(VLOOKUP(I93:I107,Lecturers!A2:F596,6,FALSE),0)</f>
        <v>IRRIGATION AND DRAINAGE ENGINEERING</v>
      </c>
      <c r="C93" s="123" t="str">
        <f>VLOOKUP(I93:I107,Lecturers!A2:G598,2,FALSE)</f>
        <v>Anornu Geophrey Kwame</v>
      </c>
      <c r="D93" s="180" t="s">
        <v>19</v>
      </c>
      <c r="E93" s="106">
        <f>IFERROR(VLOOKUP(I93:I107,Lecturers!A2:F596,3,FALSE),0)</f>
        <v>180</v>
      </c>
      <c r="F93" s="124" t="s">
        <v>2340</v>
      </c>
      <c r="G93" s="107">
        <f>E93*1.1</f>
        <v>198</v>
      </c>
      <c r="H93" s="353" t="s">
        <v>2346</v>
      </c>
      <c r="I93" s="83" t="str">
        <f>_xlfn.CONCAT(A93,",",D93)</f>
        <v>CE 471,ED4-CE</v>
      </c>
      <c r="J93" s="81">
        <v>170</v>
      </c>
    </row>
    <row r="94" spans="1:10">
      <c r="A94" s="180" t="s">
        <v>146</v>
      </c>
      <c r="B94" s="180" t="str">
        <v>CROP PROCESSING</v>
      </c>
      <c r="C94" s="122" t="str">
        <v>Darko Joseph Ofei </v>
      </c>
      <c r="D94" s="180" t="s">
        <v>41</v>
      </c>
      <c r="E94" s="106">
        <v>103</v>
      </c>
      <c r="F94" s="123" t="s">
        <v>2341</v>
      </c>
      <c r="G94" s="107">
        <f>E94*1.1</f>
        <v>113.3</v>
      </c>
      <c r="H94" s="353" t="s">
        <v>2347</v>
      </c>
      <c r="I94" s="83" t="str">
        <v>AE 457,ED4-AE</v>
      </c>
      <c r="J94" s="81">
        <v>83</v>
      </c>
    </row>
    <row ht="13.5" customHeight="1" r="95" spans="1:10">
      <c r="A95" s="180" t="s">
        <v>310</v>
      </c>
      <c r="B95" s="180" t="str">
        <v>DISCRETE EVENT SIMULATION</v>
      </c>
      <c r="C95" s="133" t="str">
        <v>Takyi Gabriel</v>
      </c>
      <c r="D95" s="180" t="s">
        <v>108</v>
      </c>
      <c r="E95" s="106">
        <v>72</v>
      </c>
      <c r="F95" s="123" t="s">
        <v>431</v>
      </c>
      <c r="G95" s="107">
        <f>E95*1.1</f>
        <v>79.2</v>
      </c>
      <c r="H95" s="353">
        <v>72</v>
      </c>
      <c r="I95" s="104" t="str">
        <f>_xlfn.CONCAT(A95,",",D95)</f>
        <v>IE 355,ED3-IND</v>
      </c>
      <c r="J95" s="81"/>
    </row>
    <row r="96" spans="1:10">
      <c r="A96" s="180" t="s">
        <v>207</v>
      </c>
      <c r="B96" s="180" t="str">
        <v>COMPUTER PROGRAMMING</v>
      </c>
      <c r="C96" s="122" t="str">
        <v>Kwaw Albert Kwame</v>
      </c>
      <c r="D96" s="180" t="s">
        <v>73</v>
      </c>
      <c r="E96" s="106">
        <v>150</v>
      </c>
      <c r="F96" s="123" t="s">
        <v>2299</v>
      </c>
      <c r="G96" s="107">
        <f>E96*1.1</f>
        <v>165</v>
      </c>
      <c r="H96" s="353" t="s">
        <v>2348</v>
      </c>
      <c r="I96" s="83" t="str">
        <v>GED 267,ED2-GEOL</v>
      </c>
      <c r="J96" s="81">
        <v>151</v>
      </c>
    </row>
    <row r="97" spans="1:10">
      <c r="A97" s="180" t="s">
        <v>160</v>
      </c>
      <c r="B97" s="180" t="str">
        <v>TECHNICAL DRAWING</v>
      </c>
      <c r="C97" s="122" t="str">
        <v>Sunnu Albert Kojo</v>
      </c>
      <c r="D97" s="180" t="s">
        <v>5</v>
      </c>
      <c r="E97" s="106">
        <v>46</v>
      </c>
      <c r="F97" s="174" t="s">
        <v>381</v>
      </c>
      <c r="G97" s="107">
        <f>E97*1.1</f>
        <v>50.6</v>
      </c>
      <c r="H97" s="353">
        <v>46</v>
      </c>
      <c r="I97" s="83" t="str">
        <f>_xlfn.CONCAT(A97,",",D97)</f>
        <v>ME 159,ED1-MARI</v>
      </c>
      <c r="J97" s="81"/>
    </row>
    <row r="98" spans="1:10">
      <c r="A98" s="180" t="s">
        <v>160</v>
      </c>
      <c r="B98" s="180" t="str">
        <v>TECHNICAL DRAWING</v>
      </c>
      <c r="C98" s="122" t="str">
        <v>Sunnu Albert Kojo</v>
      </c>
      <c r="D98" s="180" t="s">
        <v>9</v>
      </c>
      <c r="E98" s="106">
        <v>226</v>
      </c>
      <c r="F98" s="124" t="s">
        <v>2342</v>
      </c>
      <c r="G98" s="107">
        <f>E98*1.1</f>
        <v>248.6</v>
      </c>
      <c r="H98" s="353" t="s">
        <v>2349</v>
      </c>
      <c r="I98" s="83" t="str">
        <v>ME 159,ED1-ME</v>
      </c>
      <c r="J98" s="81">
        <v>166</v>
      </c>
    </row>
    <row r="99" spans="1:10">
      <c r="A99" s="180" t="s">
        <v>160</v>
      </c>
      <c r="B99" s="180" t="str">
        <v>TECHNICAL DRAWING</v>
      </c>
      <c r="C99" s="123" t="str">
        <v>Sunnu Albert Kojo</v>
      </c>
      <c r="D99" s="180" t="s">
        <v>31</v>
      </c>
      <c r="E99" s="106">
        <v>130</v>
      </c>
      <c r="F99" s="176" t="s">
        <v>2343</v>
      </c>
      <c r="G99" s="107">
        <f>E99*1.1</f>
        <v>143</v>
      </c>
      <c r="H99" s="354" t="s">
        <v>2157</v>
      </c>
      <c r="I99" s="104" t="str">
        <v>ME 159,ED1-TEL</v>
      </c>
      <c r="J99" s="81">
        <v>107</v>
      </c>
    </row>
    <row r="100" spans="1:10">
      <c r="A100" s="180" t="s">
        <v>352</v>
      </c>
      <c r="B100" s="180" t="str">
        <v>AUTOMATIC POWER TRAIN</v>
      </c>
      <c r="C100" s="123" t="str">
        <v>Abu Frimpong Solomon</v>
      </c>
      <c r="D100" s="180" t="s">
        <v>112</v>
      </c>
      <c r="E100" s="106">
        <v>32</v>
      </c>
      <c r="F100" s="123" t="s">
        <v>331</v>
      </c>
      <c r="G100" s="107">
        <f>E100*1.1</f>
        <v>35.2</v>
      </c>
      <c r="H100" s="353">
        <v>32</v>
      </c>
      <c r="I100" s="83" t="str">
        <f>_xlfn.CONCAT(A100,",",D100)</f>
        <v>AME 485,ED4-AUTO</v>
      </c>
      <c r="J100" s="81">
        <v>39</v>
      </c>
    </row>
    <row r="101" spans="1:10">
      <c r="A101" s="180" t="s">
        <v>160</v>
      </c>
      <c r="B101" s="180" t="str">
        <v>TECHNICAL DRAWING</v>
      </c>
      <c r="C101" s="122" t="str">
        <v>Sunnu Albert Kojo</v>
      </c>
      <c r="D101" s="180" t="s">
        <v>35</v>
      </c>
      <c r="E101" s="106">
        <v>100</v>
      </c>
      <c r="F101" s="124" t="s">
        <v>2344</v>
      </c>
      <c r="G101" s="107">
        <f>E101*1.1</f>
        <v>110</v>
      </c>
      <c r="H101" s="353" t="s">
        <v>2005</v>
      </c>
      <c r="I101" s="83" t="str">
        <f>_xlfn.CONCAT(A101,",",D101)</f>
        <v>ME 159,ED1-MSE</v>
      </c>
      <c r="J101" s="81"/>
    </row>
    <row r="102" spans="1:10">
      <c r="A102" s="180" t="s">
        <v>325</v>
      </c>
      <c r="B102" s="180" t="str">
        <v>INTRODUCTION TO METALLURGICAL ENGINEERING</v>
      </c>
      <c r="C102" s="122" t="str">
        <v>Koomson Bennetta</v>
      </c>
      <c r="D102" s="180" t="s">
        <v>11</v>
      </c>
      <c r="E102" s="106">
        <v>75</v>
      </c>
      <c r="F102" s="124" t="s">
        <v>414</v>
      </c>
      <c r="G102" s="107">
        <f>E102*1.1</f>
        <v>82.5</v>
      </c>
      <c r="H102" s="353">
        <v>75</v>
      </c>
      <c r="I102" s="83" t="str">
        <f>_xlfn.CONCAT(A102,",",D102)</f>
        <v>METE 151,ED1-METE</v>
      </c>
      <c r="J102" s="81"/>
    </row>
    <row r="103" spans="1:10">
      <c r="A103" s="180" t="s">
        <v>321</v>
      </c>
      <c r="B103" s="180" t="str">
        <v>FUEL AND COMBUSTION TECHNOLOGY</v>
      </c>
      <c r="C103" s="123" t="str">
        <v>Ohemeng-Boahen Godfred</v>
      </c>
      <c r="D103" s="180" t="s">
        <v>78</v>
      </c>
      <c r="E103" s="112">
        <v>40</v>
      </c>
      <c r="F103" s="123" t="s">
        <v>2014</v>
      </c>
      <c r="G103" s="107">
        <f>E103*1.1</f>
        <v>44</v>
      </c>
      <c r="H103" s="353" t="s">
        <v>2062</v>
      </c>
      <c r="I103" s="83" t="str">
        <f>_xlfn.CONCAT(A103,",",D103)</f>
        <v>PCE 461,ED4-CHE</v>
      </c>
      <c r="J103" s="81">
        <v>1</v>
      </c>
    </row>
    <row r="104" spans="1:10">
      <c r="A104" s="180" t="s">
        <v>321</v>
      </c>
      <c r="B104" s="180" t="str">
        <v>FUEL AND COMBUSTION TECHNOLOGY</v>
      </c>
      <c r="C104" s="123" t="str">
        <v>Ohemeng-Boahen Godfred</v>
      </c>
      <c r="D104" s="180" t="s">
        <v>1470</v>
      </c>
      <c r="E104" s="106">
        <v>3</v>
      </c>
      <c r="F104" s="123">
        <v>206</v>
      </c>
      <c r="G104" s="107">
        <f>E104*1.1</f>
        <v>3.3</v>
      </c>
      <c r="H104" s="353">
        <v>3</v>
      </c>
      <c r="I104" s="83" t="str">
        <f>_xlfn.CONCAT(A104,",",D104)</f>
        <v>PCE 461,ED4-PE</v>
      </c>
      <c r="J104" s="81">
        <v>56</v>
      </c>
    </row>
    <row r="105" spans="1:10">
      <c r="A105" s="180" t="s">
        <v>321</v>
      </c>
      <c r="B105" s="180" t="str">
        <v>FUEL AND COMBUSTION TECHNOLOGY</v>
      </c>
      <c r="C105" s="123" t="str">
        <v>Ohemeng-Boahen Godfred</v>
      </c>
      <c r="D105" s="180" t="s">
        <v>79</v>
      </c>
      <c r="E105" s="106">
        <v>45</v>
      </c>
      <c r="F105" s="123" t="s">
        <v>2345</v>
      </c>
      <c r="G105" s="107">
        <f>E105*1.1</f>
        <v>49.5</v>
      </c>
      <c r="H105" s="353" t="s">
        <v>2350</v>
      </c>
      <c r="I105" s="83" t="str">
        <f>_xlfn.CONCAT(A105,",",D105)</f>
        <v>PCE 461,ED4-PCE</v>
      </c>
      <c r="J105" s="81">
        <v>56</v>
      </c>
    </row>
    <row ht="16.5" customHeight="1" r="106" spans="1:10" s="105" customFormat="1">
      <c r="A106" s="186" t="s">
        <v>450</v>
      </c>
      <c r="B106" s="186" t="str">
        <v>INTRODUCTION TO RURAL SOCIOLOGY</v>
      </c>
      <c r="C106" s="437" t="str">
        <v>Boateng Kwabena</v>
      </c>
      <c r="D106" s="186" t="s">
        <v>110</v>
      </c>
      <c r="E106" s="112">
        <v>87</v>
      </c>
      <c r="F106" s="176" t="s">
        <v>2116</v>
      </c>
      <c r="G106" s="107">
        <f>E106*1.1</f>
        <v>95.7</v>
      </c>
      <c r="H106" s="358" t="s">
        <v>2351</v>
      </c>
      <c r="I106" s="105" t="str">
        <f>CONCATENATE(A106,",",D106)</f>
        <v>SOC 255,ED3-METE</v>
      </c>
      <c r="J106" s="102"/>
    </row>
    <row r="107" spans="1:10">
      <c r="A107" s="180" t="s">
        <v>450</v>
      </c>
      <c r="B107" s="180" t="str">
        <v>INTRODUCTION TO RURAL SOCIOLOGY</v>
      </c>
      <c r="C107" s="123" t="str">
        <v>Boateng Kwabena</v>
      </c>
      <c r="D107" s="180" t="s">
        <v>72</v>
      </c>
      <c r="E107" s="106">
        <v>59</v>
      </c>
      <c r="F107" s="435" t="s">
        <v>2078</v>
      </c>
      <c r="G107" s="107">
        <f>E107*1.1</f>
        <v>64.9</v>
      </c>
      <c r="H107" s="353" t="s">
        <v>2352</v>
      </c>
      <c r="I107" s="83" t="str">
        <v>SOC 255,ED2-METE</v>
      </c>
      <c r="J107" s="81">
        <v>45</v>
      </c>
    </row>
    <row r="108" spans="1:10">
      <c r="A108" s="83"/>
      <c r="B108" s="83"/>
      <c r="C108" s="109"/>
      <c r="D108" s="180" t="s">
        <v>398</v>
      </c>
      <c r="E108" s="91">
        <f>SUM(E93:E107)</f>
        <v>1348</v>
      </c>
      <c r="F108" s="109"/>
      <c r="G108" s="83"/>
      <c r="H108" s="353"/>
      <c r="I108" s="83" t="str">
        <v>,Total W1-3</v>
      </c>
      <c r="J108" s="81" t="e">
        <f>#N/A</f>
        <v>#N/A</v>
      </c>
    </row>
    <row r="109" spans="1:10">
      <c r="A109" s="104"/>
      <c r="B109" s="104"/>
      <c r="D109" s="133"/>
      <c r="E109" s="115"/>
      <c r="F109" s="119"/>
      <c r="G109" s="83"/>
      <c r="J109" s="81"/>
    </row>
    <row ht="15.75" customHeight="1" r="110" spans="1:10">
      <c r="A110" s="367" t="s">
        <v>1452</v>
      </c>
      <c r="B110" s="368"/>
      <c r="C110" s="368"/>
      <c r="D110" s="368"/>
      <c r="E110" s="368"/>
      <c r="F110" s="368"/>
      <c r="G110" s="369"/>
      <c r="H110" s="353"/>
      <c r="I110" s="104" t="str">
        <f>_xlfn.CONCAT(A110,",",D110)</f>
        <v>Thursday, 9 April 2026,</v>
      </c>
      <c r="J110" s="81"/>
    </row>
    <row ht="15.75" customHeight="1" r="111" spans="1:10">
      <c r="A111" s="364" t="s">
        <v>411</v>
      </c>
      <c r="B111" s="365"/>
      <c r="C111" s="365"/>
      <c r="D111" s="365"/>
      <c r="E111" s="365"/>
      <c r="F111" s="365"/>
      <c r="G111" s="366"/>
      <c r="H111" s="353"/>
      <c r="I111" s="104" t="str">
        <f>_xlfn.CONCAT(A111,",",D111)</f>
        <v>Session, 1 (8:30 AM - 10:30 AM),</v>
      </c>
      <c r="J111" s="81"/>
    </row>
    <row ht="15.75" customHeight="1" r="112" spans="1:10">
      <c r="A112" s="188" t="s">
        <v>24</v>
      </c>
      <c r="B112" s="114" t="s">
        <v>25</v>
      </c>
      <c r="C112" s="189" t="s">
        <v>26</v>
      </c>
      <c r="D112" s="114" t="s">
        <v>27</v>
      </c>
      <c r="E112" s="114" t="s">
        <v>266</v>
      </c>
      <c r="F112" s="190" t="s">
        <v>28</v>
      </c>
      <c r="G112" s="114" t="s">
        <v>265</v>
      </c>
      <c r="H112" s="353"/>
      <c r="I112" s="104" t="str">
        <f>_xlfn.CONCAT(A112,",",D112)</f>
        <v>CODE ,CLASS</v>
      </c>
      <c r="J112" s="81"/>
    </row>
    <row r="113" spans="1:10" s="136" customFormat="1">
      <c r="A113" s="181" t="s">
        <v>177</v>
      </c>
      <c r="B113" s="181" t="str">
        <f>IFERROR(VLOOKUP(I113:I129,Lecturers!A2:F596,6,FALSE),0)</f>
        <v>INTRODUCTION TO ECONOMICS I</v>
      </c>
      <c r="C113" s="317" t="str">
        <f>VLOOKUP(I113:I129,Lecturers!A2:G598,2,FALSE)</f>
        <v>Takyi Paul Owusu</v>
      </c>
      <c r="D113" s="181" t="s">
        <v>48</v>
      </c>
      <c r="E113" s="108">
        <f>IFERROR(VLOOKUP(I113:I129,Lecturers!A2:F596,3,FALSE),0)</f>
        <v>76</v>
      </c>
      <c r="F113" s="438" t="s">
        <v>2311</v>
      </c>
      <c r="G113" s="138">
        <f>E113*1.1</f>
        <v>83.6</v>
      </c>
      <c r="H113" s="355" t="s">
        <v>2354</v>
      </c>
      <c r="I113" s="139" t="str">
        <f>_xlfn.CONCAT(A113,",",D113)</f>
        <v>ECON 151,ED3-AERO</v>
      </c>
      <c r="J113" s="81">
        <v>30</v>
      </c>
    </row>
    <row ht="14.25" customHeight="1" r="114" spans="1:10" s="136" customFormat="1">
      <c r="A114" s="181" t="s">
        <v>177</v>
      </c>
      <c r="B114" s="181" t="str">
        <v>INTRODUCTION TO ECONOMICS I</v>
      </c>
      <c r="C114" s="132" t="str">
        <v>Takyi Paul Owusu</v>
      </c>
      <c r="D114" s="181" t="s">
        <v>49</v>
      </c>
      <c r="E114" s="112">
        <v>225</v>
      </c>
      <c r="F114" s="129" t="s">
        <v>2298</v>
      </c>
      <c r="G114" s="138">
        <f>E114*1.1</f>
        <v>247.5</v>
      </c>
      <c r="H114" s="355" t="s">
        <v>2329</v>
      </c>
      <c r="I114" s="318" t="str">
        <f>_xlfn.CONCAT(A114,",",D114)</f>
        <v>ECON 151,ED3-ME</v>
      </c>
      <c r="J114" s="81">
        <v>42</v>
      </c>
    </row>
    <row r="115" spans="1:10">
      <c r="A115" s="180" t="s">
        <v>177</v>
      </c>
      <c r="B115" s="180" t="str">
        <v>ELEMENTS OF ECONOMICS I</v>
      </c>
      <c r="C115" s="123" t="str">
        <v>Takyi Paul Owusu</v>
      </c>
      <c r="D115" s="180" t="s">
        <v>87</v>
      </c>
      <c r="E115" s="112">
        <v>40</v>
      </c>
      <c r="F115" s="123" t="s">
        <v>331</v>
      </c>
      <c r="G115" s="107">
        <f>E115*1.1</f>
        <v>44</v>
      </c>
      <c r="H115" s="353">
        <v>40</v>
      </c>
      <c r="I115" s="83" t="str">
        <v>ECON 151,ED2-COE</v>
      </c>
      <c r="J115" s="81">
        <v>50</v>
      </c>
    </row>
    <row r="116" spans="1:10" s="105" customFormat="1">
      <c r="A116" s="180" t="s">
        <v>177</v>
      </c>
      <c r="B116" s="180" t="str">
        <v>INTRODUCTION TO ECONOMICS </v>
      </c>
      <c r="C116" s="123" t="str">
        <v>Takyi Paul Owusu</v>
      </c>
      <c r="D116" s="180" t="s">
        <v>2</v>
      </c>
      <c r="E116" s="112">
        <v>85</v>
      </c>
      <c r="F116" s="123" t="s">
        <v>2058</v>
      </c>
      <c r="G116" s="107">
        <f>E116*1.1</f>
        <v>93.5</v>
      </c>
      <c r="H116" s="353" t="s">
        <v>2355</v>
      </c>
      <c r="I116" s="105" t="str">
        <f>CONCATENATE(A116,",",D116)</f>
        <v>ECON 151,ED1-AUTO</v>
      </c>
      <c r="J116" s="102"/>
    </row>
    <row r="117" spans="1:10">
      <c r="A117" s="180" t="s">
        <v>177</v>
      </c>
      <c r="B117" s="180" t="str">
        <v>ELEMENTS OF ECONOMICS I</v>
      </c>
      <c r="C117" s="123" t="str">
        <v>Takyi Paul Owusu</v>
      </c>
      <c r="D117" s="180" t="s">
        <v>98</v>
      </c>
      <c r="E117" s="112">
        <v>150</v>
      </c>
      <c r="F117" s="123" t="s">
        <v>2299</v>
      </c>
      <c r="G117" s="107">
        <f>E117*1.1</f>
        <v>165</v>
      </c>
      <c r="H117" s="353" t="s">
        <v>2304</v>
      </c>
      <c r="I117" s="83" t="str">
        <v>ECON 151,ED2-EE</v>
      </c>
      <c r="J117" s="81">
        <v>44</v>
      </c>
    </row>
    <row ht="15" customHeight="1" r="118" spans="1:10">
      <c r="A118" s="180" t="s">
        <v>177</v>
      </c>
      <c r="B118" s="180" t="str">
        <v>INTRODUCTORY ECONOMICS I</v>
      </c>
      <c r="C118" s="123" t="str">
        <v>Takyi Paul Owusu</v>
      </c>
      <c r="D118" s="180" t="s">
        <v>36</v>
      </c>
      <c r="E118" s="112">
        <v>33</v>
      </c>
      <c r="F118" s="123" t="s">
        <v>277</v>
      </c>
      <c r="G118" s="107">
        <f>E118*1.1</f>
        <v>36.3</v>
      </c>
      <c r="H118" s="353">
        <v>33</v>
      </c>
      <c r="I118" s="83" t="str">
        <v>ECON 151,ED1-CE</v>
      </c>
      <c r="J118" s="81">
        <v>29</v>
      </c>
    </row>
    <row r="119" spans="1:10">
      <c r="A119" s="180" t="s">
        <v>177</v>
      </c>
      <c r="B119" s="180" t="str">
        <v>INTRODUCTORY ECONOMICS I</v>
      </c>
      <c r="C119" s="123" t="str">
        <v>Takyi Paul Owusu</v>
      </c>
      <c r="D119" s="180" t="s">
        <v>6</v>
      </c>
      <c r="E119" s="112">
        <v>34</v>
      </c>
      <c r="F119" s="439" t="s">
        <v>92</v>
      </c>
      <c r="G119" s="107">
        <f>E119*1.1</f>
        <v>37.4</v>
      </c>
      <c r="H119" s="353">
        <v>34</v>
      </c>
      <c r="I119" s="83" t="str">
        <v>ECON 151,ED1-GEOL</v>
      </c>
      <c r="J119" s="81" t="e">
        <f>#N/A</f>
        <v>#N/A</v>
      </c>
    </row>
    <row r="120" spans="1:10">
      <c r="A120" s="180" t="s">
        <v>177</v>
      </c>
      <c r="B120" s="180" t="str">
        <v>INTRODUCTORY ECONOMICS I</v>
      </c>
      <c r="C120" s="123" t="str">
        <v>Takyi Paul Owusu</v>
      </c>
      <c r="D120" s="180" t="s">
        <v>104</v>
      </c>
      <c r="E120" s="112">
        <v>13</v>
      </c>
      <c r="F120" s="123" t="s">
        <v>610</v>
      </c>
      <c r="G120" s="107">
        <f>E120*1.1</f>
        <v>14.3</v>
      </c>
      <c r="H120" s="353">
        <v>13</v>
      </c>
      <c r="I120" s="83" t="str">
        <v>ECON 151,ED2-MSE</v>
      </c>
      <c r="J120" s="81">
        <v>33</v>
      </c>
    </row>
    <row r="121" spans="1:10">
      <c r="A121" s="180" t="s">
        <v>177</v>
      </c>
      <c r="B121" s="180" t="str">
        <v>INTRODUCTORY ECONOMICS I</v>
      </c>
      <c r="C121" s="123" t="str">
        <v>Takyi Paul Owusu</v>
      </c>
      <c r="D121" s="180" t="s">
        <v>99</v>
      </c>
      <c r="E121" s="112">
        <v>30</v>
      </c>
      <c r="F121" s="123" t="s">
        <v>12</v>
      </c>
      <c r="G121" s="107">
        <f>E121*1.1</f>
        <v>33</v>
      </c>
      <c r="H121" s="353">
        <v>30</v>
      </c>
      <c r="I121" s="83" t="str">
        <v>ECON 151,ED2-TEL</v>
      </c>
      <c r="J121" s="81" t="e">
        <f>#N/A</f>
        <v>#N/A</v>
      </c>
    </row>
    <row r="122" spans="1:10">
      <c r="A122" s="180" t="s">
        <v>177</v>
      </c>
      <c r="B122" s="180" t="str">
        <v>INTRODUCTORY ECONOMICS I</v>
      </c>
      <c r="C122" s="123" t="str">
        <v>Takyi Paul Owusu</v>
      </c>
      <c r="D122" s="180" t="s">
        <v>86</v>
      </c>
      <c r="E122" s="112">
        <v>80</v>
      </c>
      <c r="F122" s="123" t="s">
        <v>2320</v>
      </c>
      <c r="G122" s="107">
        <f>E122*1.1</f>
        <v>88</v>
      </c>
      <c r="H122" s="353" t="s">
        <v>2356</v>
      </c>
      <c r="I122" s="83" t="str">
        <f>_xlfn.CONCAT(A122,",",D122)</f>
        <v>ECON 151,ED2-BME</v>
      </c>
      <c r="J122" s="81">
        <v>38</v>
      </c>
    </row>
    <row r="123" spans="1:10">
      <c r="A123" s="180" t="s">
        <v>177</v>
      </c>
      <c r="B123" s="180" t="str">
        <v>INTRODUCTORY ECONOMICS I</v>
      </c>
      <c r="C123" s="123" t="str">
        <v>Takyi Paul Owusu</v>
      </c>
      <c r="D123" s="180" t="s">
        <v>46</v>
      </c>
      <c r="E123" s="112">
        <v>28</v>
      </c>
      <c r="F123" s="123">
        <v>303</v>
      </c>
      <c r="G123" s="107">
        <f>E123*1.1</f>
        <v>30.8</v>
      </c>
      <c r="H123" s="353">
        <v>28</v>
      </c>
      <c r="I123" s="83" t="str">
        <f>_xlfn.CONCAT(A123,",",D123)</f>
        <v>ECON 151,ED3-PCE</v>
      </c>
      <c r="J123" s="81">
        <v>38</v>
      </c>
    </row>
    <row r="124" spans="1:10">
      <c r="A124" s="180" t="s">
        <v>177</v>
      </c>
      <c r="B124" s="180" t="str">
        <v>INTRODUCTORY ECONOMICS I</v>
      </c>
      <c r="C124" s="123" t="str">
        <v>Takyi Paul Owusu</v>
      </c>
      <c r="D124" s="180" t="s">
        <v>106</v>
      </c>
      <c r="E124" s="112">
        <v>35</v>
      </c>
      <c r="F124" s="123" t="s">
        <v>70</v>
      </c>
      <c r="G124" s="107">
        <f>E124*1.1</f>
        <v>38.5</v>
      </c>
      <c r="H124" s="353" t="s">
        <v>2313</v>
      </c>
      <c r="I124" s="83" t="str">
        <f>_xlfn.CONCAT(A124,",",D124)</f>
        <v>ECON 151,ED3-CHE</v>
      </c>
      <c r="J124" s="81"/>
    </row>
    <row r="125" spans="1:10">
      <c r="A125" s="180" t="s">
        <v>177</v>
      </c>
      <c r="B125" s="180" t="str">
        <v>ELEMENTS OF ECONOMICS I</v>
      </c>
      <c r="C125" s="123" t="str">
        <v>Takyi Paul Owusu</v>
      </c>
      <c r="D125" s="180" t="s">
        <v>107</v>
      </c>
      <c r="E125" s="112">
        <v>16</v>
      </c>
      <c r="F125" s="123">
        <v>206</v>
      </c>
      <c r="G125" s="107">
        <f>E125*1.1</f>
        <v>17.6</v>
      </c>
      <c r="H125" s="353">
        <v>16</v>
      </c>
      <c r="I125" s="83" t="str">
        <v>ECON 151,ED3-GEOM</v>
      </c>
      <c r="J125" s="81">
        <v>294</v>
      </c>
    </row>
    <row r="126" spans="1:10">
      <c r="A126" s="180" t="s">
        <v>267</v>
      </c>
      <c r="B126" s="180" t="str">
        <v>ELECTRICAL ENGINEERING TECHNOLOGY WITH MATLAB</v>
      </c>
      <c r="C126" s="122" t="str">
        <v>Prah II Nicholas Kwesi</v>
      </c>
      <c r="D126" s="180" t="s">
        <v>7</v>
      </c>
      <c r="E126" s="106">
        <v>295</v>
      </c>
      <c r="F126" s="123" t="s">
        <v>2045</v>
      </c>
      <c r="G126" s="107">
        <f>E126*1.1</f>
        <v>324.5</v>
      </c>
      <c r="H126" s="353" t="s">
        <v>2357</v>
      </c>
      <c r="I126" s="104" t="str">
        <f>_xlfn.CONCAT(A126,",",D126)</f>
        <v>EE 153,ED1-EE</v>
      </c>
      <c r="J126" s="81">
        <v>233</v>
      </c>
    </row>
    <row r="127" spans="1:10">
      <c r="A127" s="180" t="s">
        <v>96</v>
      </c>
      <c r="B127" s="180" t="str">
        <v>INTRODUCTION TO FLUID MECHANICS</v>
      </c>
      <c r="C127" s="123" t="str">
        <v>Tay Godwin Fabiola Kwaku</v>
      </c>
      <c r="D127" s="180" t="s">
        <v>101</v>
      </c>
      <c r="E127" s="106">
        <v>82</v>
      </c>
      <c r="F127" s="124" t="s">
        <v>2353</v>
      </c>
      <c r="G127" s="107">
        <f>E127*1.1</f>
        <v>90.2</v>
      </c>
      <c r="H127" s="353" t="s">
        <v>2358</v>
      </c>
      <c r="I127" s="104" t="str">
        <f>_xlfn.CONCAT(A127,",",D127)</f>
        <v>ME 251,ED2-AUTO</v>
      </c>
      <c r="J127" s="81">
        <v>82</v>
      </c>
    </row>
    <row r="128" spans="1:10">
      <c r="A128" s="180" t="s">
        <v>96</v>
      </c>
      <c r="B128" s="180" t="str">
        <v>INTRODUCTION TO FLUID MECHANICS</v>
      </c>
      <c r="C128" s="123" t="str">
        <v>Tay Godwin Fabiola Kwaku</v>
      </c>
      <c r="D128" s="180" t="s">
        <v>102</v>
      </c>
      <c r="E128" s="106">
        <v>80</v>
      </c>
      <c r="F128" s="124" t="s">
        <v>2311</v>
      </c>
      <c r="G128" s="107">
        <f>E128*1.1</f>
        <v>88</v>
      </c>
      <c r="H128" s="353" t="s">
        <v>2359</v>
      </c>
      <c r="I128" s="104" t="str">
        <v>ME 251,ED2-IND</v>
      </c>
      <c r="J128" s="81">
        <v>128</v>
      </c>
    </row>
    <row r="129" spans="1:10">
      <c r="A129" s="180" t="s">
        <v>96</v>
      </c>
      <c r="B129" s="180" t="str">
        <v>INTRODUCTION TO FLUID MECHANICS</v>
      </c>
      <c r="C129" s="123" t="str">
        <v>Tay Godwin Fabiola Kwaku</v>
      </c>
      <c r="D129" s="180" t="s">
        <v>103</v>
      </c>
      <c r="E129" s="106">
        <v>37</v>
      </c>
      <c r="F129" s="124" t="s">
        <v>69</v>
      </c>
      <c r="G129" s="107">
        <f>E129*1.1</f>
        <v>40.7</v>
      </c>
      <c r="H129" s="353">
        <v>37</v>
      </c>
      <c r="I129" s="104" t="str">
        <v>ME 251,ED2-MARI</v>
      </c>
      <c r="J129" s="81">
        <v>74</v>
      </c>
    </row>
    <row ht="15.75" customHeight="1" r="130" spans="1:10">
      <c r="A130" s="83"/>
      <c r="B130" s="83"/>
      <c r="C130" s="109"/>
      <c r="D130" s="180" t="s">
        <v>287</v>
      </c>
      <c r="E130" s="315">
        <f>SUM(E114:E129)</f>
        <v>1263</v>
      </c>
      <c r="F130" s="109"/>
      <c r="G130" s="83"/>
      <c r="H130" s="353"/>
      <c r="I130" s="104" t="str">
        <v>,Total F1-3</v>
      </c>
      <c r="J130" s="81"/>
    </row>
    <row r="131" spans="1:10">
      <c r="A131" s="83"/>
      <c r="B131" s="83"/>
      <c r="C131" s="109"/>
      <c r="D131" s="187"/>
      <c r="E131" s="115"/>
      <c r="F131" s="109"/>
      <c r="G131" s="83"/>
      <c r="H131" s="353"/>
      <c r="J131" s="81"/>
    </row>
    <row ht="15.75" customHeight="1" r="132" spans="1:10">
      <c r="A132" s="367" t="s">
        <v>1452</v>
      </c>
      <c r="B132" s="368"/>
      <c r="C132" s="368"/>
      <c r="D132" s="368"/>
      <c r="E132" s="368"/>
      <c r="F132" s="368"/>
      <c r="G132" s="369"/>
      <c r="H132" s="353"/>
      <c r="I132" s="104" t="str">
        <f>_xlfn.CONCAT(A132,",",D132)</f>
        <v>Thursday, 9 April 2026,</v>
      </c>
      <c r="J132" s="81"/>
    </row>
    <row ht="15.75" customHeight="1" r="133" spans="1:10">
      <c r="A133" s="364" t="s">
        <v>412</v>
      </c>
      <c r="B133" s="365"/>
      <c r="C133" s="365"/>
      <c r="D133" s="365"/>
      <c r="E133" s="365"/>
      <c r="F133" s="365"/>
      <c r="G133" s="366"/>
      <c r="H133" s="353"/>
      <c r="I133" s="104" t="str">
        <v>Session, 2 (12:00 PM - 2:00 PM),</v>
      </c>
      <c r="J133" s="81"/>
    </row>
    <row ht="15.75" customHeight="1" r="134" spans="1:10">
      <c r="A134" s="188" t="s">
        <v>24</v>
      </c>
      <c r="B134" s="114" t="s">
        <v>25</v>
      </c>
      <c r="C134" s="189" t="s">
        <v>26</v>
      </c>
      <c r="D134" s="114" t="s">
        <v>27</v>
      </c>
      <c r="E134" s="114" t="s">
        <v>266</v>
      </c>
      <c r="F134" s="190" t="s">
        <v>28</v>
      </c>
      <c r="G134" s="114" t="s">
        <v>265</v>
      </c>
      <c r="H134" s="353"/>
      <c r="I134" s="104" t="str">
        <v>CODE ,CLASS</v>
      </c>
      <c r="J134" s="81"/>
    </row>
    <row r="135" spans="1:10" s="136" customFormat="1">
      <c r="A135" s="181" t="s">
        <v>47</v>
      </c>
      <c r="B135" s="181" t="str">
        <f>IFERROR(VLOOKUP(I135:I155,Lecturers!A2:F596,6,FALSE),0)</f>
        <v>NUMERICAL ANALYSIS</v>
      </c>
      <c r="C135" s="338" t="str">
        <f>VLOOKUP(I135:I155,Lecturers!A2:G598,2,FALSE)</f>
        <v>Borkor Reindorf Nartey</v>
      </c>
      <c r="D135" s="181" t="s">
        <v>52</v>
      </c>
      <c r="E135" s="108">
        <f>IFERROR(VLOOKUP(I135:I155,Lecturers!A2:F596,3,FALSE),0)</f>
        <v>154</v>
      </c>
      <c r="F135" s="440" t="s">
        <v>1814</v>
      </c>
      <c r="G135" s="138">
        <f>E135*1.1</f>
        <v>169.4</v>
      </c>
      <c r="H135" s="355"/>
      <c r="I135" s="139" t="str">
        <f>_xlfn.CONCAT(A135,",",D135)</f>
        <v>MATH 351,ED3-GEOL</v>
      </c>
      <c r="J135" s="81">
        <v>107</v>
      </c>
    </row>
    <row r="136" spans="1:10">
      <c r="A136" s="180" t="s">
        <v>47</v>
      </c>
      <c r="B136" s="180" t="str">
        <v>NUMERICAL METHODS</v>
      </c>
      <c r="C136" s="122" t="str">
        <v>Azure Isaac</v>
      </c>
      <c r="D136" s="180" t="s">
        <v>56</v>
      </c>
      <c r="E136" s="112">
        <v>90</v>
      </c>
      <c r="F136" s="441"/>
      <c r="G136" s="107">
        <f>E136*1.1</f>
        <v>99</v>
      </c>
      <c r="H136" s="353"/>
      <c r="I136" s="83" t="str">
        <f>_xlfn.CONCAT(A136,",",D136)</f>
        <v>MATH 351,ED3-BME</v>
      </c>
      <c r="J136" s="81">
        <v>71</v>
      </c>
    </row>
    <row r="137" spans="1:10">
      <c r="A137" s="180" t="s">
        <v>47</v>
      </c>
      <c r="B137" s="180" t="str">
        <v>NUMERICAL ANALYSIS</v>
      </c>
      <c r="C137" s="122" t="str">
        <v>Awashie Gaston Edem</v>
      </c>
      <c r="D137" s="180" t="s">
        <v>54</v>
      </c>
      <c r="E137" s="112">
        <v>140</v>
      </c>
      <c r="F137" s="441"/>
      <c r="G137" s="107">
        <f>E137*1.1</f>
        <v>154</v>
      </c>
      <c r="H137" s="353"/>
      <c r="I137" s="83" t="str">
        <v>MATH 351,ED3-TEL</v>
      </c>
      <c r="J137" s="81">
        <v>183</v>
      </c>
    </row>
    <row r="138" spans="1:10">
      <c r="A138" s="180" t="s">
        <v>47</v>
      </c>
      <c r="B138" s="180" t="str">
        <v>NUMERICAL ANALYSIS</v>
      </c>
      <c r="C138" s="122" t="str">
        <v>Borkor Reindorf Nartey</v>
      </c>
      <c r="D138" s="180" t="s">
        <v>50</v>
      </c>
      <c r="E138" s="112">
        <v>100</v>
      </c>
      <c r="F138" s="441"/>
      <c r="G138" s="107">
        <f>E138*1.1</f>
        <v>110</v>
      </c>
      <c r="H138" s="353"/>
      <c r="I138" s="83" t="str">
        <v>MATH 351,ED3-AE</v>
      </c>
      <c r="J138" s="81">
        <v>142</v>
      </c>
    </row>
    <row r="139" spans="1:10">
      <c r="A139" s="180" t="s">
        <v>47</v>
      </c>
      <c r="B139" s="180" t="str">
        <v>NUMERICAL ANALYSIS</v>
      </c>
      <c r="C139" s="122" t="str">
        <v>Borkor Reindorf Nartey</v>
      </c>
      <c r="D139" s="180" t="s">
        <v>55</v>
      </c>
      <c r="E139" s="112">
        <v>270</v>
      </c>
      <c r="F139" s="441"/>
      <c r="G139" s="107">
        <f>E139*1.1</f>
        <v>297</v>
      </c>
      <c r="H139" s="353"/>
      <c r="I139" s="83" t="str">
        <v>MATH 351,ED3-COE</v>
      </c>
      <c r="J139" s="81">
        <v>227</v>
      </c>
    </row>
    <row r="140" spans="1:10">
      <c r="A140" s="180" t="s">
        <v>47</v>
      </c>
      <c r="B140" s="180" t="str">
        <v>NUMERICAL ANALYSIS</v>
      </c>
      <c r="C140" s="122" t="str">
        <v>Azure Isaac</v>
      </c>
      <c r="D140" s="180" t="s">
        <v>105</v>
      </c>
      <c r="E140" s="112">
        <v>40</v>
      </c>
      <c r="F140" s="441"/>
      <c r="G140" s="107">
        <f>E140*1.1</f>
        <v>44</v>
      </c>
      <c r="H140" s="353"/>
      <c r="I140" s="83" t="str">
        <v>MATH 351,ED3-AUTO</v>
      </c>
      <c r="J140" s="81">
        <v>113</v>
      </c>
    </row>
    <row r="141" spans="1:10">
      <c r="A141" s="180" t="s">
        <v>47</v>
      </c>
      <c r="B141" s="180" t="str">
        <v>NUMERICAL ANALYSIS</v>
      </c>
      <c r="C141" s="122" t="str">
        <v>Borkor Reindorf Nartey</v>
      </c>
      <c r="D141" s="180" t="s">
        <v>51</v>
      </c>
      <c r="E141" s="112">
        <v>220</v>
      </c>
      <c r="F141" s="441"/>
      <c r="G141" s="107">
        <f>E141*1.1</f>
        <v>242</v>
      </c>
      <c r="H141" s="353"/>
      <c r="I141" s="83" t="str">
        <v>MATH 351,ED3-CE</v>
      </c>
      <c r="J141" s="81">
        <v>291</v>
      </c>
    </row>
    <row r="142" spans="1:10">
      <c r="A142" s="180" t="s">
        <v>47</v>
      </c>
      <c r="B142" s="180" t="str">
        <v>NUMERICAL ANALYSIS</v>
      </c>
      <c r="C142" s="122" t="str">
        <v>Awashie Gaston Edem</v>
      </c>
      <c r="D142" s="180" t="s">
        <v>108</v>
      </c>
      <c r="E142" s="112">
        <v>72</v>
      </c>
      <c r="F142" s="441"/>
      <c r="G142" s="107">
        <f>E142*1.1</f>
        <v>79.2</v>
      </c>
      <c r="H142" s="353"/>
      <c r="I142" s="83" t="str">
        <v>MATH 351,ED3-IND</v>
      </c>
      <c r="J142" s="81">
        <v>143</v>
      </c>
    </row>
    <row r="143" spans="1:10">
      <c r="A143" s="180" t="s">
        <v>47</v>
      </c>
      <c r="B143" s="180" t="str">
        <v>NUMERICAL ANALYSIS</v>
      </c>
      <c r="C143" s="122" t="str">
        <v>Awashie Gaston Edem</v>
      </c>
      <c r="D143" s="180" t="s">
        <v>53</v>
      </c>
      <c r="E143" s="112">
        <v>240</v>
      </c>
      <c r="F143" s="441"/>
      <c r="G143" s="107">
        <f>E143*1.1</f>
        <v>264</v>
      </c>
      <c r="H143" s="353"/>
      <c r="I143" s="83" t="str">
        <v>MATH 351,ED3-EE</v>
      </c>
      <c r="J143" s="81">
        <v>294</v>
      </c>
    </row>
    <row r="144" spans="1:10">
      <c r="A144" s="180" t="s">
        <v>47</v>
      </c>
      <c r="B144" s="180" t="str">
        <v>NUMERICAL ANALYSIS</v>
      </c>
      <c r="C144" s="122" t="str">
        <v>Awashie Gaston Edem</v>
      </c>
      <c r="D144" s="180" t="s">
        <v>109</v>
      </c>
      <c r="E144" s="112">
        <v>40</v>
      </c>
      <c r="F144" s="442"/>
      <c r="G144" s="107">
        <f>E144*1.1</f>
        <v>44</v>
      </c>
      <c r="H144" s="353"/>
      <c r="I144" s="83" t="str">
        <v>MATH 351,ED3-MARI</v>
      </c>
      <c r="J144" s="81">
        <v>66</v>
      </c>
    </row>
    <row r="145" spans="1:10" s="136" customFormat="1">
      <c r="A145" s="181" t="s">
        <v>410</v>
      </c>
      <c r="B145" s="181" t="str">
        <v>ENGINEERING REPORTING</v>
      </c>
      <c r="C145" s="338" t="str">
        <v>Tuffour Yaw Adubofour</v>
      </c>
      <c r="D145" s="181" t="s">
        <v>84</v>
      </c>
      <c r="E145" s="108">
        <v>255</v>
      </c>
      <c r="F145" s="340" t="s">
        <v>2298</v>
      </c>
      <c r="G145" s="138">
        <f>E145*1.1</f>
        <v>280.5</v>
      </c>
      <c r="H145" s="355" t="s">
        <v>2028</v>
      </c>
      <c r="I145" s="139" t="str">
        <v>CE 271,ED2-CE</v>
      </c>
      <c r="J145" s="81"/>
    </row>
    <row r="146" spans="1:10">
      <c r="A146" s="180" t="s">
        <v>258</v>
      </c>
      <c r="B146" s="180" t="str">
        <v>ENGINEERING IN SOCIETY</v>
      </c>
      <c r="C146" s="122" t="str">
        <v>Erzuah Samuel</v>
      </c>
      <c r="D146" s="180" t="s">
        <v>1468</v>
      </c>
      <c r="E146" s="106">
        <v>95</v>
      </c>
      <c r="F146" s="123" t="s">
        <v>2360</v>
      </c>
      <c r="G146" s="107">
        <f>E146*1.1</f>
        <v>104.5</v>
      </c>
      <c r="H146" s="353" t="s">
        <v>2365</v>
      </c>
      <c r="I146" s="104" t="str">
        <f>_xlfn.CONCAT(A146,",",D146)</f>
        <v>CENG 291,ED2-PE</v>
      </c>
      <c r="J146" s="81">
        <v>184</v>
      </c>
    </row>
    <row r="147" spans="1:10">
      <c r="A147" s="180" t="s">
        <v>258</v>
      </c>
      <c r="B147" s="180" t="str">
        <v>ENGINEERING IN SOCIETY</v>
      </c>
      <c r="C147" s="122" t="str">
        <v>Kwarteng Efiba Vidda Senkyire</v>
      </c>
      <c r="D147" s="180" t="s">
        <v>85</v>
      </c>
      <c r="E147" s="106">
        <v>134</v>
      </c>
      <c r="F147" s="123" t="s">
        <v>2045</v>
      </c>
      <c r="G147" s="107">
        <f>E147*1.1</f>
        <v>147.4</v>
      </c>
      <c r="H147" s="353" t="s">
        <v>2366</v>
      </c>
      <c r="I147" s="104" t="str">
        <v>CENG 291,ED2-GEOM</v>
      </c>
      <c r="J147" s="81">
        <v>68</v>
      </c>
    </row>
    <row r="148" spans="1:10">
      <c r="A148" s="180" t="s">
        <v>189</v>
      </c>
      <c r="B148" s="180" t="str">
        <v>APPLIED OPTICS</v>
      </c>
      <c r="C148" s="328" t="str">
        <v>Andam-Akorful Samuel Ato</v>
      </c>
      <c r="D148" s="180" t="s">
        <v>10</v>
      </c>
      <c r="E148" s="106">
        <v>100</v>
      </c>
      <c r="F148" s="329" t="s">
        <v>2230</v>
      </c>
      <c r="G148" s="107">
        <f>E148*1.1</f>
        <v>110</v>
      </c>
      <c r="H148" s="353" t="s">
        <v>2236</v>
      </c>
      <c r="I148" s="83" t="str">
        <f>_xlfn.CONCAT(A148,",",D148)</f>
        <v>GE 171,ED1-GEOM</v>
      </c>
      <c r="J148" s="81"/>
    </row>
    <row r="149" spans="1:10">
      <c r="A149" s="180" t="s">
        <v>335</v>
      </c>
      <c r="B149" s="180" t="str">
        <v>PETROLEUM ENGINEERING LABORATORY I</v>
      </c>
      <c r="C149" s="122" t="str">
        <v>Adenutsi Caspar Daniel</v>
      </c>
      <c r="D149" s="180" t="s">
        <v>1469</v>
      </c>
      <c r="E149" s="106">
        <v>80</v>
      </c>
      <c r="F149" s="124" t="s">
        <v>1983</v>
      </c>
      <c r="G149" s="107">
        <f>E149*1.1</f>
        <v>88</v>
      </c>
      <c r="H149" s="353" t="s">
        <v>2367</v>
      </c>
      <c r="I149" s="104" t="str">
        <v>PE 355,ED3-PE</v>
      </c>
      <c r="J149" s="81" t="e">
        <f>#N/A</f>
        <v>#N/A</v>
      </c>
    </row>
    <row r="150" spans="1:10">
      <c r="A150" s="180" t="s">
        <v>262</v>
      </c>
      <c r="B150" s="180" t="str">
        <v>MECHANICAL ENGINEERING LAB. I</v>
      </c>
      <c r="C150" s="122" t="str">
        <v>Adam Faisal Wahib</v>
      </c>
      <c r="D150" s="180" t="s">
        <v>43</v>
      </c>
      <c r="E150" s="106">
        <v>155</v>
      </c>
      <c r="F150" s="123" t="s">
        <v>2361</v>
      </c>
      <c r="G150" s="107">
        <f>E150*1.1</f>
        <v>170.5</v>
      </c>
      <c r="H150" s="358" t="s">
        <v>2368</v>
      </c>
      <c r="I150" s="83" t="str">
        <f>_xlfn.CONCAT(A150,",",D150)</f>
        <v>ME 295,ED2-AE</v>
      </c>
      <c r="J150" s="81" t="e">
        <f>#N/A</f>
        <v>#N/A</v>
      </c>
    </row>
    <row r="151" spans="1:10">
      <c r="A151" s="180" t="s">
        <v>262</v>
      </c>
      <c r="B151" s="180" t="str">
        <v>MECHANICAL ENGINEERING LAB. I</v>
      </c>
      <c r="C151" s="123" t="str">
        <v>David Kofi Oppong</v>
      </c>
      <c r="D151" s="180" t="s">
        <v>80</v>
      </c>
      <c r="E151" s="106">
        <v>75</v>
      </c>
      <c r="F151" s="124" t="s">
        <v>2341</v>
      </c>
      <c r="G151" s="107">
        <f>E151*1.1</f>
        <v>82.5</v>
      </c>
      <c r="H151" s="358" t="s">
        <v>2369</v>
      </c>
      <c r="I151" s="83" t="str">
        <f>_xlfn.CONCAT(A151,",",D151)</f>
        <v>ME 295,ED2-AERO</v>
      </c>
      <c r="J151" s="81" t="e">
        <f>#N/A</f>
        <v>#N/A</v>
      </c>
    </row>
    <row r="152" spans="1:10" s="112" customFormat="1">
      <c r="A152" s="112" t="s">
        <v>261</v>
      </c>
      <c r="B152" s="112" t="str">
        <v>CHEMICAL ENGINEERING LABORATORY II</v>
      </c>
      <c r="C152" s="176" t="str">
        <v>Bonsu Jude Kwaku</v>
      </c>
      <c r="D152" s="112" t="s">
        <v>78</v>
      </c>
      <c r="E152" s="112">
        <v>114</v>
      </c>
      <c r="F152" s="176" t="s">
        <v>2362</v>
      </c>
      <c r="G152" s="113">
        <f>E152*1.1</f>
        <v>125.4</v>
      </c>
      <c r="H152" s="354" t="s">
        <v>2065</v>
      </c>
      <c r="I152" s="112" t="str">
        <f>_xlfn.CONCAT(A152,",",D152)</f>
        <v>CHE 457,ED4-CHE</v>
      </c>
      <c r="J152" s="112">
        <v>38</v>
      </c>
    </row>
    <row r="153" spans="1:10">
      <c r="A153" s="180" t="s">
        <v>200</v>
      </c>
      <c r="B153" s="180" t="str">
        <v>MECHATRONICS</v>
      </c>
      <c r="C153" s="330" t="str">
        <v>Sackey Samuel Mensah</v>
      </c>
      <c r="D153" s="180" t="s">
        <v>15</v>
      </c>
      <c r="E153" s="106">
        <v>140</v>
      </c>
      <c r="F153" s="329" t="s">
        <v>2204</v>
      </c>
      <c r="G153" s="107">
        <f>E153*1.1</f>
        <v>154</v>
      </c>
      <c r="H153" s="353" t="s">
        <v>2336</v>
      </c>
      <c r="I153" s="83" t="str">
        <f>_xlfn.CONCAT(A153,",",D153)</f>
        <v>ME 483,ED4-ME</v>
      </c>
      <c r="J153" s="81">
        <v>134</v>
      </c>
    </row>
    <row r="154" spans="1:10">
      <c r="A154" s="180" t="s">
        <v>392</v>
      </c>
      <c r="B154" s="180" t="str">
        <v>PETROLEUM ECONOMICS</v>
      </c>
      <c r="C154" s="123" t="str">
        <v>Quaye Jonathan Atuquaye</v>
      </c>
      <c r="D154" s="180" t="s">
        <v>1470</v>
      </c>
      <c r="E154" s="106">
        <v>103</v>
      </c>
      <c r="F154" s="124" t="s">
        <v>2363</v>
      </c>
      <c r="G154" s="107">
        <f>E154*1.1</f>
        <v>113.3</v>
      </c>
      <c r="H154" s="354" t="s">
        <v>2370</v>
      </c>
      <c r="I154" s="104" t="str">
        <f>_xlfn.CONCAT(A154,",",D154)</f>
        <v>PE 451,ED4-PE</v>
      </c>
      <c r="J154" s="81">
        <v>294</v>
      </c>
    </row>
    <row r="155" spans="1:10">
      <c r="A155" s="180" t="s">
        <v>324</v>
      </c>
      <c r="B155" s="180" t="str">
        <v>ENG ECONOMY AND ENTERPRENEURSHIP DEVELOPMENT</v>
      </c>
      <c r="C155" s="177" t="str">
        <v>Appiah-Effah Eugene</v>
      </c>
      <c r="D155" s="180" t="s">
        <v>58</v>
      </c>
      <c r="E155" s="106">
        <v>93</v>
      </c>
      <c r="F155" s="123" t="s">
        <v>2364</v>
      </c>
      <c r="G155" s="107">
        <f>E155*1.1</f>
        <v>102.3</v>
      </c>
      <c r="H155" s="353" t="s">
        <v>2371</v>
      </c>
      <c r="I155" s="104" t="str">
        <v>CE 461,ED4-GEOM</v>
      </c>
      <c r="J155" s="81" t="e">
        <f>#N/A</f>
        <v>#N/A</v>
      </c>
    </row>
    <row ht="15.75" customHeight="1" r="156" spans="1:10">
      <c r="A156" s="105"/>
      <c r="B156" s="105"/>
      <c r="C156" s="109"/>
      <c r="D156" s="180" t="s">
        <v>287</v>
      </c>
      <c r="E156" s="141">
        <f>SUM(E145:E155)</f>
        <v>1344</v>
      </c>
      <c r="F156" s="109"/>
      <c r="G156" s="83"/>
      <c r="H156" s="353"/>
      <c r="I156" s="104" t="e">
        <f>_xlfn.CONCAT(#REF!,",",D156)</f>
        <v>#REF!</v>
      </c>
      <c r="J156" s="81"/>
    </row>
    <row r="157" spans="1:10">
      <c r="A157" s="83"/>
      <c r="B157" s="83"/>
      <c r="C157" s="109"/>
      <c r="D157" s="187"/>
      <c r="E157" s="115"/>
      <c r="F157" s="109"/>
      <c r="G157" s="83"/>
      <c r="H157" s="353"/>
      <c r="J157" s="81"/>
    </row>
    <row r="158" spans="1:10">
      <c r="A158" s="83"/>
      <c r="B158" s="83"/>
      <c r="C158" s="109"/>
      <c r="D158" s="83"/>
      <c r="E158" s="83"/>
      <c r="F158" s="109"/>
      <c r="G158" s="83"/>
      <c r="H158" s="353"/>
      <c r="I158" s="104" t="str">
        <f>_xlfn.CONCAT(A158,",",D158)</f>
        <v>,</v>
      </c>
      <c r="J158" s="81" t="e">
        <f>#N/A</f>
        <v>#N/A</v>
      </c>
    </row>
    <row ht="15.75" customHeight="1" r="159" spans="1:10">
      <c r="A159" s="367" t="s">
        <v>1452</v>
      </c>
      <c r="B159" s="368"/>
      <c r="C159" s="368"/>
      <c r="D159" s="368"/>
      <c r="E159" s="368"/>
      <c r="F159" s="368"/>
      <c r="G159" s="369"/>
      <c r="H159" s="353"/>
      <c r="I159" s="104" t="str">
        <v>Thursday, 9 April 2026,</v>
      </c>
      <c r="J159" s="81"/>
    </row>
    <row ht="15.75" customHeight="1" r="160" spans="1:10">
      <c r="A160" s="367" t="s">
        <v>413</v>
      </c>
      <c r="B160" s="368"/>
      <c r="C160" s="368"/>
      <c r="D160" s="368"/>
      <c r="E160" s="368"/>
      <c r="F160" s="368"/>
      <c r="G160" s="370"/>
      <c r="H160" s="353"/>
      <c r="I160" s="104" t="str">
        <v>Session, 3 (3:00 PM - 5:00 PM),</v>
      </c>
      <c r="J160" s="81"/>
    </row>
    <row ht="15.75" customHeight="1" r="161" spans="1:10">
      <c r="A161" s="188" t="s">
        <v>24</v>
      </c>
      <c r="B161" s="114" t="s">
        <v>25</v>
      </c>
      <c r="C161" s="189" t="s">
        <v>26</v>
      </c>
      <c r="D161" s="114" t="s">
        <v>27</v>
      </c>
      <c r="E161" s="114" t="s">
        <v>266</v>
      </c>
      <c r="F161" s="190" t="s">
        <v>28</v>
      </c>
      <c r="G161" s="114" t="s">
        <v>265</v>
      </c>
      <c r="H161" s="353"/>
      <c r="I161" s="104" t="str">
        <v>CODE ,CLASS</v>
      </c>
      <c r="J161" s="81"/>
    </row>
    <row r="162" spans="1:10" s="136" customFormat="1">
      <c r="A162" s="181" t="s">
        <v>208</v>
      </c>
      <c r="B162" s="181" t="str">
        <f>IFERROR(VLOOKUP(I162:I173,Lecturers!A2:F596,6,FALSE),0)</f>
        <v>APPLICATIONS OF COMPUTER GRAPHICS</v>
      </c>
      <c r="C162" s="338" t="str">
        <f>VLOOKUP(I162:I173,Lecturers!A2:G598,2,FALSE)</f>
        <v>Sackey Michael Nii</v>
      </c>
      <c r="D162" s="181" t="s">
        <v>82</v>
      </c>
      <c r="E162" s="108">
        <f>IFERROR(VLOOKUP(I162:I173,Lecturers!A2:F596,3,FALSE),0)</f>
        <v>242</v>
      </c>
      <c r="F162" s="129" t="s">
        <v>2298</v>
      </c>
      <c r="G162" s="138">
        <f>E162*1.1</f>
        <v>266.2</v>
      </c>
      <c r="H162" s="355" t="s">
        <v>2376</v>
      </c>
      <c r="I162" s="139" t="str">
        <v>ME 259,ED2-ME</v>
      </c>
      <c r="J162" s="81">
        <v>200</v>
      </c>
    </row>
    <row ht="12.75" customHeight="1" r="163" spans="1:10" s="136" customFormat="1">
      <c r="A163" s="181" t="s">
        <v>342</v>
      </c>
      <c r="B163" s="181" t="str">
        <v>MATERIALS CHARACTERIZATION TECHNIQUE</v>
      </c>
      <c r="C163" s="132" t="str">
        <v>Arthur Emmanuel Kwesi</v>
      </c>
      <c r="D163" s="181" t="s">
        <v>110</v>
      </c>
      <c r="E163" s="112">
        <v>87</v>
      </c>
      <c r="F163" s="129" t="s">
        <v>2053</v>
      </c>
      <c r="G163" s="138">
        <f>E163*1.1</f>
        <v>95.7</v>
      </c>
      <c r="H163" s="355" t="s">
        <v>2351</v>
      </c>
      <c r="I163" s="139" t="str">
        <f>_xlfn.CONCAT(A163,",",D163)</f>
        <v>MSE 363,ED3-METE</v>
      </c>
      <c r="J163" s="81">
        <v>143</v>
      </c>
    </row>
    <row r="164" spans="1:10">
      <c r="A164" s="180" t="s">
        <v>342</v>
      </c>
      <c r="B164" s="180" t="str">
        <v>MATERIALS CHARACTERIZATION TECHNIQUE</v>
      </c>
      <c r="C164" s="123" t="str">
        <v>Arthur Emmanuel Kwesi</v>
      </c>
      <c r="D164" s="180" t="s">
        <v>111</v>
      </c>
      <c r="E164" s="106">
        <v>89</v>
      </c>
      <c r="F164" s="124" t="s">
        <v>2116</v>
      </c>
      <c r="G164" s="107">
        <f>E164*1.1</f>
        <v>97.9</v>
      </c>
      <c r="H164" s="353" t="s">
        <v>2377</v>
      </c>
      <c r="I164" s="104" t="str">
        <v>MSE 363,ED3-MSE</v>
      </c>
      <c r="J164" s="81">
        <v>148</v>
      </c>
    </row>
    <row r="165" spans="1:10">
      <c r="A165" s="180" t="s">
        <v>148</v>
      </c>
      <c r="B165" s="180" t="str">
        <v>EXPLORATION GEOCHEMISTRY</v>
      </c>
      <c r="C165" s="126" t="str">
        <v>Gawu Simon Kafui Yawo</v>
      </c>
      <c r="D165" s="180" t="s">
        <v>22</v>
      </c>
      <c r="E165" s="106">
        <v>95</v>
      </c>
      <c r="F165" s="123" t="s">
        <v>2060</v>
      </c>
      <c r="G165" s="107">
        <f>E165*1.1</f>
        <v>104.5</v>
      </c>
      <c r="H165" s="353" t="s">
        <v>2378</v>
      </c>
      <c r="I165" s="104" t="str">
        <f>_xlfn.CONCAT(A165,",",D165)</f>
        <v>GED 459,ED4-GEOL</v>
      </c>
      <c r="J165" s="81">
        <v>250</v>
      </c>
    </row>
    <row r="166" spans="1:10">
      <c r="A166" s="180" t="s">
        <v>324</v>
      </c>
      <c r="B166" s="180" t="str">
        <v>ENGINEERING ECONOMY AND ENTERPRENEURSHIP</v>
      </c>
      <c r="C166" s="123" t="str">
        <v>Appiah-Effah Eugene</v>
      </c>
      <c r="D166" s="180" t="s">
        <v>19</v>
      </c>
      <c r="E166" s="106">
        <v>230</v>
      </c>
      <c r="F166" s="123" t="s">
        <v>2372</v>
      </c>
      <c r="G166" s="107">
        <f>E166*1.1</f>
        <v>253</v>
      </c>
      <c r="H166" s="353" t="s">
        <v>2379</v>
      </c>
      <c r="I166" s="104" t="str">
        <v>CE 461,ED4-CE</v>
      </c>
      <c r="J166" s="81">
        <v>170</v>
      </c>
    </row>
    <row r="167" spans="1:10">
      <c r="A167" s="180" t="s">
        <v>38</v>
      </c>
      <c r="B167" s="180" t="str">
        <v>FLUID TRANSPORT</v>
      </c>
      <c r="C167" s="123" t="str">
        <v>Momade Zsuzsanna Gál</v>
      </c>
      <c r="D167" s="180" t="s">
        <v>39</v>
      </c>
      <c r="E167" s="106">
        <v>157</v>
      </c>
      <c r="F167" s="175" t="s">
        <v>2373</v>
      </c>
      <c r="G167" s="107">
        <f>E167*1.1</f>
        <v>172.7</v>
      </c>
      <c r="H167" s="354" t="s">
        <v>2380</v>
      </c>
      <c r="I167" s="104" t="str">
        <f>_xlfn.CONCAT(A167,",",D167)</f>
        <v>CHE 255,ED2-CHE</v>
      </c>
      <c r="J167" s="81">
        <v>153</v>
      </c>
    </row>
    <row r="168" spans="1:10">
      <c r="A168" s="180" t="s">
        <v>38</v>
      </c>
      <c r="B168" s="180" t="str">
        <v>FLUID TRANSPORT</v>
      </c>
      <c r="C168" s="123" t="str">
        <v>Dogbe Eunice Sefakor Aku</v>
      </c>
      <c r="D168" s="180" t="s">
        <v>40</v>
      </c>
      <c r="E168" s="106">
        <v>67</v>
      </c>
      <c r="F168" s="175" t="s">
        <v>2141</v>
      </c>
      <c r="G168" s="107">
        <f>E168*1.1</f>
        <v>73.7</v>
      </c>
      <c r="H168" s="354" t="s">
        <v>2381</v>
      </c>
      <c r="I168" s="104" t="str">
        <f>_xlfn.CONCAT(A168,",",D168)</f>
        <v>CHE 255,ED2-PCE</v>
      </c>
      <c r="J168" s="81">
        <v>128</v>
      </c>
    </row>
    <row r="169" spans="1:10">
      <c r="A169" s="83" t="s">
        <v>354</v>
      </c>
      <c r="B169" s="91" t="str">
        <v>MARINE MACHINERY SYSTEM DESIGN</v>
      </c>
      <c r="C169" s="122" t="str">
        <v>Sackey Michael Nii</v>
      </c>
      <c r="D169" s="83" t="s">
        <v>116</v>
      </c>
      <c r="E169" s="106">
        <v>23</v>
      </c>
      <c r="F169" s="124" t="s">
        <v>381</v>
      </c>
      <c r="G169" s="107">
        <f>E169*1.1</f>
        <v>25.3</v>
      </c>
      <c r="H169" s="353">
        <v>23</v>
      </c>
      <c r="I169" s="104" t="str">
        <f>_xlfn.CONCAT(A169,",",D169)</f>
        <v>MME 473,ED4-MARI</v>
      </c>
      <c r="J169" s="81">
        <v>23</v>
      </c>
    </row>
    <row r="170" spans="1:10">
      <c r="A170" s="180" t="s">
        <v>1476</v>
      </c>
      <c r="B170" s="180" t="str">
        <v>EMERGING TRENDS IN COMMUNICATION</v>
      </c>
      <c r="C170" s="123" t="str">
        <v>Kponyo Jerry John</v>
      </c>
      <c r="D170" s="180" t="s">
        <v>117</v>
      </c>
      <c r="E170" s="106">
        <v>140</v>
      </c>
      <c r="F170" s="124" t="s">
        <v>2045</v>
      </c>
      <c r="G170" s="107">
        <f>E170*1.1</f>
        <v>154</v>
      </c>
      <c r="H170" s="353" t="s">
        <v>2018</v>
      </c>
      <c r="I170" s="104" t="str">
        <f>_xlfn.CONCAT(A170,",",D170)</f>
        <v>TE 457,ED4-TEL</v>
      </c>
      <c r="J170" s="81">
        <v>33</v>
      </c>
    </row>
    <row r="171" spans="1:10">
      <c r="A171" s="180" t="s">
        <v>344</v>
      </c>
      <c r="B171" s="180" t="str">
        <v>RISK ANALYSIS</v>
      </c>
      <c r="C171" s="123" t="str">
        <v>Asiedu Charlotte</v>
      </c>
      <c r="D171" s="180" t="s">
        <v>115</v>
      </c>
      <c r="E171" s="106">
        <v>67</v>
      </c>
      <c r="F171" s="124" t="s">
        <v>2374</v>
      </c>
      <c r="G171" s="107">
        <f>E171*1.1</f>
        <v>73.7</v>
      </c>
      <c r="H171" s="353" t="s">
        <v>2382</v>
      </c>
      <c r="I171" s="104" t="str">
        <f>_xlfn.CONCAT(A171,",",D171)</f>
        <v>IE 459,ED4-IND</v>
      </c>
      <c r="J171" s="81">
        <v>33</v>
      </c>
    </row>
    <row r="172" spans="1:10">
      <c r="A172" s="180" t="s">
        <v>63</v>
      </c>
      <c r="B172" s="180" t="str">
        <v>CORROSION OF ENGINEERING MATERIALS</v>
      </c>
      <c r="C172" s="123" t="str">
        <v>Andrews Anthony</v>
      </c>
      <c r="D172" s="180" t="s">
        <v>64</v>
      </c>
      <c r="E172" s="106">
        <v>64</v>
      </c>
      <c r="F172" s="124" t="s">
        <v>2375</v>
      </c>
      <c r="G172" s="107">
        <f>E172*1.1</f>
        <v>70.4</v>
      </c>
      <c r="H172" s="353" t="s">
        <v>2383</v>
      </c>
      <c r="I172" s="104" t="str">
        <v>MSE 453,ED4-MSE</v>
      </c>
      <c r="J172" s="81">
        <v>119</v>
      </c>
    </row>
    <row r="173" spans="1:10">
      <c r="A173" s="180" t="s">
        <v>61</v>
      </c>
      <c r="B173" s="180" t="str">
        <v>CORROSION OF ENGINEERING MATERIALS</v>
      </c>
      <c r="C173" s="123" t="str">
        <v>Andrews Anthony</v>
      </c>
      <c r="D173" s="180" t="s">
        <v>62</v>
      </c>
      <c r="E173" s="106">
        <v>53</v>
      </c>
      <c r="F173" s="124" t="s">
        <v>381</v>
      </c>
      <c r="G173" s="107">
        <f>E173*1.1</f>
        <v>58.3</v>
      </c>
      <c r="H173" s="353">
        <v>53</v>
      </c>
      <c r="I173" s="104" t="str">
        <v>METE 457,ED4-METE</v>
      </c>
      <c r="J173" s="81">
        <v>104</v>
      </c>
    </row>
    <row ht="15.75" customHeight="1" r="174" spans="1:10">
      <c r="A174" s="83"/>
      <c r="B174" s="83"/>
      <c r="C174" s="109"/>
      <c r="D174" s="180" t="s">
        <v>287</v>
      </c>
      <c r="E174" s="141">
        <f>SUM(E162:E173)</f>
        <v>1314</v>
      </c>
      <c r="F174" s="109"/>
      <c r="G174" s="83"/>
      <c r="H174" s="353"/>
      <c r="I174" s="104" t="str">
        <v>,Total F1-3</v>
      </c>
      <c r="J174" s="81"/>
    </row>
    <row r="175" spans="1:10">
      <c r="A175" s="83"/>
      <c r="B175" s="83"/>
      <c r="C175" s="109"/>
      <c r="D175" s="83"/>
      <c r="E175" s="83"/>
      <c r="F175" s="109"/>
      <c r="G175" s="83"/>
      <c r="H175" s="353"/>
      <c r="I175" s="104" t="str">
        <v>,</v>
      </c>
      <c r="J175" s="81" t="e">
        <f>#N/A</f>
        <v>#N/A</v>
      </c>
    </row>
    <row r="176" spans="1:10">
      <c r="A176" s="83"/>
      <c r="B176" s="83"/>
      <c r="C176" s="109"/>
      <c r="D176" s="83"/>
      <c r="E176" s="83"/>
      <c r="F176" s="109"/>
      <c r="G176" s="83"/>
      <c r="H176" s="353"/>
      <c r="J176" s="81"/>
    </row>
    <row r="177" spans="1:10">
      <c r="A177" s="364" t="s">
        <v>1453</v>
      </c>
      <c r="B177" s="365"/>
      <c r="C177" s="365"/>
      <c r="D177" s="365"/>
      <c r="E177" s="365"/>
      <c r="F177" s="365"/>
      <c r="G177" s="366"/>
      <c r="H177" s="353"/>
      <c r="I177" s="104" t="str">
        <v>Friday, 10 April 2026,</v>
      </c>
      <c r="J177" s="81" t="e">
        <f>#N/A</f>
        <v>#N/A</v>
      </c>
    </row>
    <row r="178" spans="1:10">
      <c r="A178" s="364" t="s">
        <v>411</v>
      </c>
      <c r="B178" s="365"/>
      <c r="C178" s="365"/>
      <c r="D178" s="365"/>
      <c r="E178" s="365"/>
      <c r="F178" s="365"/>
      <c r="G178" s="366"/>
      <c r="H178" s="353"/>
      <c r="I178" s="104" t="str">
        <v>Session, 1 (8:30 AM - 10:30 AM),</v>
      </c>
      <c r="J178" s="81" t="e">
        <f>#N/A</f>
        <v>#N/A</v>
      </c>
    </row>
    <row r="179" spans="1:10">
      <c r="A179" s="116" t="s">
        <v>24</v>
      </c>
      <c r="B179" s="116" t="s">
        <v>25</v>
      </c>
      <c r="C179" s="192" t="s">
        <v>26</v>
      </c>
      <c r="D179" s="116" t="s">
        <v>27</v>
      </c>
      <c r="E179" s="116" t="s">
        <v>266</v>
      </c>
      <c r="F179" s="183" t="s">
        <v>28</v>
      </c>
      <c r="G179" s="116" t="s">
        <v>265</v>
      </c>
      <c r="H179" s="353"/>
      <c r="I179" s="104" t="str">
        <v>CODE ,CLASS</v>
      </c>
      <c r="J179" s="81" t="e">
        <f>#N/A</f>
        <v>#N/A</v>
      </c>
    </row>
    <row r="180" spans="1:10">
      <c r="A180" s="180" t="s">
        <v>65</v>
      </c>
      <c r="B180" s="180" t="str">
        <f>IFERROR(VLOOKUP(I180:I199,Lecturers!A2:F596,6,FALSE),0)</f>
        <v>ALGEBRA</v>
      </c>
      <c r="C180" s="443" t="str">
        <f>IFERROR(VLOOKUP(I180:I199,Lecturers!A2:F596,2,FALSE),0)</f>
        <v>Fosu Gabriel Obed</v>
      </c>
      <c r="D180" s="180" t="s">
        <v>5</v>
      </c>
      <c r="E180" s="106">
        <f>IFERROR(VLOOKUP(I180:I199,Lecturers!A2:F596,3,FALSE),0)</f>
        <v>46</v>
      </c>
      <c r="F180" s="444" t="s">
        <v>1814</v>
      </c>
      <c r="G180" s="107">
        <f>E180*1.1</f>
        <v>50.6</v>
      </c>
      <c r="H180" s="353"/>
      <c r="I180" s="104" t="str">
        <v>MATH 151,ED1-MARI</v>
      </c>
      <c r="J180" s="81">
        <v>30</v>
      </c>
    </row>
    <row r="181" spans="1:10">
      <c r="A181" s="180" t="s">
        <v>65</v>
      </c>
      <c r="B181" s="180" t="str">
        <v>ALGEBRA</v>
      </c>
      <c r="C181" s="125" t="str">
        <v>Fosu Gabriel Obed</v>
      </c>
      <c r="D181" s="180" t="s">
        <v>3</v>
      </c>
      <c r="E181" s="106">
        <v>83</v>
      </c>
      <c r="F181" s="445"/>
      <c r="G181" s="107">
        <f>E181*1.1</f>
        <v>91.3</v>
      </c>
      <c r="H181" s="353"/>
      <c r="I181" s="104" t="str">
        <f>_xlfn.CONCAT(A181,",",D181)</f>
        <v>MATH 151,ED1-IND</v>
      </c>
      <c r="J181" s="81">
        <v>69</v>
      </c>
    </row>
    <row r="182" spans="1:10">
      <c r="A182" s="180" t="s">
        <v>65</v>
      </c>
      <c r="B182" s="180" t="str">
        <v>ALGEBRA</v>
      </c>
      <c r="C182" s="125" t="str">
        <v>Fosu Gabriel Obed</v>
      </c>
      <c r="D182" s="180" t="s">
        <v>1</v>
      </c>
      <c r="E182" s="106">
        <v>70</v>
      </c>
      <c r="F182" s="445"/>
      <c r="G182" s="107">
        <f>E182*1.1</f>
        <v>77</v>
      </c>
      <c r="H182" s="353"/>
      <c r="I182" s="104" t="str">
        <v>MATH 151,ED1-AERO</v>
      </c>
      <c r="J182" s="81">
        <v>72</v>
      </c>
    </row>
    <row r="183" spans="1:10">
      <c r="A183" s="180" t="s">
        <v>65</v>
      </c>
      <c r="B183" s="180" t="str">
        <v>ALGEBRA</v>
      </c>
      <c r="C183" s="125" t="str">
        <v>Fosu Gabriel Obed</v>
      </c>
      <c r="D183" s="180" t="s">
        <v>35</v>
      </c>
      <c r="E183" s="106">
        <v>100</v>
      </c>
      <c r="F183" s="445"/>
      <c r="G183" s="107">
        <f>E183*1.1</f>
        <v>110</v>
      </c>
      <c r="H183" s="353"/>
      <c r="I183" s="104" t="str">
        <v>MATH 151,ED1-MSE</v>
      </c>
      <c r="J183" s="81">
        <v>69</v>
      </c>
    </row>
    <row r="184" spans="1:10">
      <c r="A184" s="180" t="s">
        <v>65</v>
      </c>
      <c r="B184" s="180" t="str">
        <v>ALGEBRA</v>
      </c>
      <c r="C184" s="125" t="str">
        <v>Fosu Gabriel Obed</v>
      </c>
      <c r="D184" s="180" t="s">
        <v>11</v>
      </c>
      <c r="E184" s="106">
        <v>75</v>
      </c>
      <c r="F184" s="445"/>
      <c r="G184" s="107">
        <f>E184*1.1</f>
        <v>82.5</v>
      </c>
      <c r="H184" s="353"/>
      <c r="I184" s="104" t="str">
        <v>MATH 151,ED1-METE</v>
      </c>
      <c r="J184" s="81">
        <v>61</v>
      </c>
    </row>
    <row r="185" spans="1:10">
      <c r="A185" s="180" t="s">
        <v>65</v>
      </c>
      <c r="B185" s="180" t="str">
        <v>ALGEBRA</v>
      </c>
      <c r="C185" s="131" t="str">
        <v>Asamoah Joshua Kiddy Kwasi</v>
      </c>
      <c r="D185" s="180" t="s">
        <v>33</v>
      </c>
      <c r="E185" s="106">
        <v>136</v>
      </c>
      <c r="F185" s="445"/>
      <c r="G185" s="107">
        <f>E185*1.1</f>
        <v>149.6</v>
      </c>
      <c r="H185" s="353"/>
      <c r="I185" s="104" t="str">
        <v>MATH 151,ED1-BME</v>
      </c>
      <c r="J185" s="81">
        <v>294</v>
      </c>
    </row>
    <row r="186" spans="1:10">
      <c r="A186" s="180" t="s">
        <v>65</v>
      </c>
      <c r="B186" s="180" t="str">
        <v>ALGEBRA</v>
      </c>
      <c r="C186" s="131" t="str">
        <v>Asamoah Joshua Kiddy Kwasi</v>
      </c>
      <c r="D186" s="180" t="s">
        <v>37</v>
      </c>
      <c r="E186" s="106">
        <v>128</v>
      </c>
      <c r="F186" s="446"/>
      <c r="G186" s="107">
        <f>E186*1.1</f>
        <v>140.8</v>
      </c>
      <c r="H186" s="353"/>
      <c r="I186" s="104" t="str">
        <v>MATH 151,ED1-AE</v>
      </c>
      <c r="J186" s="81">
        <v>291</v>
      </c>
    </row>
    <row r="187" spans="1:10" s="112" customFormat="1">
      <c r="A187" s="112" t="s">
        <v>65</v>
      </c>
      <c r="B187" s="112" t="str">
        <v>ALGEBRA</v>
      </c>
      <c r="C187" s="176" t="str">
        <v>Ayekple Yao Elikem</v>
      </c>
      <c r="D187" s="112" t="s">
        <v>7</v>
      </c>
      <c r="E187" s="112">
        <v>295</v>
      </c>
      <c r="F187" s="175" t="s">
        <v>2384</v>
      </c>
      <c r="G187" s="107">
        <f>E187*1.1</f>
        <v>324.5</v>
      </c>
      <c r="H187" s="354" t="s">
        <v>2388</v>
      </c>
      <c r="I187" s="112" t="str">
        <v>MATH 151,ED1-EE</v>
      </c>
    </row>
    <row r="188" spans="1:10" s="112" customFormat="1">
      <c r="A188" s="112" t="s">
        <v>65</v>
      </c>
      <c r="B188" s="112" t="str">
        <v>ALGEBRA</v>
      </c>
      <c r="C188" s="176" t="str">
        <v>Barnes Benedict</v>
      </c>
      <c r="D188" s="112" t="s">
        <v>8</v>
      </c>
      <c r="E188" s="112">
        <v>120</v>
      </c>
      <c r="F188" s="175" t="s">
        <v>2364</v>
      </c>
      <c r="G188" s="107">
        <f>E188*1.1</f>
        <v>132</v>
      </c>
      <c r="H188" s="354" t="s">
        <v>2389</v>
      </c>
      <c r="I188" s="112" t="str">
        <v>MATH 151,ED1-CHE</v>
      </c>
    </row>
    <row r="189" spans="1:10">
      <c r="A189" s="180" t="s">
        <v>227</v>
      </c>
      <c r="B189" s="180" t="str">
        <v>SEMICONDUCTOR DEVICES</v>
      </c>
      <c r="C189" s="123" t="str">
        <v>Sekyere Yaw Opoku Mensah</v>
      </c>
      <c r="D189" s="180" t="s">
        <v>98</v>
      </c>
      <c r="E189" s="106">
        <v>340</v>
      </c>
      <c r="F189" s="124" t="s">
        <v>2385</v>
      </c>
      <c r="G189" s="107">
        <f>E189*1.1</f>
        <v>374</v>
      </c>
      <c r="H189" s="353" t="s">
        <v>2390</v>
      </c>
      <c r="I189" s="104" t="str">
        <f>_xlfn.CONCAT(A189,",",D189)</f>
        <v>EE 271,ED2-EE</v>
      </c>
      <c r="J189" s="81"/>
    </row>
    <row r="190" spans="1:10">
      <c r="A190" s="180" t="s">
        <v>168</v>
      </c>
      <c r="B190" s="180" t="str">
        <v>ENGINEERING MATERIALS I</v>
      </c>
      <c r="C190" s="317" t="str">
        <v>Boahen Samuel</v>
      </c>
      <c r="D190" s="180" t="s">
        <v>102</v>
      </c>
      <c r="E190" s="117">
        <v>80</v>
      </c>
      <c r="F190" s="122" t="s">
        <v>2386</v>
      </c>
      <c r="G190" s="107">
        <f>E190*1.1</f>
        <v>88</v>
      </c>
      <c r="H190" s="353" t="s">
        <v>2391</v>
      </c>
      <c r="I190" s="104" t="str">
        <v>ME 281,ED2-IND</v>
      </c>
      <c r="J190" s="81">
        <v>129</v>
      </c>
    </row>
    <row r="191" spans="1:10">
      <c r="A191" s="180" t="s">
        <v>168</v>
      </c>
      <c r="B191" s="180" t="str">
        <v>ENGINEERING MATERIALS I</v>
      </c>
      <c r="C191" s="317" t="str">
        <v>Boahen Samuel</v>
      </c>
      <c r="D191" s="180" t="s">
        <v>101</v>
      </c>
      <c r="E191" s="117">
        <v>82</v>
      </c>
      <c r="F191" s="122" t="s">
        <v>2228</v>
      </c>
      <c r="G191" s="107">
        <f>E191*1.1</f>
        <v>90.2</v>
      </c>
      <c r="H191" s="353" t="s">
        <v>2358</v>
      </c>
      <c r="I191" s="104" t="str">
        <v>ME 281,ED2-AUTO</v>
      </c>
      <c r="J191" s="81">
        <v>82</v>
      </c>
    </row>
    <row r="192" spans="1:10">
      <c r="A192" s="180" t="s">
        <v>272</v>
      </c>
      <c r="B192" s="180" t="str">
        <v>MARINE ENGINEERING MATERIALS</v>
      </c>
      <c r="C192" s="317" t="str">
        <v>Boahen Samuel</v>
      </c>
      <c r="D192" s="180" t="s">
        <v>103</v>
      </c>
      <c r="E192" s="106">
        <v>37</v>
      </c>
      <c r="F192" s="123" t="s">
        <v>277</v>
      </c>
      <c r="G192" s="107">
        <f>E192*1.1</f>
        <v>40.7</v>
      </c>
      <c r="H192" s="353" t="s">
        <v>1978</v>
      </c>
      <c r="I192" s="104" t="str">
        <v>MME 281,ED2-MARI</v>
      </c>
      <c r="J192" s="81">
        <v>74</v>
      </c>
    </row>
    <row r="193" spans="1:10">
      <c r="A193" s="180" t="s">
        <v>124</v>
      </c>
      <c r="B193" s="180" t="str">
        <v>MOMENTUM TRANSPORT</v>
      </c>
      <c r="C193" s="132" t="str">
        <v>Adjaottor Albert Amatey</v>
      </c>
      <c r="D193" s="180" t="s">
        <v>104</v>
      </c>
      <c r="E193" s="106">
        <v>80</v>
      </c>
      <c r="F193" s="124" t="s">
        <v>2387</v>
      </c>
      <c r="G193" s="107">
        <f>E193*1.1</f>
        <v>88</v>
      </c>
      <c r="H193" s="353" t="s">
        <v>2391</v>
      </c>
      <c r="I193" s="104" t="str">
        <v>MSE 251,ED2-MSE</v>
      </c>
      <c r="J193" s="81">
        <v>127</v>
      </c>
    </row>
    <row r="194" spans="1:10">
      <c r="A194" s="180" t="s">
        <v>124</v>
      </c>
      <c r="B194" s="180" t="str">
        <v>MOMENTUM TRANSPORT</v>
      </c>
      <c r="C194" s="132" t="str">
        <v>Adjaottor Albert Amatey</v>
      </c>
      <c r="D194" s="180" t="s">
        <v>72</v>
      </c>
      <c r="E194" s="106">
        <v>59</v>
      </c>
      <c r="F194" s="124" t="s">
        <v>2085</v>
      </c>
      <c r="G194" s="107">
        <f>E194*1.1</f>
        <v>64.9</v>
      </c>
      <c r="H194" s="353" t="s">
        <v>2352</v>
      </c>
      <c r="I194" s="104" t="str">
        <v>MSE 251,ED2-METE</v>
      </c>
      <c r="J194" s="81">
        <v>72</v>
      </c>
    </row>
    <row r="195" spans="1:10">
      <c r="A195" s="180" t="s">
        <v>315</v>
      </c>
      <c r="B195" s="180" t="str">
        <v>MARINE ENGINEERING LABORATORY II</v>
      </c>
      <c r="C195" s="131" t="str">
        <v>Sackey Michael Nii</v>
      </c>
      <c r="D195" s="180" t="s">
        <v>109</v>
      </c>
      <c r="E195" s="106">
        <v>40</v>
      </c>
      <c r="F195" s="123" t="s">
        <v>70</v>
      </c>
      <c r="G195" s="107">
        <f>E195*1.1</f>
        <v>44</v>
      </c>
      <c r="H195" s="353" t="s">
        <v>2001</v>
      </c>
      <c r="I195" s="104" t="str">
        <f>_xlfn.CONCAT(A195,",",D195)</f>
        <v>MME 395,ED3-MARI</v>
      </c>
      <c r="J195" s="81" t="e">
        <f>#N/A</f>
        <v>#N/A</v>
      </c>
    </row>
    <row r="196" spans="1:10">
      <c r="A196" s="180" t="s">
        <v>145</v>
      </c>
      <c r="B196" s="180" t="str">
        <v>AIRCRAFT MAINTENANCE ENGINEERING</v>
      </c>
      <c r="C196" s="123" t="str">
        <v>Oppong Tawiah Peter</v>
      </c>
      <c r="D196" s="180" t="s">
        <v>17</v>
      </c>
      <c r="E196" s="106">
        <v>61</v>
      </c>
      <c r="F196" s="124" t="s">
        <v>2076</v>
      </c>
      <c r="G196" s="107">
        <f>E196*1.1</f>
        <v>67.1</v>
      </c>
      <c r="H196" s="353" t="s">
        <v>2392</v>
      </c>
      <c r="I196" s="104" t="str">
        <f>_xlfn.CONCAT(A196,",",D196)</f>
        <v>AERO 495,ED4-AERO</v>
      </c>
      <c r="J196" s="81">
        <v>83</v>
      </c>
    </row>
    <row r="197" spans="1:10" s="130" customFormat="1">
      <c r="A197" s="180" t="s">
        <v>217</v>
      </c>
      <c r="B197" s="180" t="str">
        <v>SILICATE TECHNOLOGY I</v>
      </c>
      <c r="C197" s="122" t="str">
        <v>Momade Zsuzsanna Gál</v>
      </c>
      <c r="D197" s="180" t="s">
        <v>106</v>
      </c>
      <c r="E197" s="112">
        <v>15</v>
      </c>
      <c r="F197" s="123" t="s">
        <v>380</v>
      </c>
      <c r="G197" s="107">
        <f>E197*1.1</f>
        <v>16.5</v>
      </c>
      <c r="H197" s="354">
        <v>15</v>
      </c>
      <c r="I197" s="83" t="str">
        <f>_xlfn.CONCAT(A197,",",D197)</f>
        <v>CHE 361,ED3-CHE</v>
      </c>
      <c r="J197" s="103">
        <v>30</v>
      </c>
    </row>
    <row r="198" spans="1:10">
      <c r="A198" s="180" t="s">
        <v>225</v>
      </c>
      <c r="B198" s="180" t="str">
        <v>IRRIGATION AND DRAINAGE</v>
      </c>
      <c r="C198" s="123" t="str">
        <v>Agodzo Sampson Kwaku</v>
      </c>
      <c r="D198" s="180" t="s">
        <v>41</v>
      </c>
      <c r="E198" s="106">
        <v>103</v>
      </c>
      <c r="F198" s="124" t="s">
        <v>2341</v>
      </c>
      <c r="G198" s="107">
        <f>E198*1.1</f>
        <v>113.3</v>
      </c>
      <c r="H198" s="353" t="s">
        <v>2347</v>
      </c>
      <c r="I198" s="104" t="str">
        <f>_xlfn.CONCAT(A198,",",D198)</f>
        <v>AE 451,ED4-AE</v>
      </c>
      <c r="J198" s="81">
        <v>83</v>
      </c>
    </row>
    <row r="199" spans="1:10">
      <c r="A199" s="180" t="s">
        <v>159</v>
      </c>
      <c r="B199" s="180" t="str">
        <v>PRODUCTION ENGINEERING</v>
      </c>
      <c r="C199" s="132" t="str">
        <v>Obeng George Yaw</v>
      </c>
      <c r="D199" s="180" t="s">
        <v>15</v>
      </c>
      <c r="E199" s="106">
        <v>35</v>
      </c>
      <c r="F199" s="124" t="s">
        <v>277</v>
      </c>
      <c r="G199" s="107">
        <f>E199*1.1</f>
        <v>38.5</v>
      </c>
      <c r="H199" s="353" t="s">
        <v>2313</v>
      </c>
      <c r="I199" s="104" t="str">
        <f>_xlfn.CONCAT(A199,",",D199)</f>
        <v>ME 477,ED4-ME</v>
      </c>
      <c r="J199" s="81">
        <v>151</v>
      </c>
    </row>
    <row ht="15.75" customHeight="1" r="200" spans="1:10">
      <c r="A200" s="83"/>
      <c r="B200" s="83"/>
      <c r="C200" s="109"/>
      <c r="D200" s="180" t="s">
        <v>286</v>
      </c>
      <c r="E200" s="91">
        <f>SUM(E187:E199)</f>
        <v>1347</v>
      </c>
      <c r="F200" s="109"/>
      <c r="G200" s="83"/>
      <c r="H200" s="353"/>
      <c r="I200" s="104" t="str">
        <v>,Total F1-1</v>
      </c>
      <c r="J200" s="81" t="e">
        <f>#N/A</f>
        <v>#N/A</v>
      </c>
    </row>
    <row ht="15.75" customHeight="1" r="201" spans="1:10">
      <c r="A201" s="83"/>
      <c r="B201" s="83"/>
      <c r="C201" s="109"/>
      <c r="D201" s="187"/>
      <c r="E201" s="115"/>
      <c r="F201" s="109"/>
      <c r="G201" s="83"/>
      <c r="H201" s="353"/>
      <c r="I201" s="104" t="str">
        <v>,</v>
      </c>
      <c r="J201" s="81"/>
    </row>
    <row ht="15.75" customHeight="1" r="202" spans="1:10">
      <c r="A202" s="83"/>
      <c r="B202" s="83"/>
      <c r="C202" s="109"/>
      <c r="D202" s="187"/>
      <c r="E202" s="115"/>
      <c r="F202" s="109"/>
      <c r="G202" s="83"/>
      <c r="H202" s="353"/>
      <c r="I202" s="104" t="str">
        <v>,</v>
      </c>
      <c r="J202" s="81"/>
    </row>
    <row r="203" spans="1:10">
      <c r="A203" s="83"/>
      <c r="B203" s="83"/>
      <c r="C203" s="109"/>
      <c r="D203" s="83"/>
      <c r="E203" s="83"/>
      <c r="F203" s="109"/>
      <c r="G203" s="83"/>
      <c r="H203" s="353"/>
      <c r="I203" s="104" t="str">
        <v>,</v>
      </c>
      <c r="J203" s="81" t="e">
        <f>#N/A</f>
        <v>#N/A</v>
      </c>
    </row>
    <row ht="15.75" customHeight="1" r="204" spans="1:10">
      <c r="A204" s="364" t="s">
        <v>1453</v>
      </c>
      <c r="B204" s="365"/>
      <c r="C204" s="365"/>
      <c r="D204" s="365"/>
      <c r="E204" s="365"/>
      <c r="F204" s="365"/>
      <c r="G204" s="366"/>
      <c r="H204" s="353"/>
      <c r="I204" s="104" t="str">
        <v>Friday, 10 April 2026,</v>
      </c>
      <c r="J204" s="81"/>
    </row>
    <row ht="15.75" customHeight="1" r="205" spans="1:10">
      <c r="A205" s="364" t="s">
        <v>412</v>
      </c>
      <c r="B205" s="365"/>
      <c r="C205" s="365"/>
      <c r="D205" s="365"/>
      <c r="E205" s="365"/>
      <c r="F205" s="365"/>
      <c r="G205" s="366"/>
      <c r="H205" s="353"/>
      <c r="I205" s="104" t="str">
        <v>Session, 2 (12:00 PM - 2:00 PM),</v>
      </c>
      <c r="J205" s="81"/>
    </row>
    <row ht="15.75" customHeight="1" r="206" spans="1:10">
      <c r="A206" s="188" t="s">
        <v>24</v>
      </c>
      <c r="B206" s="114" t="s">
        <v>25</v>
      </c>
      <c r="C206" s="189" t="s">
        <v>26</v>
      </c>
      <c r="D206" s="114" t="s">
        <v>27</v>
      </c>
      <c r="E206" s="114" t="s">
        <v>266</v>
      </c>
      <c r="F206" s="190" t="s">
        <v>28</v>
      </c>
      <c r="G206" s="114" t="s">
        <v>265</v>
      </c>
      <c r="H206" s="353"/>
      <c r="I206" s="104" t="str">
        <v>CODE ,CLASS</v>
      </c>
      <c r="J206" s="81"/>
    </row>
    <row r="207" spans="1:10" s="136" customFormat="1">
      <c r="A207" s="181" t="s">
        <v>65</v>
      </c>
      <c r="B207" s="181" t="str">
        <f>VLOOKUP(I207:I215,Lecturers!A2:G598,6,FALSE)</f>
        <v>ALGEBRA</v>
      </c>
      <c r="C207" s="126" t="str">
        <f>VLOOKUP(I207:I215,Lecturers!A2:G598,2,FALSE)</f>
        <v>Asamoah Joshua Kiddy Kwasi</v>
      </c>
      <c r="D207" s="181" t="s">
        <v>9</v>
      </c>
      <c r="E207" s="108">
        <f>IFERROR(VLOOKUP(I207:I215,Lecturers!A2:F596,3,FALSE),0)</f>
        <v>226</v>
      </c>
      <c r="F207" s="132" t="s">
        <v>2298</v>
      </c>
      <c r="G207" s="138">
        <f>E207*1.1</f>
        <v>248.6</v>
      </c>
      <c r="H207" s="355" t="s">
        <v>2137</v>
      </c>
      <c r="I207" s="139" t="str">
        <v>MATH 151,ED1-ME</v>
      </c>
      <c r="J207" s="81">
        <v>143</v>
      </c>
    </row>
    <row r="208" spans="1:10">
      <c r="A208" s="180" t="s">
        <v>65</v>
      </c>
      <c r="B208" s="180" t="str">
        <v>ALGEBRA</v>
      </c>
      <c r="C208" s="131" t="str">
        <v>Isaac Azure</v>
      </c>
      <c r="D208" s="180" t="s">
        <v>30</v>
      </c>
      <c r="E208" s="106">
        <v>56</v>
      </c>
      <c r="F208" s="447" t="s">
        <v>2311</v>
      </c>
      <c r="G208" s="107">
        <f>E208*1.1</f>
        <v>61.6</v>
      </c>
      <c r="H208" s="353" t="s">
        <v>2393</v>
      </c>
      <c r="I208" s="104" t="str">
        <f>_xlfn.CONCAT(A208,",",D208)</f>
        <v>MATH 151,ED1-PCE</v>
      </c>
      <c r="J208" s="81">
        <v>124</v>
      </c>
    </row>
    <row r="209" spans="1:12">
      <c r="A209" s="180" t="s">
        <v>65</v>
      </c>
      <c r="B209" s="180" t="str">
        <v>ALGEBRA</v>
      </c>
      <c r="C209" s="131" t="str">
        <v>Azure Isaac</v>
      </c>
      <c r="D209" s="180" t="s">
        <v>2</v>
      </c>
      <c r="E209" s="106">
        <v>85</v>
      </c>
      <c r="F209" s="447" t="s">
        <v>2230</v>
      </c>
      <c r="G209" s="107">
        <f>E209*1.1</f>
        <v>93.5</v>
      </c>
      <c r="H209" s="353" t="s">
        <v>2394</v>
      </c>
      <c r="I209" s="104" t="str">
        <v>MATH 151,ED1-AUTO</v>
      </c>
      <c r="J209" s="81">
        <v>92</v>
      </c>
    </row>
    <row r="210" spans="1:12">
      <c r="A210" s="180" t="s">
        <v>65</v>
      </c>
      <c r="B210" s="180" t="str">
        <v>ALGEBRA</v>
      </c>
      <c r="C210" s="131" t="str">
        <v>Ezearn Jeffery</v>
      </c>
      <c r="D210" s="181" t="s">
        <v>36</v>
      </c>
      <c r="E210" s="106">
        <v>245</v>
      </c>
      <c r="F210" s="447" t="s">
        <v>2152</v>
      </c>
      <c r="G210" s="107">
        <f>E210*1.1</f>
        <v>269.5</v>
      </c>
      <c r="H210" s="353" t="s">
        <v>2156</v>
      </c>
      <c r="I210" s="104" t="str">
        <v>MATH 151,ED1-CE</v>
      </c>
      <c r="J210" s="81">
        <v>250</v>
      </c>
    </row>
    <row r="211" spans="1:12">
      <c r="A211" s="180" t="s">
        <v>65</v>
      </c>
      <c r="B211" s="180" t="str">
        <v>ALGEBRA</v>
      </c>
      <c r="C211" s="131" t="str">
        <v>Ezearn Jeffery</v>
      </c>
      <c r="D211" s="180" t="s">
        <v>32</v>
      </c>
      <c r="E211" s="106">
        <v>262</v>
      </c>
      <c r="F211" s="122" t="s">
        <v>2312</v>
      </c>
      <c r="G211" s="107">
        <f>E211*1.1</f>
        <v>288.2</v>
      </c>
      <c r="H211" s="353" t="s">
        <v>2395</v>
      </c>
      <c r="I211" s="104" t="str">
        <v>MATH 151,ED1-COE</v>
      </c>
      <c r="J211" s="81">
        <v>185</v>
      </c>
    </row>
    <row r="212" spans="1:12">
      <c r="A212" s="180" t="s">
        <v>65</v>
      </c>
      <c r="B212" s="180" t="str">
        <v>ALGEBRA</v>
      </c>
      <c r="C212" s="131" t="str">
        <v>Adu-Ansah Lawton</v>
      </c>
      <c r="D212" s="180" t="s">
        <v>31</v>
      </c>
      <c r="E212" s="106">
        <v>130</v>
      </c>
      <c r="F212" s="122" t="s">
        <v>1992</v>
      </c>
      <c r="G212" s="107">
        <f>E212*1.1</f>
        <v>143</v>
      </c>
      <c r="H212" s="353" t="s">
        <v>1991</v>
      </c>
      <c r="I212" s="104" t="str">
        <v>MATH 151,ED1-TEL</v>
      </c>
      <c r="J212" s="81">
        <v>102</v>
      </c>
    </row>
    <row r="213" spans="1:12">
      <c r="A213" s="180" t="s">
        <v>65</v>
      </c>
      <c r="B213" s="180" t="str">
        <v>ALGEBRA</v>
      </c>
      <c r="C213" s="123" t="str">
        <v>Azure Isaac</v>
      </c>
      <c r="D213" s="180" t="s">
        <v>10</v>
      </c>
      <c r="E213" s="106">
        <v>100</v>
      </c>
      <c r="F213" s="124" t="s">
        <v>2362</v>
      </c>
      <c r="G213" s="107">
        <f>E213*1.1</f>
        <v>110</v>
      </c>
      <c r="H213" s="354" t="s">
        <v>2396</v>
      </c>
      <c r="I213" s="104" t="str">
        <f>_xlfn.CONCAT(A213,",",D213)</f>
        <v>MATH 151,ED1-GEOM</v>
      </c>
      <c r="J213" s="339">
        <v>86</v>
      </c>
    </row>
    <row r="214" spans="1:12">
      <c r="A214" s="180" t="s">
        <v>65</v>
      </c>
      <c r="B214" s="180" t="str">
        <v>ALGEBRA</v>
      </c>
      <c r="C214" s="131" t="str">
        <v>Kwabi Prince Amponsah</v>
      </c>
      <c r="D214" s="180" t="s">
        <v>1467</v>
      </c>
      <c r="E214" s="106">
        <v>130</v>
      </c>
      <c r="F214" s="122" t="s">
        <v>2286</v>
      </c>
      <c r="G214" s="107">
        <f>E214*1.1</f>
        <v>143</v>
      </c>
      <c r="H214" s="353" t="s">
        <v>2397</v>
      </c>
      <c r="I214" s="104" t="str">
        <v>MATH 151,ED1-PE</v>
      </c>
      <c r="J214" s="81"/>
    </row>
    <row r="215" spans="1:12">
      <c r="A215" s="180" t="s">
        <v>65</v>
      </c>
      <c r="B215" s="180" t="str">
        <v>ALGEBRA</v>
      </c>
      <c r="C215" s="123" t="str">
        <v>Kwabi Prince Amponsah</v>
      </c>
      <c r="D215" s="180" t="s">
        <v>6</v>
      </c>
      <c r="E215" s="106">
        <v>130</v>
      </c>
      <c r="F215" s="124" t="s">
        <v>2045</v>
      </c>
      <c r="G215" s="107">
        <f>E215*1.1</f>
        <v>143</v>
      </c>
      <c r="H215" s="354" t="s">
        <v>2317</v>
      </c>
      <c r="I215" s="104" t="str">
        <f>_xlfn.CONCAT(A215,",",D215)</f>
        <v>MATH 151,ED1-GEOL</v>
      </c>
      <c r="J215" s="339">
        <v>86</v>
      </c>
    </row>
    <row ht="15.75" customHeight="1" r="216" spans="1:12">
      <c r="A216" s="83"/>
      <c r="B216" s="83"/>
      <c r="C216" s="109"/>
      <c r="D216" s="180" t="s">
        <v>287</v>
      </c>
      <c r="E216" s="112">
        <f>SUM(E207:E215)</f>
        <v>1364</v>
      </c>
      <c r="F216" s="109"/>
      <c r="G216" s="83"/>
      <c r="H216" s="353"/>
      <c r="I216" s="104" t="str">
        <f>_xlfn.CONCAT(A216,",",D216)</f>
        <v>,Total F1-3</v>
      </c>
      <c r="J216" s="81"/>
    </row>
    <row r="217" spans="1:12">
      <c r="A217" s="83"/>
      <c r="B217" s="83"/>
      <c r="C217" s="109"/>
      <c r="D217" s="83"/>
      <c r="E217" s="83"/>
      <c r="F217" s="109"/>
      <c r="G217" s="83"/>
      <c r="H217" s="353"/>
      <c r="I217" s="104" t="str">
        <v>,</v>
      </c>
      <c r="J217" s="81" t="e">
        <f>#N/A</f>
        <v>#N/A</v>
      </c>
    </row>
    <row r="218" spans="1:12">
      <c r="A218" s="135"/>
      <c r="B218" s="135"/>
      <c r="C218" s="193"/>
      <c r="D218" s="135"/>
      <c r="E218" s="135"/>
      <c r="F218" s="193"/>
      <c r="G218" s="135"/>
      <c r="H218" s="353"/>
      <c r="I218" s="104" t="str">
        <v>,</v>
      </c>
      <c r="J218" s="118"/>
      <c r="K218" s="118"/>
      <c r="L218" s="118"/>
    </row>
    <row r="219" spans="1:12">
      <c r="A219" s="135"/>
      <c r="B219" s="135"/>
      <c r="C219" s="193"/>
      <c r="D219" s="135"/>
      <c r="E219" s="135"/>
      <c r="F219" s="193"/>
      <c r="G219" s="135"/>
      <c r="H219" s="353"/>
      <c r="I219" s="104" t="str">
        <v>,</v>
      </c>
      <c r="J219" s="118"/>
      <c r="K219" s="118"/>
      <c r="L219" s="118"/>
    </row>
    <row r="220" spans="1:12">
      <c r="A220" s="83"/>
      <c r="B220" s="83"/>
      <c r="C220" s="109"/>
      <c r="D220" s="83"/>
      <c r="E220" s="83"/>
      <c r="F220" s="109"/>
      <c r="G220" s="83"/>
      <c r="H220" s="353"/>
      <c r="I220" s="104" t="str">
        <v>,</v>
      </c>
      <c r="J220" s="81" t="e">
        <f>#N/A</f>
        <v>#N/A</v>
      </c>
    </row>
    <row ht="15.75" customHeight="1" r="221" spans="1:12">
      <c r="A221" s="364" t="s">
        <v>1453</v>
      </c>
      <c r="B221" s="365"/>
      <c r="C221" s="365"/>
      <c r="D221" s="365"/>
      <c r="E221" s="365"/>
      <c r="F221" s="365"/>
      <c r="G221" s="366"/>
      <c r="H221" s="353"/>
      <c r="I221" s="104" t="str">
        <v>Friday, 10 April 2026,</v>
      </c>
      <c r="J221" s="81"/>
    </row>
    <row ht="15.75" customHeight="1" r="222" spans="1:12">
      <c r="A222" s="364" t="s">
        <v>413</v>
      </c>
      <c r="B222" s="365"/>
      <c r="C222" s="365"/>
      <c r="D222" s="365"/>
      <c r="E222" s="365"/>
      <c r="F222" s="365"/>
      <c r="G222" s="366"/>
      <c r="H222" s="353"/>
      <c r="I222" s="104" t="str">
        <v>Session, 3 (3:00 PM - 5:00 PM),</v>
      </c>
      <c r="J222" s="81"/>
    </row>
    <row ht="15.75" customHeight="1" r="223" spans="1:12">
      <c r="A223" s="188" t="s">
        <v>24</v>
      </c>
      <c r="B223" s="114" t="s">
        <v>25</v>
      </c>
      <c r="C223" s="189" t="s">
        <v>26</v>
      </c>
      <c r="D223" s="114" t="s">
        <v>27</v>
      </c>
      <c r="E223" s="114" t="s">
        <v>266</v>
      </c>
      <c r="F223" s="190" t="s">
        <v>28</v>
      </c>
      <c r="G223" s="114" t="s">
        <v>265</v>
      </c>
      <c r="H223" s="353"/>
      <c r="I223" s="104" t="str">
        <v>CODE ,CLASS</v>
      </c>
      <c r="J223" s="81"/>
    </row>
    <row r="224" spans="1:12">
      <c r="A224" s="180" t="s">
        <v>208</v>
      </c>
      <c r="B224" s="180" t="str">
        <f>VLOOKUP(I224:I231,Lecturers!A2:G598,6,FALSE)</f>
        <v>APPLICATIONS OF COMPUTER GRAPHICS</v>
      </c>
      <c r="C224" s="122" t="str">
        <f>VLOOKUP(I224:I231,Lecturers!A2:G598,2,FALSE)</f>
        <v>Asante Eric Amoah</v>
      </c>
      <c r="D224" s="180" t="s">
        <v>43</v>
      </c>
      <c r="E224" s="106">
        <f>IFERROR(VLOOKUP(I224:I231,Lecturers!A2:F596,3,FALSE),0)</f>
        <v>155</v>
      </c>
      <c r="F224" s="123" t="s">
        <v>1953</v>
      </c>
      <c r="G224" s="107">
        <f>E224*1.1</f>
        <v>170.5</v>
      </c>
      <c r="H224" s="353" t="s">
        <v>1956</v>
      </c>
      <c r="I224" s="104" t="str">
        <v>ME 259,ED2-AE</v>
      </c>
      <c r="J224" s="81">
        <v>49</v>
      </c>
    </row>
    <row r="225" spans="1:10">
      <c r="A225" s="180" t="s">
        <v>173</v>
      </c>
      <c r="B225" s="180" t="str">
        <v>CHEMICAL PROCESS DESIGN AND ECONOMICS</v>
      </c>
      <c r="C225" s="122" t="str">
        <v>Afotey Benjamin</v>
      </c>
      <c r="D225" s="180" t="s">
        <v>79</v>
      </c>
      <c r="E225" s="106">
        <v>55</v>
      </c>
      <c r="F225" s="124" t="s">
        <v>381</v>
      </c>
      <c r="G225" s="107">
        <f>E225*1.1</f>
        <v>60.5</v>
      </c>
      <c r="H225" s="353">
        <v>55</v>
      </c>
      <c r="I225" s="104" t="str">
        <f>_xlfn.CONCAT(A225,",",D225)</f>
        <v>CHE 451,ED4-PCE</v>
      </c>
      <c r="J225" s="81">
        <v>81</v>
      </c>
    </row>
    <row r="226" spans="1:10">
      <c r="A226" s="180" t="s">
        <v>173</v>
      </c>
      <c r="B226" s="180" t="str">
        <v>CHEMICAL PROCESS DESIGN AND ECONOMICS</v>
      </c>
      <c r="C226" s="122" t="str">
        <v>Afotey Benjamin</v>
      </c>
      <c r="D226" s="180" t="s">
        <v>78</v>
      </c>
      <c r="E226" s="106">
        <v>114</v>
      </c>
      <c r="F226" s="124" t="s">
        <v>1992</v>
      </c>
      <c r="G226" s="107">
        <f>E226*1.1</f>
        <v>125.4</v>
      </c>
      <c r="H226" s="353" t="s">
        <v>2400</v>
      </c>
      <c r="I226" s="104" t="str">
        <v>CHE 451,ED4-CHE</v>
      </c>
      <c r="J226" s="81">
        <v>38</v>
      </c>
    </row>
    <row r="227" spans="1:10" s="136" customFormat="1">
      <c r="A227" s="181" t="s">
        <v>382</v>
      </c>
      <c r="B227" s="181" t="str">
        <v>COMMUNICATION SYSTEMS</v>
      </c>
      <c r="C227" s="126" t="str">
        <v>Tchao Eric Tutu</v>
      </c>
      <c r="D227" s="181" t="s">
        <v>87</v>
      </c>
      <c r="E227" s="108">
        <v>255</v>
      </c>
      <c r="F227" s="129" t="s">
        <v>2298</v>
      </c>
      <c r="G227" s="138">
        <f>E227*1.1</f>
        <v>280.5</v>
      </c>
      <c r="H227" s="355" t="s">
        <v>2028</v>
      </c>
      <c r="I227" s="318" t="str">
        <f>_xlfn.CONCAT(A227,",",D227)</f>
        <v>COE 261,ED2-COE</v>
      </c>
      <c r="J227" s="81">
        <v>240</v>
      </c>
    </row>
    <row r="228" spans="1:10" s="130" customFormat="1">
      <c r="A228" s="180" t="s">
        <v>276</v>
      </c>
      <c r="B228" s="180" t="str">
        <v>PETROLOGY</v>
      </c>
      <c r="C228" s="122" t="str">
        <v>Foli Gordon</v>
      </c>
      <c r="D228" s="180" t="s">
        <v>52</v>
      </c>
      <c r="E228" s="112">
        <v>154</v>
      </c>
      <c r="F228" s="134" t="s">
        <v>2398</v>
      </c>
      <c r="G228" s="107">
        <f>E228*1.1</f>
        <v>169.4</v>
      </c>
      <c r="H228" s="354" t="s">
        <v>2401</v>
      </c>
      <c r="I228" s="83" t="str">
        <f>_xlfn.CONCAT(A228,",",D228)</f>
        <v>GED 351,ED3-GEOL</v>
      </c>
      <c r="J228" s="103"/>
    </row>
    <row r="229" spans="1:10">
      <c r="A229" s="180" t="s">
        <v>97</v>
      </c>
      <c r="B229" s="180" t="str">
        <v>CIRCUIT THEORY</v>
      </c>
      <c r="C229" s="122" t="str">
        <v>Gadze James Dzisi</v>
      </c>
      <c r="D229" s="180" t="s">
        <v>99</v>
      </c>
      <c r="E229" s="106">
        <v>175</v>
      </c>
      <c r="F229" s="123" t="s">
        <v>2399</v>
      </c>
      <c r="G229" s="107">
        <f>E229*1.1</f>
        <v>192.5</v>
      </c>
      <c r="H229" s="353" t="s">
        <v>2402</v>
      </c>
      <c r="I229" s="104" t="str">
        <f>_xlfn.CONCAT(A229,",",D229)</f>
        <v>EE 287,ED2-TEL</v>
      </c>
      <c r="J229" s="81">
        <v>164</v>
      </c>
    </row>
    <row r="230" spans="1:10">
      <c r="A230" s="180" t="s">
        <v>1510</v>
      </c>
      <c r="B230" s="180" t="str">
        <v>ANALOG COMMUNICATION SYSTEMS</v>
      </c>
      <c r="C230" s="122" t="str">
        <v>Ellis Sani Mubarak</v>
      </c>
      <c r="D230" s="180" t="s">
        <v>53</v>
      </c>
      <c r="E230" s="106">
        <v>240</v>
      </c>
      <c r="F230" s="123" t="s">
        <v>2298</v>
      </c>
      <c r="G230" s="107">
        <f>E230*1.1</f>
        <v>264</v>
      </c>
      <c r="H230" s="353" t="s">
        <v>2070</v>
      </c>
      <c r="I230" s="104" t="str">
        <f>_xlfn.CONCAT(A230,",",D230)</f>
        <v>TE 271,ED3-EE</v>
      </c>
      <c r="J230" s="81">
        <v>39</v>
      </c>
    </row>
    <row r="231" spans="1:10">
      <c r="A231" s="180" t="s">
        <v>136</v>
      </c>
      <c r="B231" s="180" t="str">
        <v>TRANSPORTATION ENGINEERING I</v>
      </c>
      <c r="C231" s="123" t="str">
        <v>Tutu Kenneth Adomako</v>
      </c>
      <c r="D231" s="180" t="s">
        <v>51</v>
      </c>
      <c r="E231" s="106">
        <v>220</v>
      </c>
      <c r="F231" s="124" t="s">
        <v>2152</v>
      </c>
      <c r="G231" s="107">
        <f>E231*1.1</f>
        <v>242</v>
      </c>
      <c r="H231" s="353" t="s">
        <v>2403</v>
      </c>
      <c r="I231" s="104" t="str">
        <v>CE 367,ED3-CE</v>
      </c>
      <c r="J231" s="81">
        <v>291</v>
      </c>
    </row>
    <row ht="15.75" customHeight="1" r="232" spans="1:10">
      <c r="A232" s="83"/>
      <c r="B232" s="83"/>
      <c r="C232" s="109"/>
      <c r="D232" s="180" t="s">
        <v>287</v>
      </c>
      <c r="E232" s="112">
        <f>SUM(E224:E231)</f>
        <v>1368</v>
      </c>
      <c r="F232" s="109"/>
      <c r="G232" s="83"/>
      <c r="H232" s="353"/>
      <c r="I232" s="104" t="str">
        <v>,Total F1-3</v>
      </c>
      <c r="J232" s="81"/>
    </row>
    <row r="233" spans="1:10">
      <c r="A233" s="83"/>
      <c r="B233" s="83"/>
      <c r="C233" s="109"/>
      <c r="D233" s="83"/>
      <c r="E233" s="83"/>
      <c r="F233" s="109"/>
      <c r="G233" s="83"/>
      <c r="H233" s="353"/>
      <c r="I233" s="104" t="str">
        <v>,</v>
      </c>
      <c r="J233" s="81" t="e">
        <f>#N/A</f>
        <v>#N/A</v>
      </c>
    </row>
    <row r="234" spans="1:10">
      <c r="A234" s="364" t="s">
        <v>1454</v>
      </c>
      <c r="B234" s="365"/>
      <c r="C234" s="365"/>
      <c r="D234" s="365"/>
      <c r="E234" s="365"/>
      <c r="F234" s="365"/>
      <c r="G234" s="366"/>
      <c r="H234" s="353"/>
      <c r="I234" s="104" t="str">
        <v>Monday, 13 April 2026,</v>
      </c>
      <c r="J234" s="81" t="e">
        <f>#N/A</f>
        <v>#N/A</v>
      </c>
    </row>
    <row r="235" spans="1:10">
      <c r="A235" s="364" t="s">
        <v>411</v>
      </c>
      <c r="B235" s="365"/>
      <c r="C235" s="365"/>
      <c r="D235" s="365"/>
      <c r="E235" s="365"/>
      <c r="F235" s="365"/>
      <c r="G235" s="366"/>
      <c r="H235" s="353"/>
      <c r="I235" s="104" t="str">
        <v>Session, 1 (8:30 AM - 10:30 AM),</v>
      </c>
      <c r="J235" s="81" t="e">
        <f>#N/A</f>
        <v>#N/A</v>
      </c>
    </row>
    <row r="236" spans="1:10">
      <c r="A236" s="111" t="s">
        <v>24</v>
      </c>
      <c r="B236" s="111" t="s">
        <v>25</v>
      </c>
      <c r="C236" s="178" t="s">
        <v>26</v>
      </c>
      <c r="D236" s="111" t="s">
        <v>27</v>
      </c>
      <c r="E236" s="111" t="s">
        <v>266</v>
      </c>
      <c r="F236" s="178" t="s">
        <v>28</v>
      </c>
      <c r="G236" s="111" t="s">
        <v>265</v>
      </c>
      <c r="H236" s="353"/>
      <c r="I236" s="104" t="str">
        <v>CODE ,CLASS</v>
      </c>
      <c r="J236" s="81" t="e">
        <f>#N/A</f>
        <v>#N/A</v>
      </c>
    </row>
    <row r="237" spans="1:10">
      <c r="A237" s="180" t="s">
        <v>160</v>
      </c>
      <c r="B237" s="180" t="str">
        <f>VLOOKUP(I237:I249,Lecturers!A2:G598,6,FALSE)</f>
        <v>TECHNICAL DRAWING</v>
      </c>
      <c r="C237" s="122" t="str">
        <f>VLOOKUP(I237:I249,Lecturers!A2:G598,2,FALSE)</f>
        <v>Aveyire Joseph</v>
      </c>
      <c r="D237" s="180" t="s">
        <v>36</v>
      </c>
      <c r="E237" s="106">
        <f>IFERROR(VLOOKUP(I237:I249,Lecturers!A2:F596,3,FALSE),0)</f>
        <v>245</v>
      </c>
      <c r="F237" s="322" t="s">
        <v>2152</v>
      </c>
      <c r="G237" s="107">
        <f>E237*1.1</f>
        <v>269.5</v>
      </c>
      <c r="H237" s="354" t="s">
        <v>2156</v>
      </c>
      <c r="I237" s="104" t="str">
        <v>ME 159,ED1-CE</v>
      </c>
      <c r="J237" s="81">
        <v>127</v>
      </c>
    </row>
    <row r="238" spans="1:10">
      <c r="A238" s="180" t="s">
        <v>160</v>
      </c>
      <c r="B238" s="180" t="str">
        <v>TECHNICAL DRAWING</v>
      </c>
      <c r="C238" s="123" t="str">
        <v>Aveyire Joseph</v>
      </c>
      <c r="D238" s="180" t="s">
        <v>37</v>
      </c>
      <c r="E238" s="106">
        <v>128</v>
      </c>
      <c r="F238" s="322" t="s">
        <v>1959</v>
      </c>
      <c r="G238" s="107">
        <f>E238*1.1</f>
        <v>140.8</v>
      </c>
      <c r="H238" s="354" t="s">
        <v>2157</v>
      </c>
      <c r="I238" s="104" t="str">
        <v>ME 159,ED1-AE</v>
      </c>
      <c r="J238" s="81">
        <v>23</v>
      </c>
    </row>
    <row r="239" spans="1:10">
      <c r="A239" s="180" t="s">
        <v>160</v>
      </c>
      <c r="B239" s="180" t="str">
        <v>TECHNICAL DRAWING</v>
      </c>
      <c r="C239" s="122" t="str">
        <v>Asante Eric Amoah</v>
      </c>
      <c r="D239" s="180" t="s">
        <v>8</v>
      </c>
      <c r="E239" s="106">
        <v>120</v>
      </c>
      <c r="F239" s="323" t="s">
        <v>2153</v>
      </c>
      <c r="G239" s="107">
        <f>E239*1.1</f>
        <v>132</v>
      </c>
      <c r="H239" s="354" t="s">
        <v>2158</v>
      </c>
      <c r="I239" s="104" t="str">
        <v>ME 159,ED1-CHE</v>
      </c>
      <c r="J239" s="81">
        <v>129</v>
      </c>
    </row>
    <row ht="14.25" customHeight="1" r="240" spans="1:10">
      <c r="A240" s="180" t="s">
        <v>160</v>
      </c>
      <c r="B240" s="180" t="str">
        <v>TECHNICAL DRAWING</v>
      </c>
      <c r="C240" s="122" t="str">
        <v>Boahen Samuel</v>
      </c>
      <c r="D240" s="180" t="s">
        <v>6</v>
      </c>
      <c r="E240" s="106">
        <v>125</v>
      </c>
      <c r="F240" s="323" t="s">
        <v>1992</v>
      </c>
      <c r="G240" s="107">
        <f>E240*1.1</f>
        <v>137.5</v>
      </c>
      <c r="H240" s="354" t="s">
        <v>2066</v>
      </c>
      <c r="I240" s="104" t="str">
        <v>ME 159,ED1-GEOL</v>
      </c>
      <c r="J240" s="81">
        <v>105</v>
      </c>
    </row>
    <row r="241" spans="1:10">
      <c r="A241" s="180" t="s">
        <v>160</v>
      </c>
      <c r="B241" s="180" t="str">
        <v>TECHNICAL DRAWING</v>
      </c>
      <c r="C241" s="122" t="str">
        <v>Boahen Samuel</v>
      </c>
      <c r="D241" s="180" t="s">
        <v>30</v>
      </c>
      <c r="E241" s="106">
        <v>56</v>
      </c>
      <c r="F241" s="323" t="s">
        <v>1968</v>
      </c>
      <c r="G241" s="107">
        <f>E241*1.1</f>
        <v>61.6</v>
      </c>
      <c r="H241" s="354" t="s">
        <v>2159</v>
      </c>
      <c r="I241" s="104" t="str">
        <v>ME 159,ED1-PCE</v>
      </c>
      <c r="J241" s="81">
        <v>61</v>
      </c>
    </row>
    <row r="242" spans="1:10">
      <c r="A242" s="180" t="s">
        <v>170</v>
      </c>
      <c r="B242" s="180" t="str">
        <v>IMAGE PROCESSING AND INTERPRETATION</v>
      </c>
      <c r="C242" s="123" t="str">
        <v>Asare Yaw Mensah </v>
      </c>
      <c r="D242" s="180" t="s">
        <v>107</v>
      </c>
      <c r="E242" s="106">
        <v>128</v>
      </c>
      <c r="F242" s="124" t="s">
        <v>1959</v>
      </c>
      <c r="G242" s="107">
        <f>E242*1.1</f>
        <v>140.8</v>
      </c>
      <c r="H242" s="353" t="s">
        <v>2157</v>
      </c>
      <c r="I242" s="83" t="str">
        <f>_xlfn.CONCAT(A242,",",D242)</f>
        <v>GE 361,ED3-GEOM</v>
      </c>
      <c r="J242" s="81">
        <v>153</v>
      </c>
    </row>
    <row r="243" spans="1:10">
      <c r="A243" s="180" t="s">
        <v>89</v>
      </c>
      <c r="B243" s="180" t="str">
        <v>COMPOSITE MATERIALS</v>
      </c>
      <c r="C243" s="123" t="str">
        <v>Asare Eric Kwame Anokye</v>
      </c>
      <c r="D243" s="180" t="s">
        <v>64</v>
      </c>
      <c r="E243" s="106">
        <v>64</v>
      </c>
      <c r="F243" s="124" t="s">
        <v>2154</v>
      </c>
      <c r="G243" s="107">
        <f>E243*1.1</f>
        <v>70.4</v>
      </c>
      <c r="H243" s="353" t="s">
        <v>2160</v>
      </c>
      <c r="I243" s="104" t="str">
        <f>_xlfn.CONCAT(A243,",",D243)</f>
        <v>MSE 451,ED4-MSE</v>
      </c>
      <c r="J243" s="81">
        <v>119</v>
      </c>
    </row>
    <row ht="15.75" customHeight="1" r="244" spans="1:10">
      <c r="A244" s="180" t="s">
        <v>150</v>
      </c>
      <c r="B244" s="180" t="str">
        <v>METALLURGICAL PLANT DESIGN/OPERATIONS</v>
      </c>
      <c r="C244" s="123" t="str">
        <v>Koomson Bennetta</v>
      </c>
      <c r="D244" s="180" t="s">
        <v>62</v>
      </c>
      <c r="E244" s="106">
        <v>53</v>
      </c>
      <c r="F244" s="124" t="s">
        <v>381</v>
      </c>
      <c r="G244" s="107">
        <f>E244*1.1</f>
        <v>58.3</v>
      </c>
      <c r="H244" s="353">
        <v>53</v>
      </c>
      <c r="I244" s="104" t="str">
        <f>_xlfn.CONCAT(A244,",",D244)</f>
        <v>METE 451,ED4-METE</v>
      </c>
      <c r="J244" s="81">
        <v>104</v>
      </c>
    </row>
    <row r="245" spans="1:10">
      <c r="A245" s="180" t="s">
        <v>144</v>
      </c>
      <c r="B245" s="180" t="str">
        <v>ENGINEERING CERAMICS</v>
      </c>
      <c r="C245" s="125" t="str">
        <v>Andrews Anthony</v>
      </c>
      <c r="D245" s="180" t="s">
        <v>111</v>
      </c>
      <c r="E245" s="106">
        <v>89</v>
      </c>
      <c r="F245" s="123" t="s">
        <v>2155</v>
      </c>
      <c r="G245" s="107">
        <f>E245*1.1</f>
        <v>97.9</v>
      </c>
      <c r="H245" s="354" t="s">
        <v>2161</v>
      </c>
      <c r="I245" s="104" t="str">
        <v>MSE 351,ED3-MSE</v>
      </c>
      <c r="J245" s="81">
        <v>148</v>
      </c>
    </row>
    <row r="246" spans="1:10">
      <c r="A246" s="180" t="s">
        <v>212</v>
      </c>
      <c r="B246" s="180" t="str">
        <v>RENEWABLE ENERGY CONVERSION</v>
      </c>
      <c r="C246" s="123" t="str">
        <v>Quansah David Ato</v>
      </c>
      <c r="D246" s="180" t="s">
        <v>15</v>
      </c>
      <c r="E246" s="106">
        <v>25</v>
      </c>
      <c r="F246" s="124" t="s">
        <v>380</v>
      </c>
      <c r="G246" s="107">
        <f>E246*1.1</f>
        <v>27.5</v>
      </c>
      <c r="H246" s="354">
        <v>25</v>
      </c>
      <c r="I246" s="104" t="str">
        <v>ME 467,ED4-ME</v>
      </c>
      <c r="J246" s="81">
        <v>40</v>
      </c>
    </row>
    <row ht="18" customHeight="1" r="247" spans="1:10">
      <c r="A247" s="180" t="s">
        <v>340</v>
      </c>
      <c r="B247" s="180" t="str">
        <v>PETROLEUM PRODUCTION ENGINEERING I</v>
      </c>
      <c r="C247" s="122" t="str">
        <v>Sarkodie Kwame</v>
      </c>
      <c r="D247" s="180" t="s">
        <v>1469</v>
      </c>
      <c r="E247" s="106">
        <v>80</v>
      </c>
      <c r="F247" s="124" t="s">
        <v>2155</v>
      </c>
      <c r="G247" s="107">
        <f>E247*1.1</f>
        <v>88</v>
      </c>
      <c r="H247" s="353" t="s">
        <v>2068</v>
      </c>
      <c r="I247" s="104" t="str">
        <v>PE 357,ED3-PE</v>
      </c>
      <c r="J247" s="81"/>
    </row>
    <row ht="18" customHeight="1" r="248" spans="1:10">
      <c r="A248" s="180" t="s">
        <v>345</v>
      </c>
      <c r="B248" s="180" t="str">
        <v>INDUSTRIAL SAFETY AND MANUFACTURING RELATIONS</v>
      </c>
      <c r="C248" s="122" t="str">
        <v>Asiedu Charlotte</v>
      </c>
      <c r="D248" s="180" t="s">
        <v>115</v>
      </c>
      <c r="E248" s="106">
        <v>67</v>
      </c>
      <c r="F248" s="124" t="s">
        <v>2154</v>
      </c>
      <c r="G248" s="107">
        <f>E248*1.1</f>
        <v>73.7</v>
      </c>
      <c r="H248" s="353" t="s">
        <v>2162</v>
      </c>
      <c r="I248" s="104" t="str">
        <v>IE 461,ED4-IND</v>
      </c>
      <c r="J248" s="81"/>
    </row>
    <row r="249" spans="1:10">
      <c r="A249" s="180" t="s">
        <v>213</v>
      </c>
      <c r="B249" s="180" t="str">
        <v>COMPUTER APPLICATIONS FOR ENGINEERS</v>
      </c>
      <c r="C249" s="123" t="str">
        <v>Anang Daniel Adjah</v>
      </c>
      <c r="D249" s="180" t="s">
        <v>39</v>
      </c>
      <c r="E249" s="106">
        <v>157</v>
      </c>
      <c r="F249" s="323" t="s">
        <v>2045</v>
      </c>
      <c r="G249" s="107">
        <f>E249*1.1</f>
        <v>172.7</v>
      </c>
      <c r="H249" s="354" t="s">
        <v>2163</v>
      </c>
      <c r="I249" s="104" t="str">
        <v>CHE 261,ED2-CHE</v>
      </c>
      <c r="J249" s="81">
        <v>61</v>
      </c>
    </row>
    <row r="250" spans="1:10">
      <c r="A250" s="83"/>
      <c r="B250" s="83"/>
      <c r="C250" s="109"/>
      <c r="D250" s="180" t="s">
        <v>288</v>
      </c>
      <c r="E250" s="91">
        <f>SUM(E237:E249)</f>
        <v>1337</v>
      </c>
      <c r="F250" s="109"/>
      <c r="G250" s="83"/>
      <c r="H250" s="353"/>
      <c r="I250" s="104" t="str">
        <v>,Total M2-1</v>
      </c>
      <c r="J250" s="81" t="e">
        <f>#N/A</f>
        <v>#N/A</v>
      </c>
    </row>
    <row r="251" spans="1:10">
      <c r="A251" s="83"/>
      <c r="B251" s="83"/>
      <c r="C251" s="109"/>
      <c r="D251" s="83"/>
      <c r="E251" s="83"/>
      <c r="F251" s="109"/>
      <c r="G251" s="83"/>
      <c r="H251" s="353"/>
      <c r="I251" s="104" t="str">
        <v>,</v>
      </c>
      <c r="J251" s="81" t="e">
        <f>#N/A</f>
        <v>#N/A</v>
      </c>
    </row>
    <row r="252" spans="1:10">
      <c r="A252" s="83"/>
      <c r="B252" s="83"/>
      <c r="C252" s="109"/>
      <c r="D252" s="83"/>
      <c r="E252" s="83"/>
      <c r="F252" s="109"/>
      <c r="G252" s="83"/>
      <c r="H252" s="353"/>
      <c r="I252" s="104" t="str">
        <v>,</v>
      </c>
      <c r="J252" s="81" t="e">
        <f>#N/A</f>
        <v>#N/A</v>
      </c>
    </row>
    <row r="253" spans="1:10">
      <c r="A253" s="364" t="s">
        <v>1454</v>
      </c>
      <c r="B253" s="365"/>
      <c r="C253" s="365"/>
      <c r="D253" s="365"/>
      <c r="E253" s="365"/>
      <c r="F253" s="365"/>
      <c r="G253" s="366"/>
      <c r="H253" s="353"/>
      <c r="I253" s="104" t="str">
        <v>Monday, 13 April 2026,</v>
      </c>
      <c r="J253" s="81" t="e">
        <f>#N/A</f>
        <v>#N/A</v>
      </c>
    </row>
    <row r="254" spans="1:10">
      <c r="A254" s="364" t="s">
        <v>412</v>
      </c>
      <c r="B254" s="365"/>
      <c r="C254" s="365"/>
      <c r="D254" s="365"/>
      <c r="E254" s="365"/>
      <c r="F254" s="365"/>
      <c r="G254" s="366"/>
      <c r="H254" s="353"/>
      <c r="I254" s="104" t="str">
        <v>Session, 2 (12:00 PM - 2:00 PM),</v>
      </c>
      <c r="J254" s="81" t="e">
        <f>#N/A</f>
        <v>#N/A</v>
      </c>
    </row>
    <row r="255" spans="1:10">
      <c r="A255" s="111" t="s">
        <v>24</v>
      </c>
      <c r="B255" s="111" t="s">
        <v>25</v>
      </c>
      <c r="C255" s="178" t="s">
        <v>26</v>
      </c>
      <c r="D255" s="111" t="s">
        <v>27</v>
      </c>
      <c r="E255" s="111" t="s">
        <v>266</v>
      </c>
      <c r="F255" s="178" t="s">
        <v>28</v>
      </c>
      <c r="G255" s="111" t="s">
        <v>265</v>
      </c>
      <c r="H255" s="353"/>
      <c r="I255" s="104" t="str">
        <f>_xlfn.CONCAT(A255,",",D255)</f>
        <v>CODE ,CLASS</v>
      </c>
      <c r="J255" s="81" t="e">
        <f>#N/A</f>
        <v>#N/A</v>
      </c>
    </row>
    <row r="256" spans="1:10" s="136" customFormat="1">
      <c r="A256" s="181" t="s">
        <v>319</v>
      </c>
      <c r="B256" s="181" t="str">
        <f>VLOOKUP(I256:I264,Lecturers!A2:G598,6,FALSE)</f>
        <v>COMPUTER APPLICATION FOR AGRICULTURAL ENGINEERS</v>
      </c>
      <c r="C256" s="126" t="str">
        <f>VLOOKUP(I256:I264,Lecturers!A2:G598,2,FALSE)</f>
        <v>Amponsah William</v>
      </c>
      <c r="D256" s="181" t="s">
        <v>50</v>
      </c>
      <c r="E256" s="108">
        <f>IFERROR(VLOOKUP(I256:I264,Lecturers!A2:F596,3,FALSE),0)</f>
        <v>100</v>
      </c>
      <c r="F256" s="440" t="s">
        <v>1814</v>
      </c>
      <c r="G256" s="138">
        <f>E256*1.1</f>
        <v>110</v>
      </c>
      <c r="H256" s="357"/>
      <c r="I256" s="139" t="str">
        <v>AE 381,ED3-AE</v>
      </c>
      <c r="J256" s="81">
        <v>255</v>
      </c>
    </row>
    <row r="257" spans="1:10" s="136" customFormat="1">
      <c r="A257" s="181" t="s">
        <v>317</v>
      </c>
      <c r="B257" s="181" t="str">
        <v>DESIGN OF AUTO MECHANICAL SYSTEMS</v>
      </c>
      <c r="C257" s="126" t="str">
        <v>Andoh Prince Yaw</v>
      </c>
      <c r="D257" s="181" t="s">
        <v>105</v>
      </c>
      <c r="E257" s="108">
        <v>40</v>
      </c>
      <c r="F257" s="441"/>
      <c r="G257" s="138">
        <f>E257*1.1</f>
        <v>44</v>
      </c>
      <c r="H257" s="355"/>
      <c r="I257" s="318" t="str">
        <f>_xlfn.CONCAT(A257,",",D257)</f>
        <v>AME 373,ED3-AUTO</v>
      </c>
      <c r="J257" s="81"/>
    </row>
    <row r="258" spans="1:10" s="136" customFormat="1">
      <c r="A258" s="181" t="s">
        <v>314</v>
      </c>
      <c r="B258" s="181" t="str">
        <v>DESIGN OF MARINE MACHINE ELEMENTS</v>
      </c>
      <c r="C258" s="126" t="str">
        <v>Andoh Prince Yaw</v>
      </c>
      <c r="D258" s="181" t="s">
        <v>109</v>
      </c>
      <c r="E258" s="108">
        <v>40</v>
      </c>
      <c r="F258" s="442"/>
      <c r="G258" s="138">
        <f>E258*1.1</f>
        <v>44</v>
      </c>
      <c r="H258" s="355"/>
      <c r="I258" s="318" t="str">
        <f>_xlfn.CONCAT(A258,",",D258)</f>
        <v>MME 373,ED3-MARI</v>
      </c>
      <c r="J258" s="81"/>
    </row>
    <row r="259" spans="1:10">
      <c r="A259" s="180" t="s">
        <v>258</v>
      </c>
      <c r="B259" s="180" t="str">
        <v>ENGINEERING IN SOCIETY</v>
      </c>
      <c r="C259" s="123" t="str">
        <v>Kwegyir Daniel</v>
      </c>
      <c r="D259" s="180" t="s">
        <v>98</v>
      </c>
      <c r="E259" s="106">
        <v>340</v>
      </c>
      <c r="F259" s="123" t="s">
        <v>2164</v>
      </c>
      <c r="G259" s="107">
        <f>E259*1.1</f>
        <v>374</v>
      </c>
      <c r="H259" s="354" t="s">
        <v>2169</v>
      </c>
      <c r="I259" s="104" t="str">
        <f>_xlfn.CONCAT(A259,",",D259)</f>
        <v>CENG 291,ED2-EE</v>
      </c>
      <c r="J259" s="81">
        <v>142</v>
      </c>
    </row>
    <row r="260" spans="1:10">
      <c r="A260" s="180" t="s">
        <v>258</v>
      </c>
      <c r="B260" s="181" t="str">
        <v>ENGINEERING IN SOCIETY</v>
      </c>
      <c r="C260" s="122" t="str">
        <v>Agyemang Justice Owusu</v>
      </c>
      <c r="D260" s="180" t="s">
        <v>99</v>
      </c>
      <c r="E260" s="106">
        <v>175</v>
      </c>
      <c r="F260" s="123" t="s">
        <v>2045</v>
      </c>
      <c r="G260" s="107">
        <f>E260*1.1</f>
        <v>192.5</v>
      </c>
      <c r="H260" s="354" t="s">
        <v>2170</v>
      </c>
      <c r="I260" s="104" t="str">
        <v>CENG 291,ED2-TEL</v>
      </c>
      <c r="J260" s="81">
        <v>164</v>
      </c>
    </row>
    <row r="261" spans="1:10">
      <c r="A261" s="180" t="s">
        <v>258</v>
      </c>
      <c r="B261" s="180" t="str">
        <v>ENGINEERING IN SOCIETY</v>
      </c>
      <c r="C261" s="122" t="str">
        <v>Kwaw Albert Kwame</v>
      </c>
      <c r="D261" s="180" t="s">
        <v>73</v>
      </c>
      <c r="E261" s="106">
        <v>150</v>
      </c>
      <c r="F261" s="124" t="s">
        <v>2165</v>
      </c>
      <c r="G261" s="107">
        <f>E261*1.1</f>
        <v>165</v>
      </c>
      <c r="H261" s="354" t="s">
        <v>2171</v>
      </c>
      <c r="I261" s="104" t="str">
        <v>CENG 291,ED2-GEOL</v>
      </c>
      <c r="J261" s="81">
        <v>151</v>
      </c>
    </row>
    <row r="262" spans="1:10" s="136" customFormat="1">
      <c r="A262" s="181" t="s">
        <v>258</v>
      </c>
      <c r="B262" s="181" t="str">
        <v>ENGINEERING IN SOCIETY</v>
      </c>
      <c r="C262" s="126" t="str">
        <v>Appiah-Effah Eugene</v>
      </c>
      <c r="D262" s="181" t="s">
        <v>84</v>
      </c>
      <c r="E262" s="108">
        <v>255</v>
      </c>
      <c r="F262" s="129" t="s">
        <v>2166</v>
      </c>
      <c r="G262" s="138">
        <f>E262*1.1</f>
        <v>280.5</v>
      </c>
      <c r="H262" s="355" t="s">
        <v>2172</v>
      </c>
      <c r="I262" s="139" t="str">
        <f>_xlfn.CONCAT(A262,",",D262)</f>
        <v>CENG 291,ED2-CE</v>
      </c>
      <c r="J262" s="81">
        <v>285</v>
      </c>
    </row>
    <row r="263" spans="1:10" s="136" customFormat="1">
      <c r="A263" s="181" t="s">
        <v>154</v>
      </c>
      <c r="B263" s="181" t="str">
        <v>BASIC MECHANICS</v>
      </c>
      <c r="C263" s="126" t="str">
        <v>Dzebre Denis Edem Kwame</v>
      </c>
      <c r="D263" s="181" t="s">
        <v>7</v>
      </c>
      <c r="E263" s="108">
        <v>297</v>
      </c>
      <c r="F263" s="343" t="s">
        <v>2167</v>
      </c>
      <c r="G263" s="138">
        <f>E263*1.1</f>
        <v>326.7</v>
      </c>
      <c r="H263" s="360" t="s">
        <v>2173</v>
      </c>
      <c r="I263" s="139" t="str">
        <f>_xlfn.CONCAT(A263,",",D263)</f>
        <v>ME 161,ED1-EE</v>
      </c>
      <c r="J263" s="81">
        <v>233</v>
      </c>
    </row>
    <row r="264" spans="1:10">
      <c r="A264" s="180" t="s">
        <v>154</v>
      </c>
      <c r="B264" s="180" t="str">
        <v>BASIC MECHANICS</v>
      </c>
      <c r="C264" s="122" t="str">
        <v>Dzebre Denis Edem Kwame</v>
      </c>
      <c r="D264" s="180" t="s">
        <v>10</v>
      </c>
      <c r="E264" s="106">
        <v>100</v>
      </c>
      <c r="F264" s="124" t="s">
        <v>2168</v>
      </c>
      <c r="G264" s="107">
        <f>E264*1.1</f>
        <v>110</v>
      </c>
      <c r="H264" s="354" t="s">
        <v>2174</v>
      </c>
      <c r="I264" s="104" t="str">
        <v>ME 161,ED1-GEOM</v>
      </c>
      <c r="J264" s="81">
        <v>120</v>
      </c>
    </row>
    <row r="265" spans="1:10">
      <c r="A265" s="83"/>
      <c r="B265" s="83"/>
      <c r="C265" s="109"/>
      <c r="D265" s="180" t="s">
        <v>289</v>
      </c>
      <c r="E265" s="91">
        <f>SUM(E259:E264)</f>
        <v>1317</v>
      </c>
      <c r="F265" s="109"/>
      <c r="G265" s="83"/>
      <c r="H265" s="353"/>
      <c r="I265" s="104" t="str">
        <v>,Total M2-2</v>
      </c>
      <c r="J265" s="81" t="e">
        <f>#N/A</f>
        <v>#N/A</v>
      </c>
    </row>
    <row r="266" spans="1:10">
      <c r="A266" s="83"/>
      <c r="B266" s="83"/>
      <c r="C266" s="109"/>
      <c r="D266" s="83"/>
      <c r="E266" s="83"/>
      <c r="F266" s="109"/>
      <c r="G266" s="83"/>
      <c r="H266" s="353"/>
      <c r="I266" s="104" t="str">
        <v>,</v>
      </c>
      <c r="J266" s="81" t="e">
        <f>#N/A</f>
        <v>#N/A</v>
      </c>
    </row>
    <row r="267" spans="1:10">
      <c r="A267" s="83"/>
      <c r="B267" s="83"/>
      <c r="C267" s="109"/>
      <c r="D267" s="83"/>
      <c r="E267" s="83"/>
      <c r="F267" s="109"/>
      <c r="G267" s="83"/>
      <c r="H267" s="353"/>
      <c r="I267" s="104" t="str">
        <v>,</v>
      </c>
      <c r="J267" s="81" t="e">
        <f>#N/A</f>
        <v>#N/A</v>
      </c>
    </row>
    <row r="268" spans="1:10">
      <c r="A268" s="364" t="s">
        <v>1454</v>
      </c>
      <c r="B268" s="365"/>
      <c r="C268" s="365"/>
      <c r="D268" s="365"/>
      <c r="E268" s="365"/>
      <c r="F268" s="365"/>
      <c r="G268" s="366"/>
      <c r="H268" s="353"/>
      <c r="I268" s="104" t="str">
        <v>Monday, 13 April 2026,</v>
      </c>
      <c r="J268" s="81" t="e">
        <f>#N/A</f>
        <v>#N/A</v>
      </c>
    </row>
    <row r="269" spans="1:10">
      <c r="A269" s="371" t="s">
        <v>413</v>
      </c>
      <c r="B269" s="372"/>
      <c r="C269" s="372"/>
      <c r="D269" s="372"/>
      <c r="E269" s="372"/>
      <c r="F269" s="372"/>
      <c r="G269" s="373"/>
      <c r="H269" s="353"/>
      <c r="I269" s="104" t="str">
        <v>Session, 3 (3:00 PM - 5:00 PM),</v>
      </c>
      <c r="J269" s="81" t="e">
        <f>#N/A</f>
        <v>#N/A</v>
      </c>
    </row>
    <row r="270" spans="1:10">
      <c r="A270" s="111" t="s">
        <v>24</v>
      </c>
      <c r="B270" s="111" t="s">
        <v>25</v>
      </c>
      <c r="C270" s="178" t="s">
        <v>26</v>
      </c>
      <c r="D270" s="111" t="s">
        <v>27</v>
      </c>
      <c r="E270" s="111" t="s">
        <v>266</v>
      </c>
      <c r="F270" s="182" t="s">
        <v>388</v>
      </c>
      <c r="G270" s="111" t="s">
        <v>265</v>
      </c>
      <c r="H270" s="353"/>
      <c r="I270" s="104" t="str">
        <v>CODE ,CLASS</v>
      </c>
      <c r="J270" s="81" t="e">
        <f>#N/A</f>
        <v>#N/A</v>
      </c>
    </row>
    <row r="271" spans="1:10">
      <c r="A271" s="180" t="s">
        <v>47</v>
      </c>
      <c r="B271" s="180" t="str">
        <f>VLOOKUP(I271:I286,Lecturers!A2:G598,6,FALSE)</f>
        <v>NUMERICAL ANALYSIS</v>
      </c>
      <c r="C271" s="123" t="str">
        <f>VLOOKUP(I271:I286,Lecturers!A2:G598,2,FALSE)</f>
        <v>Azure Isaac</v>
      </c>
      <c r="D271" s="180" t="s">
        <v>49</v>
      </c>
      <c r="E271" s="448">
        <f>IFERROR(VLOOKUP(I271:I286,Lecturers!A2:F596,3,FALSE),0)</f>
        <v>225</v>
      </c>
      <c r="F271" s="449" t="s">
        <v>1814</v>
      </c>
      <c r="G271" s="450">
        <f>E271*1.1</f>
        <v>247.5</v>
      </c>
      <c r="H271" s="353"/>
      <c r="I271" s="104" t="str">
        <v>MATH 351,ED3-ME</v>
      </c>
      <c r="J271" s="81">
        <v>128</v>
      </c>
    </row>
    <row r="272" spans="1:10">
      <c r="A272" s="180" t="s">
        <v>47</v>
      </c>
      <c r="B272" s="180" t="str">
        <v>NUMERICAL ANALYSIS</v>
      </c>
      <c r="C272" s="122" t="str">
        <v>Borkor Reindorf Nartey</v>
      </c>
      <c r="D272" s="180" t="s">
        <v>48</v>
      </c>
      <c r="E272" s="106">
        <v>76</v>
      </c>
      <c r="F272" s="451"/>
      <c r="G272" s="107">
        <f>E272*1.1</f>
        <v>83.6</v>
      </c>
      <c r="H272" s="354"/>
      <c r="I272" s="104" t="str">
        <v>MATH 351,ED3-AERO</v>
      </c>
      <c r="J272" s="81">
        <v>65</v>
      </c>
    </row>
    <row r="273" spans="1:10">
      <c r="A273" s="180" t="s">
        <v>193</v>
      </c>
      <c r="B273" s="180" t="str">
        <v>STRENGTH OF MATERIALS I</v>
      </c>
      <c r="C273" s="122" t="str">
        <v>Boahen Samuel</v>
      </c>
      <c r="D273" s="180" t="s">
        <v>43</v>
      </c>
      <c r="E273" s="106">
        <v>165</v>
      </c>
      <c r="F273" s="123" t="s">
        <v>2175</v>
      </c>
      <c r="G273" s="107">
        <f>E273*1.1</f>
        <v>181.5</v>
      </c>
      <c r="H273" s="354" t="s">
        <v>2178</v>
      </c>
      <c r="I273" s="104" t="str">
        <f>_xlfn.CONCAT(A273,",",D273)</f>
        <v>ME 255,ED2-AE</v>
      </c>
      <c r="J273" s="81">
        <v>65</v>
      </c>
    </row>
    <row r="274" spans="1:10">
      <c r="A274" s="180" t="s">
        <v>141</v>
      </c>
      <c r="B274" s="180" t="str">
        <v>EXPERIMENTAL DATA ANALYSIS</v>
      </c>
      <c r="C274" s="122" t="str">
        <v>Rockson Mizpah Ama Dziedzorm</v>
      </c>
      <c r="D274" s="180" t="s">
        <v>106</v>
      </c>
      <c r="E274" s="106">
        <v>100</v>
      </c>
      <c r="F274" s="123" t="s">
        <v>2168</v>
      </c>
      <c r="G274" s="107">
        <f>E274*1.1</f>
        <v>110</v>
      </c>
      <c r="H274" s="354" t="s">
        <v>2057</v>
      </c>
      <c r="I274" s="104" t="str">
        <v>CHE 357,ED3-CHE</v>
      </c>
      <c r="J274" s="81">
        <v>65</v>
      </c>
    </row>
    <row r="275" spans="1:10">
      <c r="A275" s="180" t="s">
        <v>141</v>
      </c>
      <c r="B275" s="180" t="str">
        <v>EXPERIMENTAL DATA ANALYSIS</v>
      </c>
      <c r="C275" s="122" t="str">
        <v>Kwao-Boateng Emmanuela</v>
      </c>
      <c r="D275" s="180" t="s">
        <v>46</v>
      </c>
      <c r="E275" s="106">
        <v>51</v>
      </c>
      <c r="F275" s="123" t="s">
        <v>381</v>
      </c>
      <c r="G275" s="107">
        <f>E275*1.1</f>
        <v>56.1</v>
      </c>
      <c r="H275" s="354">
        <v>51</v>
      </c>
      <c r="I275" s="104" t="str">
        <v>CHE 357,ED3-PCE</v>
      </c>
      <c r="J275" s="81">
        <v>99</v>
      </c>
    </row>
    <row r="276" spans="1:10">
      <c r="A276" s="180" t="s">
        <v>211</v>
      </c>
      <c r="B276" s="180" t="str">
        <v>CLASSICAL CONTROL SYSTEMS</v>
      </c>
      <c r="C276" s="122" t="str">
        <v>Klogo Griffith Selorm</v>
      </c>
      <c r="D276" s="180" t="s">
        <v>56</v>
      </c>
      <c r="E276" s="117">
        <v>90</v>
      </c>
      <c r="F276" s="123" t="s">
        <v>2155</v>
      </c>
      <c r="G276" s="107">
        <f>E276*1.1</f>
        <v>99</v>
      </c>
      <c r="H276" s="354" t="s">
        <v>2179</v>
      </c>
      <c r="I276" s="104" t="str">
        <v>COE 387,ED3-BME</v>
      </c>
      <c r="J276" s="81"/>
    </row>
    <row r="277" spans="1:10">
      <c r="A277" s="180" t="s">
        <v>211</v>
      </c>
      <c r="B277" s="180" t="str">
        <v>CLASSICAL CONTROL SYSTEMS</v>
      </c>
      <c r="C277" s="123" t="str">
        <v>Klogo Griffith Selorm</v>
      </c>
      <c r="D277" s="180" t="s">
        <v>55</v>
      </c>
      <c r="E277" s="117">
        <v>270</v>
      </c>
      <c r="F277" s="123" t="s">
        <v>2176</v>
      </c>
      <c r="G277" s="107">
        <f>E277*1.1</f>
        <v>297</v>
      </c>
      <c r="H277" s="354" t="s">
        <v>2180</v>
      </c>
      <c r="I277" s="104" t="str">
        <v>COE 387,ED3-COE</v>
      </c>
      <c r="J277" s="81">
        <v>227</v>
      </c>
    </row>
    <row r="278" spans="1:10">
      <c r="A278" s="180" t="s">
        <v>301</v>
      </c>
      <c r="B278" s="180" t="str">
        <v>SURVIVAL SWIMMING TECHNIQUES</v>
      </c>
      <c r="C278" s="123" t="str">
        <v>Gyamfi Isaac</v>
      </c>
      <c r="D278" s="180" t="s">
        <v>1468</v>
      </c>
      <c r="E278" s="106">
        <v>95</v>
      </c>
      <c r="F278" s="124" t="s">
        <v>1990</v>
      </c>
      <c r="G278" s="107">
        <f>E278*1.1</f>
        <v>104.5</v>
      </c>
      <c r="H278" s="354" t="s">
        <v>2181</v>
      </c>
      <c r="I278" s="104" t="str">
        <f>_xlfn.CONCAT(A278,",",D278)</f>
        <v>PE 259,ED2-PE</v>
      </c>
      <c r="J278" s="81">
        <v>184</v>
      </c>
    </row>
    <row r="279" spans="1:10">
      <c r="A279" s="180" t="s">
        <v>257</v>
      </c>
      <c r="B279" s="180" t="str">
        <v>FUNDAMENTALS OF ACQUATIC SKILLS</v>
      </c>
      <c r="C279" s="123" t="str">
        <v>Afrifa Daniel</v>
      </c>
      <c r="D279" s="180" t="s">
        <v>103</v>
      </c>
      <c r="E279" s="106">
        <v>37</v>
      </c>
      <c r="F279" s="124" t="s">
        <v>2061</v>
      </c>
      <c r="G279" s="107">
        <f>E279*1.1</f>
        <v>40.7</v>
      </c>
      <c r="H279" s="354" t="s">
        <v>2182</v>
      </c>
      <c r="I279" s="104" t="str">
        <v>SES 171,ED2-MARI</v>
      </c>
      <c r="J279" s="81">
        <v>74</v>
      </c>
    </row>
    <row r="280" spans="1:10">
      <c r="A280" s="180" t="s">
        <v>235</v>
      </c>
      <c r="B280" s="180" t="str">
        <v>ELECTRICAL AND MAGNETIC BEHAVIOUR OF MATERIALS</v>
      </c>
      <c r="C280" s="123" t="str">
        <v>Dzikunu Perseverance</v>
      </c>
      <c r="D280" s="180" t="s">
        <v>104</v>
      </c>
      <c r="E280" s="106">
        <v>80</v>
      </c>
      <c r="F280" s="123" t="s">
        <v>431</v>
      </c>
      <c r="G280" s="107">
        <f>E280*1.1</f>
        <v>88</v>
      </c>
      <c r="H280" s="353">
        <v>80</v>
      </c>
      <c r="I280" s="104" t="str">
        <v>MSE 255,ED2-MSE</v>
      </c>
      <c r="J280" s="81">
        <v>127</v>
      </c>
    </row>
    <row r="281" spans="1:10">
      <c r="A281" s="180" t="s">
        <v>235</v>
      </c>
      <c r="B281" s="180" t="str">
        <v>ELECTRICAL AND MAGNETIC BEHAVIOUR OF MATERIALS</v>
      </c>
      <c r="C281" s="123" t="str">
        <v>Dzikunu Perseverance</v>
      </c>
      <c r="D281" s="180" t="s">
        <v>72</v>
      </c>
      <c r="E281" s="106">
        <v>59</v>
      </c>
      <c r="F281" s="123" t="s">
        <v>2154</v>
      </c>
      <c r="G281" s="107">
        <f>E281*1.1</f>
        <v>64.9</v>
      </c>
      <c r="H281" s="353" t="s">
        <v>2183</v>
      </c>
      <c r="I281" s="104" t="str">
        <v>MSE 255,ED2-METE</v>
      </c>
      <c r="J281" s="81">
        <v>127</v>
      </c>
    </row>
    <row r="282" spans="1:10">
      <c r="A282" s="180" t="s">
        <v>194</v>
      </c>
      <c r="B282" s="180" t="str">
        <v>PRINCIPLES OF HYDROMETALLURGY</v>
      </c>
      <c r="C282" s="122" t="str">
        <v>Koomson Bennetta</v>
      </c>
      <c r="D282" s="180" t="s">
        <v>110</v>
      </c>
      <c r="E282" s="106">
        <v>87</v>
      </c>
      <c r="F282" s="124" t="s">
        <v>1990</v>
      </c>
      <c r="G282" s="107">
        <f>E282*1.1</f>
        <v>95.7</v>
      </c>
      <c r="H282" s="354" t="s">
        <v>2184</v>
      </c>
      <c r="I282" s="104" t="str">
        <v>METE 351,ED3-METE</v>
      </c>
      <c r="J282" s="81">
        <v>143</v>
      </c>
    </row>
    <row ht="14.25" customHeight="1" r="283" spans="1:10">
      <c r="A283" s="180" t="s">
        <v>1495</v>
      </c>
      <c r="B283" s="180" t="str">
        <v>BIOLOGICAL TRANSPORT PHENOMENA</v>
      </c>
      <c r="C283" s="125" t="str">
        <v>Odame Prince</v>
      </c>
      <c r="D283" s="180" t="s">
        <v>86</v>
      </c>
      <c r="E283" s="106">
        <v>80</v>
      </c>
      <c r="F283" s="123" t="s">
        <v>414</v>
      </c>
      <c r="G283" s="107">
        <f>E283*1.1</f>
        <v>88</v>
      </c>
      <c r="H283" s="354">
        <v>80</v>
      </c>
      <c r="I283" s="104" t="str">
        <v>BME 265,ED2-BME</v>
      </c>
      <c r="J283" s="81"/>
    </row>
    <row r="284" spans="1:10">
      <c r="A284" s="180" t="s">
        <v>353</v>
      </c>
      <c r="B284" s="180" t="str">
        <v>MARINE INTERNAL COMBUSTION ENGINES</v>
      </c>
      <c r="C284" s="122" t="str">
        <v>Amoabeng Kofi Owura</v>
      </c>
      <c r="D284" s="180" t="s">
        <v>116</v>
      </c>
      <c r="E284" s="106">
        <v>23</v>
      </c>
      <c r="F284" s="124" t="s">
        <v>68</v>
      </c>
      <c r="G284" s="107">
        <f>E284*1.1</f>
        <v>25.3</v>
      </c>
      <c r="H284" s="354">
        <v>23</v>
      </c>
      <c r="I284" s="83" t="str">
        <v>MME 467,ED4-MARI</v>
      </c>
      <c r="J284" s="81">
        <v>23</v>
      </c>
    </row>
    <row r="285" spans="1:10">
      <c r="A285" s="180" t="s">
        <v>199</v>
      </c>
      <c r="B285" s="180" t="str">
        <v>PROCESS CONTROL AND INSTRUMENTATION</v>
      </c>
      <c r="C285" s="123" t="str">
        <v>Baah-Ennumh Emmanuel Kwaku</v>
      </c>
      <c r="D285" s="180" t="s">
        <v>78</v>
      </c>
      <c r="E285" s="106">
        <v>114</v>
      </c>
      <c r="F285" s="124" t="s">
        <v>2177</v>
      </c>
      <c r="G285" s="107">
        <f>E285*1.1</f>
        <v>125.4</v>
      </c>
      <c r="H285" s="354" t="s">
        <v>2185</v>
      </c>
      <c r="I285" s="104" t="str">
        <f>_xlfn.CONCAT(A285,",",D285)</f>
        <v>CHE 455,ED4-CHE</v>
      </c>
      <c r="J285" s="81">
        <v>38</v>
      </c>
    </row>
    <row r="286" spans="1:10">
      <c r="A286" s="180" t="s">
        <v>199</v>
      </c>
      <c r="B286" s="180" t="str">
        <v>PROCESS CONTROL AND INSTRUMENTATION</v>
      </c>
      <c r="C286" s="123" t="str">
        <v>Baidoo Martina Francisca</v>
      </c>
      <c r="D286" s="180" t="s">
        <v>79</v>
      </c>
      <c r="E286" s="106">
        <v>55</v>
      </c>
      <c r="F286" s="124" t="s">
        <v>431</v>
      </c>
      <c r="G286" s="107">
        <f>E286*1.1</f>
        <v>60.5</v>
      </c>
      <c r="H286" s="354">
        <v>55</v>
      </c>
      <c r="I286" s="104" t="str">
        <v>CHE 455,ED4-PCE</v>
      </c>
      <c r="J286" s="81">
        <v>81</v>
      </c>
    </row>
    <row r="287" spans="1:10">
      <c r="A287" s="83"/>
      <c r="B287" s="83"/>
      <c r="C287" s="109"/>
      <c r="D287" s="180" t="s">
        <v>290</v>
      </c>
      <c r="E287" s="91">
        <f>SUM(E273:E286)</f>
        <v>1306</v>
      </c>
      <c r="F287" s="109"/>
      <c r="G287" s="83"/>
      <c r="H287" s="353"/>
      <c r="I287" s="104" t="str">
        <v>,Total M2-3</v>
      </c>
      <c r="J287" s="81" t="e">
        <f>#N/A</f>
        <v>#N/A</v>
      </c>
    </row>
    <row r="288" spans="1:10">
      <c r="A288" s="83"/>
      <c r="B288" s="83"/>
      <c r="C288" s="109"/>
      <c r="D288" s="83"/>
      <c r="E288" s="83"/>
      <c r="F288" s="109"/>
      <c r="G288" s="83"/>
      <c r="H288" s="353"/>
      <c r="I288" s="104" t="str">
        <v>,</v>
      </c>
      <c r="J288" s="81" t="e">
        <f>#N/A</f>
        <v>#N/A</v>
      </c>
    </row>
    <row r="289" spans="1:10">
      <c r="A289" s="83"/>
      <c r="B289" s="83"/>
      <c r="C289" s="109"/>
      <c r="D289" s="83"/>
      <c r="E289" s="83"/>
      <c r="F289" s="109"/>
      <c r="G289" s="83"/>
      <c r="H289" s="353"/>
      <c r="I289" s="104" t="str">
        <v>,</v>
      </c>
      <c r="J289" s="81" t="e">
        <f>#N/A</f>
        <v>#N/A</v>
      </c>
    </row>
    <row r="290" spans="1:10">
      <c r="A290" s="364" t="s">
        <v>1455</v>
      </c>
      <c r="B290" s="365"/>
      <c r="C290" s="365"/>
      <c r="D290" s="365"/>
      <c r="E290" s="365"/>
      <c r="F290" s="365"/>
      <c r="G290" s="366"/>
      <c r="H290" s="353"/>
      <c r="I290" s="104" t="str">
        <v>Tuesday, 14 April 2026,</v>
      </c>
      <c r="J290" s="81" t="e">
        <f>#N/A</f>
        <v>#N/A</v>
      </c>
    </row>
    <row r="291" spans="1:10">
      <c r="A291" s="371" t="s">
        <v>411</v>
      </c>
      <c r="B291" s="372"/>
      <c r="C291" s="372"/>
      <c r="D291" s="372"/>
      <c r="E291" s="372"/>
      <c r="F291" s="372"/>
      <c r="G291" s="373"/>
      <c r="H291" s="353"/>
      <c r="I291" s="104" t="str">
        <v>Session, 1 (8:30 AM - 10:30 AM),</v>
      </c>
      <c r="J291" s="81" t="e">
        <f>#N/A</f>
        <v>#N/A</v>
      </c>
    </row>
    <row r="292" spans="1:10">
      <c r="A292" s="111" t="s">
        <v>24</v>
      </c>
      <c r="B292" s="111" t="s">
        <v>25</v>
      </c>
      <c r="C292" s="178" t="s">
        <v>26</v>
      </c>
      <c r="D292" s="111" t="s">
        <v>27</v>
      </c>
      <c r="E292" s="111" t="s">
        <v>266</v>
      </c>
      <c r="F292" s="182" t="s">
        <v>28</v>
      </c>
      <c r="G292" s="111" t="s">
        <v>265</v>
      </c>
      <c r="H292" s="353"/>
      <c r="I292" s="104" t="str">
        <v>CODE ,CLASS</v>
      </c>
      <c r="J292" s="81" t="e">
        <f>#N/A</f>
        <v>#N/A</v>
      </c>
    </row>
    <row r="293" spans="1:10">
      <c r="A293" s="180" t="s">
        <v>140</v>
      </c>
      <c r="B293" s="180" t="str">
        <f>VLOOKUP(I293:I300,Lecturers!A2:G598,6,FALSE)</f>
        <v>DIFFERENTIAL EQUATIONS</v>
      </c>
      <c r="C293" s="123" t="str">
        <f>VLOOKUP(I293:I300,Lecturers!A2:G598,2,FALSE)</f>
        <v>Barnes Benedict</v>
      </c>
      <c r="D293" s="180" t="s">
        <v>98</v>
      </c>
      <c r="E293" s="106">
        <f>IFERROR(VLOOKUP(I293:I300,Lecturers!A2:F596,3,FALSE),0)</f>
        <v>340</v>
      </c>
      <c r="F293" s="124" t="s">
        <v>2164</v>
      </c>
      <c r="G293" s="107">
        <f>E293*1.1</f>
        <v>374</v>
      </c>
      <c r="H293" s="353" t="s">
        <v>2169</v>
      </c>
      <c r="I293" s="104" t="str">
        <v>MATH 251,ED2-EE</v>
      </c>
      <c r="J293" s="81">
        <v>49</v>
      </c>
    </row>
    <row r="294" spans="1:10">
      <c r="A294" s="180" t="s">
        <v>140</v>
      </c>
      <c r="B294" s="180" t="str">
        <v>DIFFERENTIAL EQUATIONS</v>
      </c>
      <c r="C294" s="123" t="str">
        <v>Barnes Benedict</v>
      </c>
      <c r="D294" s="180" t="s">
        <v>39</v>
      </c>
      <c r="E294" s="108">
        <v>157</v>
      </c>
      <c r="F294" s="124" t="s">
        <v>2165</v>
      </c>
      <c r="G294" s="107">
        <f>E294*1.1</f>
        <v>172.7</v>
      </c>
      <c r="H294" s="353" t="s">
        <v>2187</v>
      </c>
      <c r="I294" s="104" t="str">
        <f>_xlfn.CONCAT(A294,",",D294)</f>
        <v>MATH 251,ED2-CHE</v>
      </c>
      <c r="J294" s="81">
        <v>153</v>
      </c>
    </row>
    <row r="295" spans="1:10">
      <c r="A295" s="180" t="s">
        <v>308</v>
      </c>
      <c r="B295" s="180" t="str">
        <v>PROCESS PLANNING SYSTEMS</v>
      </c>
      <c r="C295" s="122" t="str">
        <v>Sackey Samuel Mensah</v>
      </c>
      <c r="D295" s="180" t="s">
        <v>108</v>
      </c>
      <c r="E295" s="106">
        <v>72</v>
      </c>
      <c r="F295" s="124" t="s">
        <v>2155</v>
      </c>
      <c r="G295" s="107">
        <f>E295*1.1</f>
        <v>79.2</v>
      </c>
      <c r="H295" s="353" t="s">
        <v>2188</v>
      </c>
      <c r="I295" s="104" t="str">
        <v>IE 363,ED3-IND</v>
      </c>
      <c r="J295" s="81">
        <v>143</v>
      </c>
    </row>
    <row r="296" spans="1:10">
      <c r="A296" s="180" t="s">
        <v>219</v>
      </c>
      <c r="B296" s="180" t="str">
        <v>WATER AND WASTE WATER ENGINEERING</v>
      </c>
      <c r="C296" s="123" t="str">
        <v>Buamah Richard Akwasi</v>
      </c>
      <c r="D296" s="180" t="s">
        <v>19</v>
      </c>
      <c r="E296" s="106">
        <v>10</v>
      </c>
      <c r="F296" s="124">
        <v>206</v>
      </c>
      <c r="G296" s="107">
        <f>E296*1.1</f>
        <v>11</v>
      </c>
      <c r="H296" s="354">
        <v>10</v>
      </c>
      <c r="I296" s="104" t="str">
        <v>CE 463,ED4-CE</v>
      </c>
      <c r="J296" s="81">
        <v>47</v>
      </c>
    </row>
    <row r="297" spans="1:10">
      <c r="A297" s="180" t="s">
        <v>129</v>
      </c>
      <c r="B297" s="180" t="str">
        <v>AVIONICS</v>
      </c>
      <c r="C297" s="123" t="str">
        <v>Oppong David Kofi</v>
      </c>
      <c r="D297" s="180" t="s">
        <v>17</v>
      </c>
      <c r="E297" s="106">
        <v>61</v>
      </c>
      <c r="F297" s="124" t="s">
        <v>431</v>
      </c>
      <c r="G297" s="107">
        <f>E297*1.1</f>
        <v>67.1</v>
      </c>
      <c r="H297" s="354">
        <v>61</v>
      </c>
      <c r="I297" s="104" t="str">
        <v>AERO 483,ED4-AERO</v>
      </c>
      <c r="J297" s="81">
        <v>47</v>
      </c>
    </row>
    <row r="298" spans="1:10" s="136" customFormat="1">
      <c r="A298" s="181" t="s">
        <v>229</v>
      </c>
      <c r="B298" s="181" t="str">
        <v>APPLIED ELECTRICITY</v>
      </c>
      <c r="C298" s="132" t="str">
        <v>Effah Francis Boafo</v>
      </c>
      <c r="D298" s="181" t="s">
        <v>7</v>
      </c>
      <c r="E298" s="108">
        <v>305</v>
      </c>
      <c r="F298" s="132" t="s">
        <v>2167</v>
      </c>
      <c r="G298" s="138">
        <f>E298*1.1</f>
        <v>335.5</v>
      </c>
      <c r="H298" s="355" t="s">
        <v>2189</v>
      </c>
      <c r="I298" s="139" t="str">
        <v>EE 151,ED1-EE</v>
      </c>
      <c r="J298" s="81">
        <v>166</v>
      </c>
    </row>
    <row r="299" spans="1:10" s="136" customFormat="1">
      <c r="A299" s="181" t="s">
        <v>229</v>
      </c>
      <c r="B299" s="181" t="str">
        <v>APPLIED ELECTRICITY</v>
      </c>
      <c r="C299" s="132" t="str">
        <v>Obeng Kwakye Kingsford Sarkodie</v>
      </c>
      <c r="D299" s="181" t="s">
        <v>33</v>
      </c>
      <c r="E299" s="108">
        <v>140</v>
      </c>
      <c r="F299" s="129" t="s">
        <v>2045</v>
      </c>
      <c r="G299" s="138">
        <f>E299*1.1</f>
        <v>154</v>
      </c>
      <c r="H299" s="355" t="s">
        <v>2018</v>
      </c>
      <c r="I299" s="139" t="str">
        <v>EE 151,ED1-BME</v>
      </c>
      <c r="J299" s="81"/>
    </row>
    <row r="300" spans="1:10">
      <c r="A300" s="180" t="s">
        <v>391</v>
      </c>
      <c r="B300" s="180" t="str">
        <v>APPLIED ELECTRICITY</v>
      </c>
      <c r="C300" s="122" t="str">
        <v>Oteng Gyasi Kwame</v>
      </c>
      <c r="D300" s="180" t="s">
        <v>32</v>
      </c>
      <c r="E300" s="106">
        <v>270</v>
      </c>
      <c r="F300" s="124" t="s">
        <v>2186</v>
      </c>
      <c r="G300" s="107">
        <f>E300*1.1</f>
        <v>297</v>
      </c>
      <c r="H300" s="353" t="s">
        <v>2190</v>
      </c>
      <c r="I300" s="104" t="str">
        <f>_xlfn.CONCAT(A300,",",D300)</f>
        <v>COE 181,ED1-COE</v>
      </c>
      <c r="J300" s="81">
        <v>148</v>
      </c>
    </row>
    <row r="301" spans="1:10">
      <c r="A301" s="83"/>
      <c r="B301" s="83"/>
      <c r="C301" s="109"/>
      <c r="D301" s="180" t="s">
        <v>291</v>
      </c>
      <c r="E301" s="91">
        <f>SUM(E293:E300)</f>
        <v>1355</v>
      </c>
      <c r="F301" s="109"/>
      <c r="G301" s="83"/>
      <c r="H301" s="353"/>
      <c r="I301" s="104" t="str">
        <v>,Total T2-1</v>
      </c>
      <c r="J301" s="81" t="e">
        <f>#N/A</f>
        <v>#N/A</v>
      </c>
    </row>
    <row r="302" spans="1:10">
      <c r="A302" s="83"/>
      <c r="B302" s="83"/>
      <c r="C302" s="109"/>
      <c r="D302" s="187"/>
      <c r="E302" s="115"/>
      <c r="F302" s="109"/>
      <c r="G302" s="83"/>
      <c r="H302" s="353"/>
      <c r="J302" s="81"/>
    </row>
    <row r="303" spans="1:10">
      <c r="A303" s="83"/>
      <c r="B303" s="83"/>
      <c r="C303" s="109"/>
      <c r="D303" s="185"/>
      <c r="E303" s="83"/>
      <c r="F303" s="109"/>
      <c r="G303" s="83"/>
      <c r="H303" s="353"/>
      <c r="I303" s="104" t="str">
        <v>,</v>
      </c>
      <c r="J303" s="81" t="e">
        <f>#N/A</f>
        <v>#N/A</v>
      </c>
    </row>
    <row r="304" spans="1:10">
      <c r="A304" s="364" t="s">
        <v>1455</v>
      </c>
      <c r="B304" s="365"/>
      <c r="C304" s="365"/>
      <c r="D304" s="365"/>
      <c r="E304" s="365"/>
      <c r="F304" s="365"/>
      <c r="G304" s="366"/>
      <c r="H304" s="353"/>
      <c r="I304" s="104" t="str">
        <v>Tuesday, 14 April 2026,</v>
      </c>
      <c r="J304" s="81" t="e">
        <f>#N/A</f>
        <v>#N/A</v>
      </c>
    </row>
    <row r="305" spans="1:10">
      <c r="A305" s="364" t="s">
        <v>412</v>
      </c>
      <c r="B305" s="365"/>
      <c r="C305" s="365"/>
      <c r="D305" s="365"/>
      <c r="E305" s="365"/>
      <c r="F305" s="365"/>
      <c r="G305" s="366"/>
      <c r="H305" s="353"/>
      <c r="I305" s="104" t="str">
        <v>Session, 2 (12:00 PM - 2:00 PM),</v>
      </c>
      <c r="J305" s="81" t="e">
        <f>#N/A</f>
        <v>#N/A</v>
      </c>
    </row>
    <row r="306" spans="1:10">
      <c r="A306" s="111" t="s">
        <v>24</v>
      </c>
      <c r="B306" s="111" t="s">
        <v>25</v>
      </c>
      <c r="C306" s="178" t="s">
        <v>26</v>
      </c>
      <c r="D306" s="111" t="s">
        <v>27</v>
      </c>
      <c r="E306" s="111" t="s">
        <v>266</v>
      </c>
      <c r="F306" s="178" t="s">
        <v>28</v>
      </c>
      <c r="G306" s="111" t="s">
        <v>265</v>
      </c>
      <c r="H306" s="353"/>
      <c r="I306" s="104" t="str">
        <v>CODE ,CLASS</v>
      </c>
      <c r="J306" s="81" t="e">
        <f>#N/A</f>
        <v>#N/A</v>
      </c>
    </row>
    <row r="307" spans="1:10">
      <c r="A307" s="180" t="s">
        <v>229</v>
      </c>
      <c r="B307" s="180" t="str">
        <f>VLOOKUP(I307:I319,Lecturers!A2:G598,6,FALSE)</f>
        <v>APPLIED ELECTRICITY</v>
      </c>
      <c r="C307" s="122" t="str">
        <f>VLOOKUP(I307:I319,Lecturers!A2:G598,2,FALSE)</f>
        <v>Affum Emmanuel Ampoma</v>
      </c>
      <c r="D307" s="180" t="s">
        <v>9</v>
      </c>
      <c r="E307" s="106">
        <f>IFERROR(VLOOKUP(I307:I319,Lecturers!A2:F596,3,FALSE),0)</f>
        <v>226</v>
      </c>
      <c r="F307" s="175" t="s">
        <v>2191</v>
      </c>
      <c r="G307" s="107">
        <f>E307*1.1</f>
        <v>248.6</v>
      </c>
      <c r="H307" s="433" t="s">
        <v>2195</v>
      </c>
      <c r="I307" s="104" t="str">
        <f>_xlfn.CONCAT(A307,",",D307)</f>
        <v>EE 151,ED1-ME</v>
      </c>
      <c r="J307" s="81">
        <v>30</v>
      </c>
    </row>
    <row r="308" spans="1:10">
      <c r="A308" s="180" t="s">
        <v>229</v>
      </c>
      <c r="B308" s="180" t="str">
        <v>APPLIED ELECTRICITY</v>
      </c>
      <c r="C308" s="123" t="str">
        <v>Prah II Nicholas Kwesi</v>
      </c>
      <c r="D308" s="180" t="s">
        <v>37</v>
      </c>
      <c r="E308" s="106">
        <v>135</v>
      </c>
      <c r="F308" s="124" t="s">
        <v>1959</v>
      </c>
      <c r="G308" s="107">
        <f>E308*1.1</f>
        <v>148.5</v>
      </c>
      <c r="H308" s="433" t="s">
        <v>2196</v>
      </c>
      <c r="I308" s="104" t="str">
        <f>_xlfn.CONCAT(A308,",",D308)</f>
        <v>EE 151,ED1-AE</v>
      </c>
      <c r="J308" s="81"/>
    </row>
    <row r="309" spans="1:10">
      <c r="A309" s="180" t="s">
        <v>229</v>
      </c>
      <c r="B309" s="180" t="str">
        <v>APPLIED ELECTRICITY</v>
      </c>
      <c r="C309" s="123" t="str">
        <v>Acheampong Francisca Adoma</v>
      </c>
      <c r="D309" s="180" t="s">
        <v>2</v>
      </c>
      <c r="E309" s="106">
        <v>87</v>
      </c>
      <c r="F309" s="124" t="s">
        <v>2192</v>
      </c>
      <c r="G309" s="107">
        <f>E309*1.1</f>
        <v>95.7</v>
      </c>
      <c r="H309" s="433" t="s">
        <v>2197</v>
      </c>
      <c r="I309" s="104" t="str">
        <v>EE 151,ED1-AUTO</v>
      </c>
      <c r="J309" s="81">
        <v>183</v>
      </c>
    </row>
    <row r="310" spans="1:10">
      <c r="A310" s="180" t="s">
        <v>229</v>
      </c>
      <c r="B310" s="180" t="str">
        <v>APPLIED ELECTRICITY</v>
      </c>
      <c r="C310" s="123" t="str">
        <v>Acheampong Francisca Adoma</v>
      </c>
      <c r="D310" s="180" t="s">
        <v>5</v>
      </c>
      <c r="E310" s="106">
        <v>46</v>
      </c>
      <c r="F310" s="123" t="s">
        <v>381</v>
      </c>
      <c r="G310" s="107">
        <f>E310*1.1</f>
        <v>50.6</v>
      </c>
      <c r="H310" s="433">
        <v>46</v>
      </c>
      <c r="I310" s="104" t="str">
        <v>EE 151,ED1-MARI</v>
      </c>
      <c r="J310" s="81">
        <v>49</v>
      </c>
    </row>
    <row r="311" spans="1:10">
      <c r="A311" s="180" t="s">
        <v>229</v>
      </c>
      <c r="B311" s="180" t="str">
        <v>APPLIED ELECTRICITY</v>
      </c>
      <c r="C311" s="123" t="str">
        <v>Elvis Twumasi</v>
      </c>
      <c r="D311" s="180" t="s">
        <v>11</v>
      </c>
      <c r="E311" s="106">
        <v>75</v>
      </c>
      <c r="F311" s="123" t="s">
        <v>2155</v>
      </c>
      <c r="G311" s="107">
        <f>E311*1.1</f>
        <v>82.5</v>
      </c>
      <c r="H311" s="433" t="s">
        <v>1967</v>
      </c>
      <c r="I311" s="104" t="str">
        <v>EE 151,ED1-METE</v>
      </c>
      <c r="J311" s="81">
        <v>61</v>
      </c>
    </row>
    <row r="312" spans="1:10">
      <c r="A312" s="180" t="s">
        <v>229</v>
      </c>
      <c r="B312" s="180" t="str">
        <v>APPLIED ELECTRICITY</v>
      </c>
      <c r="C312" s="123" t="str">
        <v>Obeng Kwakye Kingsford Sarkodie</v>
      </c>
      <c r="D312" s="180" t="s">
        <v>3</v>
      </c>
      <c r="E312" s="106">
        <v>83</v>
      </c>
      <c r="F312" s="140" t="s">
        <v>2193</v>
      </c>
      <c r="G312" s="107">
        <f>E312*1.1</f>
        <v>91.3</v>
      </c>
      <c r="H312" s="433" t="s">
        <v>2198</v>
      </c>
      <c r="I312" s="104" t="str">
        <v>EE 151,ED1-IND</v>
      </c>
      <c r="J312" s="81">
        <v>69</v>
      </c>
    </row>
    <row r="313" spans="1:10">
      <c r="A313" s="180" t="s">
        <v>229</v>
      </c>
      <c r="B313" s="180" t="str">
        <v>APPLIED ELECTRICITY</v>
      </c>
      <c r="C313" s="123" t="str">
        <v>Abdul-Rahman Ahmed</v>
      </c>
      <c r="D313" s="180" t="s">
        <v>31</v>
      </c>
      <c r="E313" s="106">
        <v>130</v>
      </c>
      <c r="F313" s="132" t="s">
        <v>1992</v>
      </c>
      <c r="G313" s="107">
        <f>E313*1.1</f>
        <v>143</v>
      </c>
      <c r="H313" s="361" t="s">
        <v>1991</v>
      </c>
      <c r="I313" s="104" t="str">
        <v>EE 151,ED1-TEL</v>
      </c>
      <c r="J313" s="81">
        <v>166</v>
      </c>
    </row>
    <row r="314" spans="1:10">
      <c r="A314" s="180" t="s">
        <v>229</v>
      </c>
      <c r="B314" s="180" t="str">
        <v>APPLIED ELECTRICITY</v>
      </c>
      <c r="C314" s="122" t="str">
        <v>Elvis Twumasi</v>
      </c>
      <c r="D314" s="180" t="s">
        <v>30</v>
      </c>
      <c r="E314" s="106">
        <v>58</v>
      </c>
      <c r="F314" s="124" t="s">
        <v>2194</v>
      </c>
      <c r="G314" s="107">
        <f>E314*1.1</f>
        <v>63.8</v>
      </c>
      <c r="H314" s="361" t="s">
        <v>2199</v>
      </c>
      <c r="I314" s="104" t="str">
        <v>EE 151,ED1-PCE</v>
      </c>
      <c r="J314" s="81"/>
    </row>
    <row r="315" spans="1:10">
      <c r="A315" s="180" t="s">
        <v>229</v>
      </c>
      <c r="B315" s="180" t="str">
        <v>APPLIED ELECTRICITY</v>
      </c>
      <c r="C315" s="122" t="str">
        <v>Elvis Twumasi</v>
      </c>
      <c r="D315" s="180" t="s">
        <v>8</v>
      </c>
      <c r="E315" s="106">
        <v>120</v>
      </c>
      <c r="F315" s="124" t="s">
        <v>1959</v>
      </c>
      <c r="G315" s="107">
        <f>E315*1.1</f>
        <v>132</v>
      </c>
      <c r="H315" s="361" t="s">
        <v>2200</v>
      </c>
      <c r="I315" s="104" t="str">
        <v>EE 151,ED1-CHE</v>
      </c>
      <c r="J315" s="81"/>
    </row>
    <row r="316" spans="1:10">
      <c r="A316" s="180" t="s">
        <v>229</v>
      </c>
      <c r="B316" s="180" t="str">
        <v>APPLIED ELECTRICITY</v>
      </c>
      <c r="C316" s="122" t="str">
        <v>Oteng Gyasi Kwame</v>
      </c>
      <c r="D316" s="180" t="s">
        <v>1</v>
      </c>
      <c r="E316" s="106">
        <v>70</v>
      </c>
      <c r="F316" s="120" t="s">
        <v>431</v>
      </c>
      <c r="G316" s="107">
        <f>E316*1.1</f>
        <v>77</v>
      </c>
      <c r="H316" s="433">
        <v>70</v>
      </c>
      <c r="I316" s="104" t="str">
        <v>EE 151,ED1-AERO</v>
      </c>
      <c r="J316" s="81"/>
    </row>
    <row r="317" spans="1:10">
      <c r="A317" s="180" t="s">
        <v>229</v>
      </c>
      <c r="B317" s="180" t="str">
        <v>APPLIED ELECTRICITY</v>
      </c>
      <c r="C317" s="123" t="str">
        <v>Oteng Gyasi Kwame</v>
      </c>
      <c r="D317" s="180" t="s">
        <v>35</v>
      </c>
      <c r="E317" s="106">
        <v>100</v>
      </c>
      <c r="F317" s="140" t="s">
        <v>2177</v>
      </c>
      <c r="G317" s="107">
        <f>E317*1.1</f>
        <v>110</v>
      </c>
      <c r="H317" s="433" t="s">
        <v>2201</v>
      </c>
      <c r="I317" s="104" t="str">
        <v>EE 151,ED1-MSE</v>
      </c>
      <c r="J317" s="81">
        <v>69</v>
      </c>
    </row>
    <row r="318" spans="1:10">
      <c r="A318" s="180" t="s">
        <v>229</v>
      </c>
      <c r="B318" s="180" t="str">
        <v>APPLIED ELECTRICITY</v>
      </c>
      <c r="C318" s="123" t="str">
        <v>Ellis Sani Mubarak</v>
      </c>
      <c r="D318" s="180" t="s">
        <v>1467</v>
      </c>
      <c r="E318" s="106">
        <v>130</v>
      </c>
      <c r="F318" s="174" t="s">
        <v>1992</v>
      </c>
      <c r="G318" s="107">
        <f>E318*1.1</f>
        <v>143</v>
      </c>
      <c r="H318" s="433" t="s">
        <v>1991</v>
      </c>
      <c r="I318" s="104" t="str">
        <f>_xlfn.CONCAT(A318,",",D318)</f>
        <v>EE 151,ED1-PE</v>
      </c>
      <c r="J318" s="81">
        <v>47</v>
      </c>
    </row>
    <row ht="15" customHeight="1" r="319" spans="1:10">
      <c r="A319" s="180" t="s">
        <v>174</v>
      </c>
      <c r="B319" s="180" t="str">
        <v>BIOMATERIALS II</v>
      </c>
      <c r="C319" s="123" t="str">
        <v>Agyapong Dorothy Araba Yakoba</v>
      </c>
      <c r="D319" s="180" t="s">
        <v>75</v>
      </c>
      <c r="E319" s="106">
        <v>87</v>
      </c>
      <c r="F319" s="435" t="s">
        <v>2126</v>
      </c>
      <c r="G319" s="107">
        <f>E319*1.1</f>
        <v>95.7</v>
      </c>
      <c r="H319" s="434" t="s">
        <v>2202</v>
      </c>
      <c r="I319" s="104" t="str">
        <v>BME 463,ED4-BME</v>
      </c>
      <c r="J319" s="81">
        <v>285</v>
      </c>
    </row>
    <row r="320" spans="1:10">
      <c r="A320" s="83"/>
      <c r="B320" s="83"/>
      <c r="C320" s="109"/>
      <c r="D320" s="180" t="s">
        <v>292</v>
      </c>
      <c r="E320" s="91">
        <f>SUM(E307:E319)</f>
        <v>1347</v>
      </c>
      <c r="F320" s="109"/>
      <c r="G320" s="83"/>
      <c r="H320" s="353"/>
      <c r="I320" s="104" t="str">
        <v>,Total T2-2</v>
      </c>
      <c r="J320" s="81" t="e">
        <f>#N/A</f>
        <v>#N/A</v>
      </c>
    </row>
    <row r="321" spans="1:10">
      <c r="A321" s="83"/>
      <c r="B321" s="83"/>
      <c r="C321" s="109"/>
      <c r="D321" s="83"/>
      <c r="E321" s="83"/>
      <c r="F321" s="109"/>
      <c r="G321" s="83"/>
      <c r="H321" s="353"/>
      <c r="I321" s="104" t="str">
        <v>,</v>
      </c>
      <c r="J321" s="81" t="e">
        <f>#N/A</f>
        <v>#N/A</v>
      </c>
    </row>
    <row r="322" spans="1:10">
      <c r="A322" s="83"/>
      <c r="B322" s="83"/>
      <c r="C322" s="109"/>
      <c r="D322" s="83"/>
      <c r="E322" s="83"/>
      <c r="F322" s="109"/>
      <c r="G322" s="83"/>
      <c r="H322" s="353"/>
      <c r="I322" s="104" t="str">
        <v>,</v>
      </c>
      <c r="J322" s="81" t="e">
        <f>#N/A</f>
        <v>#N/A</v>
      </c>
    </row>
    <row r="323" spans="1:10">
      <c r="A323" s="364" t="s">
        <v>1455</v>
      </c>
      <c r="B323" s="365"/>
      <c r="C323" s="365"/>
      <c r="D323" s="365"/>
      <c r="E323" s="365"/>
      <c r="F323" s="365"/>
      <c r="G323" s="366"/>
      <c r="H323" s="353"/>
      <c r="I323" s="104" t="str">
        <v>Tuesday, 14 April 2026,</v>
      </c>
      <c r="J323" s="81" t="e">
        <f>#N/A</f>
        <v>#N/A</v>
      </c>
    </row>
    <row r="324" spans="1:10">
      <c r="A324" s="364" t="s">
        <v>413</v>
      </c>
      <c r="B324" s="365"/>
      <c r="C324" s="365"/>
      <c r="D324" s="365"/>
      <c r="E324" s="365"/>
      <c r="F324" s="365"/>
      <c r="G324" s="366"/>
      <c r="H324" s="353"/>
      <c r="I324" s="104" t="str">
        <v>Session, 3 (3:00 PM - 5:00 PM),</v>
      </c>
      <c r="J324" s="81" t="e">
        <f>#N/A</f>
        <v>#N/A</v>
      </c>
    </row>
    <row r="325" spans="1:10">
      <c r="A325" s="111" t="s">
        <v>24</v>
      </c>
      <c r="B325" s="111" t="s">
        <v>25</v>
      </c>
      <c r="C325" s="178" t="s">
        <v>26</v>
      </c>
      <c r="D325" s="111" t="s">
        <v>27</v>
      </c>
      <c r="E325" s="111" t="s">
        <v>266</v>
      </c>
      <c r="F325" s="178" t="s">
        <v>28</v>
      </c>
      <c r="G325" s="111" t="s">
        <v>265</v>
      </c>
      <c r="H325" s="353"/>
      <c r="I325" s="104" t="str">
        <v>CODE ,CLASS</v>
      </c>
      <c r="J325" s="81" t="e">
        <f>#N/A</f>
        <v>#N/A</v>
      </c>
    </row>
    <row r="326" spans="1:10">
      <c r="A326" s="117" t="s">
        <v>140</v>
      </c>
      <c r="B326" s="117" t="str">
        <f>VLOOKUP(I326:I334,Lecturers!A2:G598,6,FALSE)</f>
        <v>DIFFERENTIAL EQUATIONS</v>
      </c>
      <c r="C326" s="137" t="str">
        <f>VLOOKUP(I326:I334,Lecturers!A2:G598,2,FALSE)</f>
        <v>Wireko Fredrick Asenso</v>
      </c>
      <c r="D326" s="117" t="s">
        <v>99</v>
      </c>
      <c r="E326" s="117">
        <f>IFERROR(VLOOKUP(I326:I334,Lecturers!A2:F596,3,FALSE),0)</f>
        <v>175</v>
      </c>
      <c r="F326" s="341" t="s">
        <v>2203</v>
      </c>
      <c r="G326" s="117">
        <v>51</v>
      </c>
      <c r="H326" s="353" t="s">
        <v>2208</v>
      </c>
      <c r="I326" s="104" t="str">
        <f>_xlfn.CONCAT(A326,",",D326)</f>
        <v>MATH 251,ED2-TEL</v>
      </c>
      <c r="J326" s="82"/>
    </row>
    <row r="327" spans="1:10">
      <c r="A327" s="180" t="s">
        <v>140</v>
      </c>
      <c r="B327" s="180" t="str">
        <v>DIFFERENTIAL EQUATIONS</v>
      </c>
      <c r="C327" s="123" t="str">
        <v>Wireko Fredrick Asenso</v>
      </c>
      <c r="D327" s="180" t="s">
        <v>80</v>
      </c>
      <c r="E327" s="106">
        <v>75</v>
      </c>
      <c r="F327" s="122" t="s">
        <v>414</v>
      </c>
      <c r="G327" s="107">
        <f>E327*1.1</f>
        <v>82.5</v>
      </c>
      <c r="H327" s="353">
        <v>75</v>
      </c>
      <c r="I327" s="104" t="str">
        <f>_xlfn.CONCAT(A327,",",D327)</f>
        <v>MATH 251,ED2-AERO</v>
      </c>
      <c r="J327" s="81">
        <v>74</v>
      </c>
    </row>
    <row r="328" spans="1:10">
      <c r="A328" s="180" t="s">
        <v>140</v>
      </c>
      <c r="B328" s="180" t="str">
        <v>DIFFERENTIAL EQUATIONS</v>
      </c>
      <c r="C328" s="123" t="str">
        <v>Wireko Fredrick Asenso</v>
      </c>
      <c r="D328" s="180" t="s">
        <v>73</v>
      </c>
      <c r="E328" s="106">
        <v>150</v>
      </c>
      <c r="F328" s="124" t="s">
        <v>2204</v>
      </c>
      <c r="G328" s="107">
        <f>E328*1.1</f>
        <v>165</v>
      </c>
      <c r="H328" s="353" t="s">
        <v>2209</v>
      </c>
      <c r="I328" s="104" t="str">
        <v>MATH 251,ED2-GEOL</v>
      </c>
      <c r="J328" s="81">
        <v>151</v>
      </c>
    </row>
    <row r="329" spans="1:10">
      <c r="A329" s="180" t="s">
        <v>140</v>
      </c>
      <c r="B329" s="180" t="str">
        <v>DIFFERENTIAL EQUATIONS</v>
      </c>
      <c r="C329" s="123" t="str">
        <v>Wireko Fredrick Asenso</v>
      </c>
      <c r="D329" s="180" t="s">
        <v>43</v>
      </c>
      <c r="E329" s="106">
        <v>155</v>
      </c>
      <c r="F329" s="123" t="s">
        <v>2087</v>
      </c>
      <c r="G329" s="107">
        <f>E329*1.1</f>
        <v>170.5</v>
      </c>
      <c r="H329" s="353" t="s">
        <v>2210</v>
      </c>
      <c r="I329" s="104" t="str">
        <v>MATH 251,ED2-AE</v>
      </c>
      <c r="J329" s="81">
        <v>130</v>
      </c>
    </row>
    <row r="330" spans="1:10">
      <c r="A330" s="180" t="s">
        <v>140</v>
      </c>
      <c r="B330" s="180" t="str">
        <v>DIFFERENTIAL EQUATIONS</v>
      </c>
      <c r="C330" s="123" t="str">
        <v>Wireko Fredrick Asenso</v>
      </c>
      <c r="D330" s="180" t="s">
        <v>87</v>
      </c>
      <c r="E330" s="106">
        <v>255</v>
      </c>
      <c r="F330" s="122" t="s">
        <v>2205</v>
      </c>
      <c r="G330" s="107">
        <f>E330*1.1</f>
        <v>280.5</v>
      </c>
      <c r="H330" s="353" t="s">
        <v>2211</v>
      </c>
      <c r="I330" s="104" t="str">
        <v>MATH 251,ED2-COE</v>
      </c>
      <c r="J330" s="81">
        <v>240</v>
      </c>
    </row>
    <row r="331" spans="1:10">
      <c r="A331" s="180" t="s">
        <v>140</v>
      </c>
      <c r="B331" s="180" t="str">
        <v>DIFFERENTIAL EQUATIONS</v>
      </c>
      <c r="C331" s="123" t="str">
        <v>Wireko Fredrick Asenso</v>
      </c>
      <c r="D331" s="180" t="s">
        <v>102</v>
      </c>
      <c r="E331" s="106">
        <v>80</v>
      </c>
      <c r="F331" s="119" t="s">
        <v>2206</v>
      </c>
      <c r="G331" s="107">
        <f>E331*1.1</f>
        <v>88</v>
      </c>
      <c r="H331" s="353" t="s">
        <v>2068</v>
      </c>
      <c r="I331" s="104" t="str">
        <v>MATH 251,ED2-IND</v>
      </c>
      <c r="J331" s="81">
        <v>129</v>
      </c>
    </row>
    <row r="332" spans="1:10">
      <c r="A332" s="180" t="s">
        <v>140</v>
      </c>
      <c r="B332" s="180" t="str">
        <v>DIFFERENTIAL EQUATIONS</v>
      </c>
      <c r="C332" s="122" t="str">
        <v>Wireko Fredrick Asenso</v>
      </c>
      <c r="D332" s="180" t="s">
        <v>84</v>
      </c>
      <c r="E332" s="106">
        <v>255</v>
      </c>
      <c r="F332" s="124" t="s">
        <v>2205</v>
      </c>
      <c r="G332" s="107">
        <f>E332*1.1</f>
        <v>280.5</v>
      </c>
      <c r="H332" s="353" t="s">
        <v>2211</v>
      </c>
      <c r="I332" s="83" t="str">
        <f>_xlfn.CONCAT(A332,",",D332)</f>
        <v>MATH 251,ED2-CE</v>
      </c>
      <c r="J332" s="81">
        <v>101</v>
      </c>
    </row>
    <row r="333" spans="1:10">
      <c r="A333" s="180" t="s">
        <v>140</v>
      </c>
      <c r="B333" s="180" t="str">
        <v>DIFFERENTIAL EQUATIONS</v>
      </c>
      <c r="C333" s="122" t="str">
        <v>Wireko Fredrick Asenso</v>
      </c>
      <c r="D333" s="180" t="s">
        <v>85</v>
      </c>
      <c r="E333" s="106">
        <v>134</v>
      </c>
      <c r="F333" s="123" t="s">
        <v>2207</v>
      </c>
      <c r="G333" s="107">
        <f>E333*1.1</f>
        <v>147.4</v>
      </c>
      <c r="H333" s="353" t="s">
        <v>2212</v>
      </c>
      <c r="I333" s="104" t="str">
        <f>_xlfn.CONCAT(A333,",",D333)</f>
        <v>MATH 251,ED2-GEOM</v>
      </c>
      <c r="J333" s="81">
        <v>71</v>
      </c>
    </row>
    <row r="334" spans="1:10">
      <c r="A334" s="180" t="s">
        <v>254</v>
      </c>
      <c r="B334" s="180" t="str">
        <v>AEROSPACE ENGINEERING LAB. I</v>
      </c>
      <c r="C334" s="122" t="str">
        <v>Oppong David Kofi</v>
      </c>
      <c r="D334" s="180" t="s">
        <v>48</v>
      </c>
      <c r="E334" s="117">
        <v>76</v>
      </c>
      <c r="F334" s="124" t="s">
        <v>431</v>
      </c>
      <c r="G334" s="107">
        <f>E334*1.1</f>
        <v>83.6</v>
      </c>
      <c r="H334" s="353">
        <v>76</v>
      </c>
      <c r="I334" s="104" t="str">
        <v>AERO 395,ED3-AERO</v>
      </c>
      <c r="J334" s="81">
        <v>33</v>
      </c>
    </row>
    <row r="335" spans="1:10">
      <c r="A335" s="83"/>
      <c r="B335" s="83"/>
      <c r="C335" s="109"/>
      <c r="D335" s="180" t="s">
        <v>293</v>
      </c>
      <c r="E335" s="91">
        <f>SUM(E326:E334)</f>
        <v>1355</v>
      </c>
      <c r="F335" s="109"/>
      <c r="G335" s="83"/>
      <c r="H335" s="353"/>
      <c r="I335" s="104" t="str">
        <v>,Total T2-3</v>
      </c>
      <c r="J335" s="81" t="e">
        <f>#N/A</f>
        <v>#N/A</v>
      </c>
    </row>
    <row r="336" spans="1:10">
      <c r="A336" s="83"/>
      <c r="B336" s="83"/>
      <c r="C336" s="109"/>
      <c r="D336" s="83"/>
      <c r="E336" s="83"/>
      <c r="F336" s="109"/>
      <c r="G336" s="83"/>
      <c r="H336" s="353"/>
      <c r="I336" s="104" t="str">
        <v>,</v>
      </c>
      <c r="J336" s="81" t="e">
        <f>#N/A</f>
        <v>#N/A</v>
      </c>
    </row>
    <row r="337" spans="1:10">
      <c r="A337" s="83"/>
      <c r="B337" s="347"/>
      <c r="C337" s="109"/>
      <c r="D337" s="83"/>
      <c r="E337" s="83"/>
      <c r="F337" s="109"/>
      <c r="G337" s="83"/>
      <c r="H337" s="353"/>
      <c r="I337" s="104" t="str">
        <v>,</v>
      </c>
      <c r="J337" s="81" t="e">
        <f>#N/A</f>
        <v>#N/A</v>
      </c>
    </row>
    <row r="338" spans="1:10">
      <c r="A338" s="364" t="s">
        <v>1456</v>
      </c>
      <c r="B338" s="365"/>
      <c r="C338" s="365"/>
      <c r="D338" s="365"/>
      <c r="E338" s="365"/>
      <c r="F338" s="365"/>
      <c r="G338" s="366"/>
      <c r="H338" s="353"/>
      <c r="I338" s="104" t="str">
        <v>Wednesday, 15 April 2026,</v>
      </c>
      <c r="J338" s="81" t="e">
        <f>#N/A</f>
        <v>#N/A</v>
      </c>
    </row>
    <row r="339" spans="1:10">
      <c r="A339" s="364" t="s">
        <v>411</v>
      </c>
      <c r="B339" s="365"/>
      <c r="C339" s="365"/>
      <c r="D339" s="365"/>
      <c r="E339" s="365"/>
      <c r="F339" s="365"/>
      <c r="G339" s="366"/>
      <c r="H339" s="353"/>
      <c r="I339" s="104" t="str">
        <v>Session, 1 (8:30 AM - 10:30 AM),</v>
      </c>
      <c r="J339" s="81" t="e">
        <f>#N/A</f>
        <v>#N/A</v>
      </c>
    </row>
    <row r="340" spans="1:10">
      <c r="A340" s="111" t="s">
        <v>24</v>
      </c>
      <c r="B340" s="111" t="s">
        <v>25</v>
      </c>
      <c r="C340" s="178" t="s">
        <v>26</v>
      </c>
      <c r="D340" s="111" t="s">
        <v>27</v>
      </c>
      <c r="E340" s="111" t="s">
        <v>266</v>
      </c>
      <c r="F340" s="178" t="s">
        <v>28</v>
      </c>
      <c r="G340" s="111" t="s">
        <v>265</v>
      </c>
      <c r="H340" s="353"/>
      <c r="I340" s="104" t="str">
        <v>CODE ,CLASS</v>
      </c>
      <c r="J340" s="81" t="e">
        <f>#N/A</f>
        <v>#N/A</v>
      </c>
    </row>
    <row r="341" spans="1:10">
      <c r="A341" s="180" t="s">
        <v>371</v>
      </c>
      <c r="B341" s="180" t="str">
        <f>VLOOKUP(I341:I350,Lecturers!A2:G598,6,FALSE)</f>
        <v>PROBABILITY AND STATISTICS</v>
      </c>
      <c r="C341" s="122" t="str">
        <f>VLOOKUP(I341:I350,Lecturers!A2:G598,2,FALSE)</f>
        <v>David Benteh</v>
      </c>
      <c r="D341" s="180" t="s">
        <v>109</v>
      </c>
      <c r="E341" s="106">
        <f>IFERROR(VLOOKUP(I341:I350,Lecturers!A2:F596,3,FALSE),0)</f>
        <v>40</v>
      </c>
      <c r="F341" s="124" t="s">
        <v>331</v>
      </c>
      <c r="G341" s="107">
        <f>E341*1.1</f>
        <v>44</v>
      </c>
      <c r="H341" s="354" t="s">
        <v>2001</v>
      </c>
      <c r="I341" s="104" t="str">
        <v>STAT 253,ED3-MARI</v>
      </c>
      <c r="J341" s="81">
        <v>66</v>
      </c>
    </row>
    <row r="342" spans="1:10">
      <c r="A342" s="180" t="s">
        <v>371</v>
      </c>
      <c r="B342" s="180" t="str">
        <v>PROBABILITY AND STATISTICS</v>
      </c>
      <c r="C342" s="122" t="str">
        <v>David Benteh</v>
      </c>
      <c r="D342" s="180" t="s">
        <v>52</v>
      </c>
      <c r="E342" s="106">
        <v>154</v>
      </c>
      <c r="F342" s="124" t="s">
        <v>2213</v>
      </c>
      <c r="G342" s="107">
        <f>E342*1.1</f>
        <v>169.4</v>
      </c>
      <c r="H342" s="354" t="s">
        <v>2217</v>
      </c>
      <c r="I342" s="104" t="str">
        <v>STAT 253,ED3-GEOL</v>
      </c>
      <c r="J342" s="81">
        <v>178</v>
      </c>
    </row>
    <row r="343" spans="1:10">
      <c r="A343" s="180" t="s">
        <v>371</v>
      </c>
      <c r="B343" s="180" t="str">
        <v>PROBABILITY AND STATISTICS</v>
      </c>
      <c r="C343" s="122" t="str">
        <v>Okutu John Kwadey</v>
      </c>
      <c r="D343" s="180" t="s">
        <v>105</v>
      </c>
      <c r="E343" s="106">
        <v>40</v>
      </c>
      <c r="F343" s="124" t="s">
        <v>2078</v>
      </c>
      <c r="G343" s="107">
        <f>E343*1.1</f>
        <v>44</v>
      </c>
      <c r="H343" s="354" t="s">
        <v>2062</v>
      </c>
      <c r="I343" s="104" t="str">
        <v>STAT 253,ED3-AUTO</v>
      </c>
      <c r="J343" s="81">
        <v>113</v>
      </c>
    </row>
    <row r="344" spans="1:10">
      <c r="A344" s="180" t="s">
        <v>371</v>
      </c>
      <c r="B344" s="180" t="str">
        <v>PROBABILITY AND STATISTICS</v>
      </c>
      <c r="C344" s="131" t="str">
        <v>Okutu John Kwadey</v>
      </c>
      <c r="D344" s="180" t="s">
        <v>53</v>
      </c>
      <c r="E344" s="106">
        <v>240</v>
      </c>
      <c r="F344" s="124" t="s">
        <v>2152</v>
      </c>
      <c r="G344" s="107">
        <f>E344*1.1</f>
        <v>264</v>
      </c>
      <c r="H344" s="354" t="s">
        <v>2156</v>
      </c>
      <c r="I344" s="104" t="str">
        <v>STAT 253,ED3-EE</v>
      </c>
      <c r="J344" s="81">
        <v>43</v>
      </c>
    </row>
    <row r="345" spans="1:10">
      <c r="A345" s="180" t="s">
        <v>371</v>
      </c>
      <c r="B345" s="180" t="str">
        <v>PROBABILITY AND STATISTICS</v>
      </c>
      <c r="C345" s="122" t="str">
        <v>David Benteh</v>
      </c>
      <c r="D345" s="180" t="s">
        <v>56</v>
      </c>
      <c r="E345" s="106">
        <v>90</v>
      </c>
      <c r="F345" s="124" t="s">
        <v>2214</v>
      </c>
      <c r="G345" s="107">
        <f>E345*1.1</f>
        <v>99</v>
      </c>
      <c r="H345" s="354" t="s">
        <v>2218</v>
      </c>
      <c r="I345" s="104" t="str">
        <v>STAT 253,ED3-BME</v>
      </c>
      <c r="J345" s="81">
        <v>71</v>
      </c>
    </row>
    <row r="346" spans="1:10">
      <c r="A346" s="180" t="s">
        <v>371</v>
      </c>
      <c r="B346" s="180" t="str">
        <v>PROBABILITY AND STATISTICS</v>
      </c>
      <c r="C346" s="122" t="str">
        <v>Awiakye-Marfo George</v>
      </c>
      <c r="D346" s="180" t="s">
        <v>51</v>
      </c>
      <c r="E346" s="106">
        <v>220</v>
      </c>
      <c r="F346" s="124" t="s">
        <v>2215</v>
      </c>
      <c r="G346" s="107">
        <f>E346*1.1</f>
        <v>242</v>
      </c>
      <c r="H346" s="354" t="s">
        <v>2219</v>
      </c>
      <c r="I346" s="104" t="str">
        <f>_xlfn.CONCAT(A346,",",D346)</f>
        <v>STAT 253,ED3-CE</v>
      </c>
      <c r="J346" s="81">
        <v>166</v>
      </c>
    </row>
    <row r="347" spans="1:10">
      <c r="A347" s="180" t="s">
        <v>371</v>
      </c>
      <c r="B347" s="180" t="str">
        <v>PROBABILITY AND STATISTICS</v>
      </c>
      <c r="C347" s="122" t="str">
        <v>Benteh David</v>
      </c>
      <c r="D347" s="180" t="s">
        <v>110</v>
      </c>
      <c r="E347" s="106">
        <v>87</v>
      </c>
      <c r="F347" s="124" t="s">
        <v>2155</v>
      </c>
      <c r="G347" s="107">
        <f>E347*1.1</f>
        <v>95.7</v>
      </c>
      <c r="H347" s="354" t="s">
        <v>2220</v>
      </c>
      <c r="I347" s="104" t="str">
        <v>STAT 253,ED3-METE</v>
      </c>
      <c r="J347" s="81">
        <v>143</v>
      </c>
    </row>
    <row r="348" spans="1:10">
      <c r="A348" s="180" t="s">
        <v>371</v>
      </c>
      <c r="B348" s="180" t="str">
        <v>PROBABILITY AND STATISTICS</v>
      </c>
      <c r="C348" s="122" t="str">
        <v>Benteh David</v>
      </c>
      <c r="D348" s="180" t="s">
        <v>111</v>
      </c>
      <c r="E348" s="106">
        <v>89</v>
      </c>
      <c r="F348" s="124" t="s">
        <v>1990</v>
      </c>
      <c r="G348" s="107">
        <f>E348*1.1</f>
        <v>97.9</v>
      </c>
      <c r="H348" s="354" t="s">
        <v>2220</v>
      </c>
      <c r="I348" s="104" t="str">
        <v>STAT 253,ED3-MSE</v>
      </c>
      <c r="J348" s="81">
        <v>143</v>
      </c>
    </row>
    <row r="349" spans="1:10">
      <c r="A349" s="180" t="s">
        <v>192</v>
      </c>
      <c r="B349" s="180" t="str">
        <v>ENGINEERING PRACTICE AND TECHNOLOGY</v>
      </c>
      <c r="C349" s="122" t="str">
        <v>Acquaah Vincent Kofi Abaka</v>
      </c>
      <c r="D349" s="180" t="s">
        <v>36</v>
      </c>
      <c r="E349" s="106">
        <v>245</v>
      </c>
      <c r="F349" s="124" t="s">
        <v>2152</v>
      </c>
      <c r="G349" s="107">
        <f>E349*1.1</f>
        <v>269.5</v>
      </c>
      <c r="H349" s="353" t="s">
        <v>2156</v>
      </c>
      <c r="I349" s="104" t="str">
        <f>_xlfn.CONCAT(A349,",",D349)</f>
        <v>CE 153,ED1-CE</v>
      </c>
      <c r="J349" s="339"/>
    </row>
    <row r="350" spans="1:10">
      <c r="A350" s="180" t="s">
        <v>303</v>
      </c>
      <c r="B350" s="180" t="str">
        <v>RESERVOIR ENGINEERING I</v>
      </c>
      <c r="C350" s="122" t="str">
        <v>Adenutsi Caspar Daniel</v>
      </c>
      <c r="D350" s="180" t="s">
        <v>1468</v>
      </c>
      <c r="E350" s="106">
        <v>95</v>
      </c>
      <c r="F350" s="176" t="s">
        <v>2216</v>
      </c>
      <c r="G350" s="107">
        <f>E350*1.1</f>
        <v>104.5</v>
      </c>
      <c r="H350" s="353" t="s">
        <v>2221</v>
      </c>
      <c r="I350" s="104" t="str">
        <f>_xlfn.CONCAT(A350,",",D350)</f>
        <v>PE 251,ED2-PE</v>
      </c>
      <c r="J350" s="81"/>
    </row>
    <row r="351" spans="1:10">
      <c r="A351" s="83"/>
      <c r="B351" s="83"/>
      <c r="C351" s="109"/>
      <c r="D351" s="180" t="s">
        <v>294</v>
      </c>
      <c r="E351" s="91">
        <f>SUM(E341:E350)</f>
        <v>1300</v>
      </c>
      <c r="F351" s="109"/>
      <c r="G351" s="83"/>
      <c r="H351" s="353"/>
      <c r="I351" s="104" t="str">
        <f>_xlfn.CONCAT(A351,",",D351)</f>
        <v>,Total W2-1</v>
      </c>
      <c r="J351" s="81" t="e">
        <f>#N/A</f>
        <v>#N/A</v>
      </c>
    </row>
    <row r="352" spans="1:10">
      <c r="A352" s="83"/>
      <c r="B352" s="347"/>
      <c r="C352" s="109"/>
      <c r="D352" s="83"/>
      <c r="E352" s="83"/>
      <c r="F352" s="109"/>
      <c r="G352" s="83"/>
      <c r="H352" s="353"/>
      <c r="I352" s="104" t="str">
        <v>,</v>
      </c>
      <c r="J352" s="81" t="e">
        <f>#N/A</f>
        <v>#N/A</v>
      </c>
    </row>
    <row r="353" spans="1:10">
      <c r="A353" s="83"/>
      <c r="B353" s="83"/>
      <c r="C353" s="109"/>
      <c r="D353" s="83"/>
      <c r="E353" s="83"/>
      <c r="F353" s="109"/>
      <c r="G353" s="83"/>
      <c r="H353" s="353"/>
      <c r="I353" s="104" t="str">
        <v>,</v>
      </c>
      <c r="J353" s="81" t="e">
        <f>#N/A</f>
        <v>#N/A</v>
      </c>
    </row>
    <row r="354" spans="1:10">
      <c r="A354" s="364" t="s">
        <v>1456</v>
      </c>
      <c r="B354" s="365"/>
      <c r="C354" s="365"/>
      <c r="D354" s="365"/>
      <c r="E354" s="365"/>
      <c r="F354" s="365"/>
      <c r="G354" s="366"/>
      <c r="H354" s="353"/>
      <c r="I354" s="104" t="str">
        <v>Wednesday, 15 April 2026,</v>
      </c>
      <c r="J354" s="81" t="e">
        <f>#N/A</f>
        <v>#N/A</v>
      </c>
    </row>
    <row r="355" spans="1:10">
      <c r="A355" s="364" t="s">
        <v>412</v>
      </c>
      <c r="B355" s="365"/>
      <c r="C355" s="365"/>
      <c r="D355" s="365"/>
      <c r="E355" s="365"/>
      <c r="F355" s="365"/>
      <c r="G355" s="366"/>
      <c r="H355" s="353"/>
      <c r="I355" s="104" t="str">
        <v>Session, 2 (12:00 PM - 2:00 PM),</v>
      </c>
      <c r="J355" s="81" t="e">
        <f>#N/A</f>
        <v>#N/A</v>
      </c>
    </row>
    <row r="356" spans="1:10">
      <c r="A356" s="111" t="s">
        <v>24</v>
      </c>
      <c r="B356" s="111" t="s">
        <v>25</v>
      </c>
      <c r="C356" s="178" t="s">
        <v>26</v>
      </c>
      <c r="D356" s="111" t="s">
        <v>27</v>
      </c>
      <c r="E356" s="111" t="s">
        <v>266</v>
      </c>
      <c r="F356" s="178" t="s">
        <v>28</v>
      </c>
      <c r="G356" s="111" t="s">
        <v>265</v>
      </c>
      <c r="H356" s="353"/>
      <c r="I356" s="104" t="str">
        <v>CODE ,CLASS</v>
      </c>
      <c r="J356" s="81" t="e">
        <f>#N/A</f>
        <v>#N/A</v>
      </c>
    </row>
    <row r="357" spans="1:10">
      <c r="A357" s="180" t="s">
        <v>233</v>
      </c>
      <c r="B357" s="180" t="str">
        <f>VLOOKUP(I357:I366,Lecturers!A2:G598,6,FALSE)</f>
        <v>COMPUTER NETWORKING</v>
      </c>
      <c r="C357" s="122" t="str">
        <f>VLOOKUP(I357:I366,Lecturers!A2:G598,2,FALSE)</f>
        <v>Adrah Charles Mawutor</v>
      </c>
      <c r="D357" s="180" t="s">
        <v>114</v>
      </c>
      <c r="E357" s="106">
        <f>IFERROR(VLOOKUP(I357:I366,Lecturers!A2:F596,3,FALSE),0)</f>
        <v>215</v>
      </c>
      <c r="F357" s="123" t="s">
        <v>2205</v>
      </c>
      <c r="G357" s="107">
        <f>E357*1.1</f>
        <v>236.5</v>
      </c>
      <c r="H357" s="353" t="s">
        <v>2224</v>
      </c>
      <c r="I357" s="104" t="str">
        <v>COE 475,ED4-EE</v>
      </c>
      <c r="J357" s="81">
        <v>74</v>
      </c>
    </row>
    <row r="358" spans="1:10" s="136" customFormat="1">
      <c r="A358" s="181" t="s">
        <v>1479</v>
      </c>
      <c r="B358" s="181" t="str">
        <v>MOBILE AND WIRELESS COMMUNICATIONS</v>
      </c>
      <c r="C358" s="126" t="str">
        <v>Agyekum Kwame Agyeman-Prempeh</v>
      </c>
      <c r="D358" s="181" t="s">
        <v>117</v>
      </c>
      <c r="E358" s="108">
        <v>140</v>
      </c>
      <c r="F358" s="132" t="s">
        <v>2213</v>
      </c>
      <c r="G358" s="138">
        <f>E358*1.1</f>
        <v>154</v>
      </c>
      <c r="H358" s="355" t="s">
        <v>2225</v>
      </c>
      <c r="I358" s="139" t="str">
        <f>_xlfn.CONCAT(A358,",",D358)</f>
        <v>TE 453,ED4-TEL</v>
      </c>
      <c r="J358" s="81">
        <v>164</v>
      </c>
    </row>
    <row r="359" spans="1:10">
      <c r="A359" s="180" t="s">
        <v>258</v>
      </c>
      <c r="B359" s="180" t="str">
        <v>ENGINEERING IN SOCIETY</v>
      </c>
      <c r="C359" s="123" t="str">
        <v>Boahen Samuel</v>
      </c>
      <c r="D359" s="180" t="s">
        <v>82</v>
      </c>
      <c r="E359" s="106">
        <v>242</v>
      </c>
      <c r="F359" s="124" t="s">
        <v>2205</v>
      </c>
      <c r="G359" s="107">
        <f>E359*1.1</f>
        <v>266.2</v>
      </c>
      <c r="H359" s="353" t="s">
        <v>2226</v>
      </c>
      <c r="I359" s="104" t="str">
        <f>_xlfn.CONCAT(A359,",",D359)</f>
        <v>CENG 291,ED2-ME</v>
      </c>
      <c r="J359" s="81">
        <v>34</v>
      </c>
    </row>
    <row r="360" spans="1:10">
      <c r="A360" s="180" t="s">
        <v>258</v>
      </c>
      <c r="B360" s="180" t="str">
        <v>ENGINEERING IN SOCIETY</v>
      </c>
      <c r="C360" s="122" t="str">
        <v>Adam Faisal Wahib</v>
      </c>
      <c r="D360" s="180" t="s">
        <v>103</v>
      </c>
      <c r="E360" s="106">
        <v>37</v>
      </c>
      <c r="F360" s="124" t="s">
        <v>331</v>
      </c>
      <c r="G360" s="107">
        <f>E360*1.1</f>
        <v>40.7</v>
      </c>
      <c r="H360" s="354">
        <v>37</v>
      </c>
      <c r="I360" s="104" t="str">
        <f>_xlfn.CONCAT(A360,",",D360)</f>
        <v>CENG 291,ED2-MARI</v>
      </c>
      <c r="J360" s="81">
        <v>74</v>
      </c>
    </row>
    <row r="361" spans="1:10">
      <c r="A361" s="180" t="s">
        <v>258</v>
      </c>
      <c r="B361" s="180" t="str">
        <v>ENGINEERING IN SOCIETY</v>
      </c>
      <c r="C361" s="122" t="str">
        <v>Afriyie Nyarko Frank Kwabena</v>
      </c>
      <c r="D361" s="180" t="s">
        <v>102</v>
      </c>
      <c r="E361" s="106">
        <v>80</v>
      </c>
      <c r="F361" s="123" t="s">
        <v>2155</v>
      </c>
      <c r="G361" s="107">
        <f>E361*1.1</f>
        <v>88</v>
      </c>
      <c r="H361" s="354" t="s">
        <v>2068</v>
      </c>
      <c r="I361" s="104" t="str">
        <v>CENG 291,ED2-IND</v>
      </c>
      <c r="J361" s="81">
        <v>129</v>
      </c>
    </row>
    <row r="362" spans="1:10">
      <c r="A362" s="180" t="s">
        <v>258</v>
      </c>
      <c r="B362" s="180" t="str">
        <v>ENGINEERING IN SOCIETY</v>
      </c>
      <c r="C362" s="122" t="str">
        <v>Amoabeng Kofi Owura</v>
      </c>
      <c r="D362" s="180" t="s">
        <v>101</v>
      </c>
      <c r="E362" s="106">
        <v>82</v>
      </c>
      <c r="F362" s="123" t="s">
        <v>2222</v>
      </c>
      <c r="G362" s="107">
        <f>E362*1.1</f>
        <v>90.2</v>
      </c>
      <c r="H362" s="354" t="s">
        <v>2227</v>
      </c>
      <c r="I362" s="104" t="str">
        <v>CENG 291,ED2-AUTO</v>
      </c>
      <c r="J362" s="81">
        <v>82</v>
      </c>
    </row>
    <row r="363" spans="1:10">
      <c r="A363" s="180" t="s">
        <v>258</v>
      </c>
      <c r="B363" s="180" t="str">
        <v>ENGINEERING IN SOCIETY</v>
      </c>
      <c r="C363" s="122" t="str">
        <v>Oppong David Kofi</v>
      </c>
      <c r="D363" s="180" t="s">
        <v>80</v>
      </c>
      <c r="E363" s="106">
        <v>75</v>
      </c>
      <c r="F363" s="124" t="s">
        <v>431</v>
      </c>
      <c r="G363" s="107">
        <f>E363*1.1</f>
        <v>82.5</v>
      </c>
      <c r="H363" s="354">
        <v>75</v>
      </c>
      <c r="I363" s="104" t="str">
        <v>CENG 291,ED2-AERO</v>
      </c>
      <c r="J363" s="81">
        <v>74</v>
      </c>
    </row>
    <row r="364" spans="1:10">
      <c r="A364" s="180" t="s">
        <v>147</v>
      </c>
      <c r="B364" s="180" t="str">
        <v>SYSTEMS ENGINEERING I</v>
      </c>
      <c r="C364" s="123" t="str">
        <v>Donkor Emmanuel Amponsah</v>
      </c>
      <c r="D364" s="180" t="s">
        <v>19</v>
      </c>
      <c r="E364" s="106">
        <v>130</v>
      </c>
      <c r="F364" s="123" t="s">
        <v>1992</v>
      </c>
      <c r="G364" s="107">
        <f>E364*1.1</f>
        <v>143</v>
      </c>
      <c r="H364" s="353" t="s">
        <v>1991</v>
      </c>
      <c r="I364" s="104" t="str">
        <f>_xlfn.CONCAT(A364,",",D364)</f>
        <v>CE 475,ED4-CE</v>
      </c>
      <c r="J364" s="81">
        <v>19</v>
      </c>
    </row>
    <row r="365" spans="1:10">
      <c r="A365" s="180" t="s">
        <v>252</v>
      </c>
      <c r="B365" s="180" t="str">
        <v>ORGANIC AND PETROCHEMICAL SYNTHESIS</v>
      </c>
      <c r="C365" s="123" t="str">
        <v>Mensah Mary</v>
      </c>
      <c r="D365" s="180" t="s">
        <v>46</v>
      </c>
      <c r="E365" s="106">
        <v>51</v>
      </c>
      <c r="F365" s="124" t="s">
        <v>2223</v>
      </c>
      <c r="G365" s="107">
        <f>E365*1.1</f>
        <v>56.1</v>
      </c>
      <c r="H365" s="353" t="s">
        <v>2142</v>
      </c>
      <c r="I365" s="104" t="str">
        <f>_xlfn.CONCAT(A365,",",D365)</f>
        <v>PCE 357,ED3-PCE</v>
      </c>
      <c r="J365" s="81">
        <v>99</v>
      </c>
    </row>
    <row r="366" spans="1:10" s="105" customFormat="1">
      <c r="A366" s="180" t="s">
        <v>452</v>
      </c>
      <c r="B366" s="180" t="str">
        <v>INFORMATION THEORY AND CODING</v>
      </c>
      <c r="C366" s="122" t="str">
        <v>Obour Agyekum Kwame Opuni-Boachie</v>
      </c>
      <c r="D366" s="180" t="s">
        <v>54</v>
      </c>
      <c r="E366" s="106">
        <v>140</v>
      </c>
      <c r="F366" s="176" t="s">
        <v>2045</v>
      </c>
      <c r="G366" s="107">
        <f>E366*1.1</f>
        <v>154</v>
      </c>
      <c r="H366" s="353" t="s">
        <v>2018</v>
      </c>
      <c r="I366" s="105" t="str">
        <f>CONCATENATE(A366,",",D366)</f>
        <v>TE 351,ED3-TEL</v>
      </c>
      <c r="J366" s="102"/>
    </row>
    <row r="367" spans="1:10">
      <c r="A367" s="83"/>
      <c r="B367" s="83"/>
      <c r="C367" s="109"/>
      <c r="D367" s="180" t="s">
        <v>295</v>
      </c>
      <c r="E367" s="91">
        <f>SUM(E357:E366)</f>
        <v>1192</v>
      </c>
      <c r="F367" s="109"/>
      <c r="G367" s="83"/>
      <c r="H367" s="353"/>
      <c r="I367" s="104" t="str">
        <f>_xlfn.CONCAT(A367,",",D367)</f>
        <v>,Total W2-2</v>
      </c>
      <c r="J367" s="81" t="e">
        <f>#N/A</f>
        <v>#N/A</v>
      </c>
    </row>
    <row r="368" spans="1:10">
      <c r="A368" s="83"/>
      <c r="B368" s="347"/>
      <c r="C368" s="109"/>
      <c r="D368" s="83"/>
      <c r="E368" s="83"/>
      <c r="F368" s="109"/>
      <c r="G368" s="83"/>
      <c r="H368" s="353"/>
      <c r="I368" s="104" t="str">
        <v>,</v>
      </c>
      <c r="J368" s="81" t="e">
        <f>#N/A</f>
        <v>#N/A</v>
      </c>
    </row>
    <row r="369" spans="1:10">
      <c r="A369" s="83"/>
      <c r="B369" s="83"/>
      <c r="C369" s="109"/>
      <c r="D369" s="83"/>
      <c r="E369" s="83"/>
      <c r="F369" s="109"/>
      <c r="G369" s="83"/>
      <c r="H369" s="353"/>
      <c r="I369" s="104" t="str">
        <v>,</v>
      </c>
      <c r="J369" s="81" t="e">
        <f>#N/A</f>
        <v>#N/A</v>
      </c>
    </row>
    <row r="370" spans="1:10">
      <c r="A370" s="364" t="s">
        <v>1456</v>
      </c>
      <c r="B370" s="365"/>
      <c r="C370" s="365"/>
      <c r="D370" s="365"/>
      <c r="E370" s="365"/>
      <c r="F370" s="365"/>
      <c r="G370" s="366"/>
      <c r="H370" s="353"/>
      <c r="I370" s="104" t="str">
        <v>Wednesday, 15 April 2026,</v>
      </c>
      <c r="J370" s="81" t="e">
        <f>#N/A</f>
        <v>#N/A</v>
      </c>
    </row>
    <row r="371" spans="1:10">
      <c r="A371" s="364" t="s">
        <v>413</v>
      </c>
      <c r="B371" s="365"/>
      <c r="C371" s="365"/>
      <c r="D371" s="365"/>
      <c r="E371" s="365"/>
      <c r="F371" s="365"/>
      <c r="G371" s="366"/>
      <c r="H371" s="353"/>
      <c r="I371" s="104" t="str">
        <v>Session, 3 (3:00 PM - 5:00 PM),</v>
      </c>
      <c r="J371" s="81" t="e">
        <f>#N/A</f>
        <v>#N/A</v>
      </c>
    </row>
    <row r="372" spans="1:10">
      <c r="A372" s="111" t="s">
        <v>24</v>
      </c>
      <c r="B372" s="111" t="s">
        <v>25</v>
      </c>
      <c r="C372" s="178" t="s">
        <v>26</v>
      </c>
      <c r="D372" s="111" t="s">
        <v>27</v>
      </c>
      <c r="E372" s="111" t="s">
        <v>266</v>
      </c>
      <c r="F372" s="178" t="s">
        <v>28</v>
      </c>
      <c r="G372" s="111" t="s">
        <v>265</v>
      </c>
      <c r="H372" s="353"/>
      <c r="I372" s="104" t="str">
        <v>CODE ,CLASS</v>
      </c>
      <c r="J372" s="81" t="e">
        <f>#N/A</f>
        <v>#N/A</v>
      </c>
    </row>
    <row r="373" spans="1:10">
      <c r="A373" s="180" t="s">
        <v>204</v>
      </c>
      <c r="B373" s="180" t="str">
        <f>VLOOKUP(I373:I383,Lecturers!A2:G598,6,FALSE)</f>
        <v>SURVEY ADJUSTMENT I</v>
      </c>
      <c r="C373" s="123" t="str">
        <f>VLOOKUP(I373:I383,Lecturers!A2:G598,2,FALSE)</f>
        <v>Fosu Collins</v>
      </c>
      <c r="D373" s="180" t="s">
        <v>107</v>
      </c>
      <c r="E373" s="106">
        <f>IFERROR(VLOOKUP(I373:I383,Lecturers!A2:F596,3,FALSE),0)</f>
        <v>125</v>
      </c>
      <c r="F373" s="452" t="s">
        <v>1815</v>
      </c>
      <c r="G373" s="107">
        <f>E373*1.1</f>
        <v>137.5</v>
      </c>
      <c r="H373" s="353"/>
      <c r="I373" s="104" t="str">
        <v>GE 371,ED3-GEOM</v>
      </c>
      <c r="J373" s="81">
        <v>250</v>
      </c>
    </row>
    <row r="374" spans="1:10">
      <c r="A374" s="180" t="s">
        <v>213</v>
      </c>
      <c r="B374" s="180" t="str">
        <v>COMPUTER APPLICATIONS FOR ENGINEERS</v>
      </c>
      <c r="C374" s="123" t="str">
        <v>Bonsu Jude Kwaku</v>
      </c>
      <c r="D374" s="180" t="s">
        <v>40</v>
      </c>
      <c r="E374" s="106">
        <v>65</v>
      </c>
      <c r="F374" s="453"/>
      <c r="G374" s="107">
        <f>E374*1.1</f>
        <v>71.5</v>
      </c>
      <c r="H374" s="353"/>
      <c r="I374" s="104" t="str">
        <v>CHE 261,ED2-PCE</v>
      </c>
      <c r="J374" s="81"/>
    </row>
    <row r="375" spans="1:10">
      <c r="A375" s="180" t="s">
        <v>334</v>
      </c>
      <c r="B375" s="180" t="str">
        <v>RESERVOIR PETROPHYSICS</v>
      </c>
      <c r="C375" s="123" t="str">
        <v>Erzuah Samuel</v>
      </c>
      <c r="D375" s="180" t="s">
        <v>1469</v>
      </c>
      <c r="E375" s="106">
        <v>80</v>
      </c>
      <c r="F375" s="124" t="s">
        <v>2228</v>
      </c>
      <c r="G375" s="107">
        <f>E375*1.1</f>
        <v>88</v>
      </c>
      <c r="H375" s="353" t="s">
        <v>2068</v>
      </c>
      <c r="I375" s="104" t="str">
        <f>_xlfn.CONCAT(A375,",",D375)</f>
        <v>PE 359,ED3-PE</v>
      </c>
      <c r="J375" s="81">
        <v>112</v>
      </c>
    </row>
    <row r="376" spans="1:10">
      <c r="A376" s="180" t="s">
        <v>95</v>
      </c>
      <c r="B376" s="180" t="str">
        <v>CELL BIOLOGY</v>
      </c>
      <c r="C376" s="123" t="str">
        <v>Adjei Prince Ebenezer</v>
      </c>
      <c r="D376" s="180" t="s">
        <v>33</v>
      </c>
      <c r="E376" s="106">
        <v>136</v>
      </c>
      <c r="F376" s="124" t="s">
        <v>2229</v>
      </c>
      <c r="G376" s="107">
        <f>E376*1.1</f>
        <v>149.6</v>
      </c>
      <c r="H376" s="354" t="s">
        <v>2232</v>
      </c>
      <c r="I376" s="104" t="str">
        <v>BME 161,ED1-BME</v>
      </c>
      <c r="J376" s="81"/>
    </row>
    <row r="377" spans="1:10">
      <c r="A377" s="180" t="s">
        <v>154</v>
      </c>
      <c r="B377" s="180" t="str">
        <v>BASIC MECHANICS</v>
      </c>
      <c r="C377" s="122" t="str">
        <v>Tay Godwin Fabiola Kwaku</v>
      </c>
      <c r="D377" s="180" t="s">
        <v>32</v>
      </c>
      <c r="E377" s="106">
        <v>262</v>
      </c>
      <c r="F377" s="123" t="s">
        <v>2176</v>
      </c>
      <c r="G377" s="107">
        <f>E377*1.1</f>
        <v>288.2</v>
      </c>
      <c r="H377" s="353" t="s">
        <v>2233</v>
      </c>
      <c r="I377" s="104" t="str">
        <v>ME 161,ED1-COE</v>
      </c>
      <c r="J377" s="81">
        <v>185</v>
      </c>
    </row>
    <row r="378" spans="1:10">
      <c r="A378" s="180" t="s">
        <v>60</v>
      </c>
      <c r="B378" s="180" t="str">
        <v>REGIONAL GEOLOGY</v>
      </c>
      <c r="C378" s="122" t="str">
        <v>Foli Gordon</v>
      </c>
      <c r="D378" s="180" t="s">
        <v>22</v>
      </c>
      <c r="E378" s="106">
        <v>95</v>
      </c>
      <c r="F378" s="124" t="s">
        <v>2177</v>
      </c>
      <c r="G378" s="107">
        <f>E378*1.1</f>
        <v>104.5</v>
      </c>
      <c r="H378" s="353" t="s">
        <v>2234</v>
      </c>
      <c r="I378" s="104" t="str">
        <v>GED 451,ED4-GEOL</v>
      </c>
      <c r="J378" s="81">
        <v>134</v>
      </c>
    </row>
    <row r="379" spans="1:10">
      <c r="A379" s="180" t="s">
        <v>181</v>
      </c>
      <c r="B379" s="180" t="str">
        <v>ENGINEERING TECHNOLOGY</v>
      </c>
      <c r="C379" s="122" t="str">
        <v>Nuamah Daniel Oduro Boatey</v>
      </c>
      <c r="D379" s="180" t="s">
        <v>6</v>
      </c>
      <c r="E379" s="106">
        <v>125</v>
      </c>
      <c r="F379" s="123" t="s">
        <v>1992</v>
      </c>
      <c r="G379" s="107">
        <f>E379*1.1</f>
        <v>137.5</v>
      </c>
      <c r="H379" s="353" t="s">
        <v>2235</v>
      </c>
      <c r="I379" s="104" t="str">
        <v>GED 153,ED1-GEOL</v>
      </c>
      <c r="J379" s="81">
        <v>105</v>
      </c>
    </row>
    <row r="380" spans="1:10" s="136" customFormat="1">
      <c r="A380" s="181" t="s">
        <v>216</v>
      </c>
      <c r="B380" s="181" t="str">
        <v>THERMODYNAMICS  II</v>
      </c>
      <c r="C380" s="126" t="str">
        <v>Forson Francis Kofi</v>
      </c>
      <c r="D380" s="181" t="s">
        <v>50</v>
      </c>
      <c r="E380" s="106">
        <v>100</v>
      </c>
      <c r="F380" s="129" t="s">
        <v>2230</v>
      </c>
      <c r="G380" s="138">
        <f>E380*1.1</f>
        <v>110</v>
      </c>
      <c r="H380" s="354" t="s">
        <v>2236</v>
      </c>
      <c r="I380" s="139" t="str">
        <f>_xlfn.CONCAT(A380,",",D380)</f>
        <v>ME 365,ED3-AE</v>
      </c>
      <c r="J380" s="81">
        <v>142</v>
      </c>
    </row>
    <row r="381" spans="1:10" s="136" customFormat="1">
      <c r="A381" s="181" t="s">
        <v>216</v>
      </c>
      <c r="B381" s="181" t="str">
        <v>THERMODYNAMICS  II</v>
      </c>
      <c r="C381" s="126" t="str">
        <v>Forson Francis Kofi</v>
      </c>
      <c r="D381" s="181" t="s">
        <v>49</v>
      </c>
      <c r="E381" s="106">
        <v>225</v>
      </c>
      <c r="F381" s="129" t="s">
        <v>2191</v>
      </c>
      <c r="G381" s="138">
        <f>E381*1.1</f>
        <v>247.5</v>
      </c>
      <c r="H381" s="354" t="s">
        <v>2237</v>
      </c>
      <c r="I381" s="139" t="str">
        <v>ME 365,ED3-ME</v>
      </c>
      <c r="J381" s="81">
        <v>253</v>
      </c>
    </row>
    <row r="382" spans="1:10">
      <c r="A382" s="180" t="s">
        <v>165</v>
      </c>
      <c r="B382" s="180" t="str">
        <v>COMPUTER ARCHITECTURE</v>
      </c>
      <c r="C382" s="131" t="str">
        <v>Boateng Kwame Osei</v>
      </c>
      <c r="D382" s="180" t="s">
        <v>113</v>
      </c>
      <c r="E382" s="106">
        <v>160</v>
      </c>
      <c r="F382" s="124" t="s">
        <v>2231</v>
      </c>
      <c r="G382" s="107">
        <f>E382*1.1</f>
        <v>176</v>
      </c>
      <c r="H382" s="353" t="s">
        <v>2100</v>
      </c>
      <c r="I382" s="104" t="str">
        <v>COE 485,ED4-COE</v>
      </c>
      <c r="J382" s="81">
        <v>146</v>
      </c>
    </row>
    <row r="383" spans="1:10">
      <c r="A383" s="180" t="s">
        <v>279</v>
      </c>
      <c r="B383" s="180" t="str">
        <v>RESEARCH METHODS</v>
      </c>
      <c r="C383" s="123" t="str">
        <v>Duker Alfred Alan</v>
      </c>
      <c r="D383" s="180" t="s">
        <v>58</v>
      </c>
      <c r="E383" s="106">
        <v>93</v>
      </c>
      <c r="F383" s="124" t="s">
        <v>2177</v>
      </c>
      <c r="G383" s="107">
        <f>E383*1.1</f>
        <v>102.3</v>
      </c>
      <c r="H383" s="353" t="s">
        <v>2238</v>
      </c>
      <c r="I383" s="104" t="str">
        <f>_xlfn.CONCAT(A383,",",D383)</f>
        <v>GE 475,ED4-GEOM</v>
      </c>
      <c r="J383" s="81">
        <v>86</v>
      </c>
    </row>
    <row r="384" spans="1:10">
      <c r="A384" s="83"/>
      <c r="B384" s="83"/>
      <c r="C384" s="109"/>
      <c r="D384" s="180" t="s">
        <v>296</v>
      </c>
      <c r="E384" s="91">
        <f>SUM(E375:E383)</f>
        <v>1276</v>
      </c>
      <c r="F384" s="109"/>
      <c r="G384" s="83"/>
      <c r="H384" s="353"/>
      <c r="I384" s="104" t="str">
        <v>,Total W2-3</v>
      </c>
      <c r="J384" s="81" t="e">
        <f>#N/A</f>
        <v>#N/A</v>
      </c>
    </row>
    <row r="385" spans="1:16384" s="352" customFormat="1">
      <c r="A385" s="83"/>
      <c r="B385" s="83"/>
      <c r="C385" s="109"/>
      <c r="D385" s="83"/>
      <c r="E385" s="83"/>
      <c r="F385" s="109"/>
      <c r="G385" s="83"/>
      <c r="H385" s="353"/>
      <c r="I385" s="104" t="str">
        <v>,</v>
      </c>
      <c r="J385" s="81" t="e">
        <f>#N/A</f>
        <v>#N/A</v>
      </c>
    </row>
    <row r="386" spans="1:16384" s="352" customFormat="1">
      <c r="A386" s="83"/>
      <c r="B386" s="83"/>
      <c r="C386" s="109"/>
      <c r="D386" s="83"/>
      <c r="E386" s="83"/>
      <c r="F386" s="109"/>
      <c r="G386" s="83"/>
      <c r="H386" s="353"/>
      <c r="I386" s="104" t="str">
        <v>,</v>
      </c>
      <c r="J386" s="81" t="e">
        <f>#N/A</f>
        <v>#N/A</v>
      </c>
    </row>
    <row r="387" spans="1:16384" s="352" customFormat="1">
      <c r="A387" s="364" t="s">
        <v>1457</v>
      </c>
      <c r="B387" s="365"/>
      <c r="C387" s="365"/>
      <c r="D387" s="365"/>
      <c r="E387" s="365"/>
      <c r="F387" s="365"/>
      <c r="G387" s="366"/>
      <c r="H387" s="353"/>
      <c r="I387" s="104" t="str">
        <v>Thursday, 16 April 2026,</v>
      </c>
      <c r="J387" s="81" t="e">
        <f>#N/A</f>
        <v>#N/A</v>
      </c>
    </row>
    <row r="388" spans="1:16384" s="352" customFormat="1">
      <c r="A388" s="364" t="s">
        <v>411</v>
      </c>
      <c r="B388" s="365"/>
      <c r="C388" s="365"/>
      <c r="D388" s="365"/>
      <c r="E388" s="365"/>
      <c r="F388" s="365"/>
      <c r="G388" s="366"/>
      <c r="H388" s="353"/>
      <c r="I388" s="104" t="str">
        <v>Session, 1 (8:30 AM - 10:30 AM),</v>
      </c>
      <c r="J388" s="81" t="e">
        <f>#N/A</f>
        <v>#N/A</v>
      </c>
    </row>
    <row r="389" spans="1:16384" s="352" customFormat="1">
      <c r="A389" s="111" t="s">
        <v>24</v>
      </c>
      <c r="B389" s="111" t="s">
        <v>25</v>
      </c>
      <c r="C389" s="178" t="s">
        <v>26</v>
      </c>
      <c r="D389" s="111" t="s">
        <v>27</v>
      </c>
      <c r="E389" s="111" t="s">
        <v>266</v>
      </c>
      <c r="F389" s="178" t="s">
        <v>28</v>
      </c>
      <c r="G389" s="111" t="s">
        <v>265</v>
      </c>
      <c r="H389" s="353"/>
      <c r="I389" s="104" t="str">
        <v>CODE ,CLASS</v>
      </c>
      <c r="J389" s="81" t="e">
        <f>#N/A</f>
        <v>#N/A</v>
      </c>
    </row>
    <row r="390" spans="1:16384" s="352" customFormat="1">
      <c r="A390" s="180" t="s">
        <v>140</v>
      </c>
      <c r="B390" s="180" t="str">
        <f>VLOOKUP(I390:I405,Lecturers!A2:G598,6,FALSE)</f>
        <v>DIFFERENTIAL EQUATIONS</v>
      </c>
      <c r="C390" s="123" t="str">
        <f>VLOOKUP(I390:I405,Lecturers!A2:G598,2,FALSE)</f>
        <v>Eghan Rhydal Esi</v>
      </c>
      <c r="D390" s="180" t="s">
        <v>101</v>
      </c>
      <c r="E390" s="106">
        <f>IFERROR(VLOOKUP(I390:I405,Lecturers!A2:F596,3,FALSE),0)</f>
        <v>82</v>
      </c>
      <c r="F390" s="454" t="s">
        <v>1814</v>
      </c>
      <c r="G390" s="107">
        <f>E390*1.1</f>
        <v>90.2</v>
      </c>
      <c r="H390" s="354"/>
      <c r="I390" s="104" t="str">
        <v>MATH 251,ED2-AUTO</v>
      </c>
      <c r="J390" s="81">
        <v>6</v>
      </c>
    </row>
    <row r="391" spans="1:16384" s="352" customFormat="1">
      <c r="A391" s="117" t="s">
        <v>140</v>
      </c>
      <c r="B391" s="117" t="str">
        <v>DIFFERENTIAL EQUATIONS</v>
      </c>
      <c r="C391" s="137" t="str">
        <v>Eghan Rhydal Esi</v>
      </c>
      <c r="D391" s="117" t="s">
        <v>86</v>
      </c>
      <c r="E391" s="117">
        <v>80</v>
      </c>
      <c r="F391" s="445"/>
      <c r="G391" s="117">
        <v>107</v>
      </c>
      <c r="H391" s="353"/>
      <c r="I391" s="104" t="str">
        <f>_xlfn.CONCAT(A391,",",D391)</f>
        <v>MATH 251,ED2-BME</v>
      </c>
      <c r="J391" s="104"/>
      <c r="K391" s="109"/>
      <c r="L391" s="104"/>
      <c r="M391" s="104"/>
      <c r="N391" s="119"/>
      <c r="O391" s="104"/>
      <c r="P391" s="455"/>
      <c r="Q391" s="104"/>
      <c r="R391" s="104"/>
      <c r="S391" s="109"/>
      <c r="T391" s="104"/>
      <c r="U391" s="104"/>
      <c r="V391" s="119"/>
      <c r="W391" s="104"/>
      <c r="X391" s="455"/>
      <c r="Y391" s="104"/>
      <c r="Z391" s="104"/>
      <c r="AA391" s="109"/>
      <c r="AB391" s="104"/>
      <c r="AC391" s="104"/>
      <c r="AD391" s="119"/>
      <c r="AE391" s="104"/>
      <c r="AF391" s="455"/>
      <c r="AG391" s="104"/>
      <c r="AH391" s="104"/>
      <c r="AI391" s="109"/>
      <c r="AJ391" s="104"/>
      <c r="AK391" s="104"/>
      <c r="AL391" s="119"/>
      <c r="AM391" s="104"/>
      <c r="AN391" s="455"/>
      <c r="AO391" s="104"/>
      <c r="AP391" s="104"/>
      <c r="AQ391" s="109"/>
      <c r="AR391" s="104"/>
      <c r="AS391" s="104"/>
      <c r="AT391" s="119"/>
      <c r="AU391" s="104"/>
      <c r="AV391" s="455"/>
      <c r="AW391" s="104"/>
      <c r="AX391" s="104"/>
      <c r="AY391" s="109"/>
      <c r="AZ391" s="104"/>
      <c r="BA391" s="104"/>
      <c r="BB391" s="119"/>
      <c r="BC391" s="104"/>
      <c r="BD391" s="455"/>
      <c r="BE391" s="104"/>
      <c r="BF391" s="104"/>
      <c r="BG391" s="109"/>
      <c r="BH391" s="104"/>
      <c r="BI391" s="104"/>
      <c r="BJ391" s="119"/>
      <c r="BK391" s="104"/>
      <c r="BL391" s="455"/>
      <c r="BM391" s="104"/>
      <c r="BN391" s="104"/>
      <c r="BO391" s="109"/>
      <c r="BP391" s="104"/>
      <c r="BQ391" s="104"/>
      <c r="BR391" s="119"/>
      <c r="BS391" s="104"/>
      <c r="BT391" s="455"/>
      <c r="BU391" s="104"/>
      <c r="BV391" s="104"/>
      <c r="BW391" s="109"/>
      <c r="BX391" s="104"/>
      <c r="BY391" s="104"/>
      <c r="BZ391" s="119"/>
      <c r="CA391" s="104"/>
      <c r="CB391" s="455"/>
      <c r="CC391" s="104"/>
      <c r="CD391" s="104"/>
      <c r="CE391" s="109"/>
      <c r="CF391" s="104"/>
      <c r="CG391" s="104"/>
      <c r="CH391" s="119"/>
      <c r="CI391" s="104"/>
      <c r="CJ391" s="455"/>
      <c r="CK391" s="104"/>
      <c r="CL391" s="104"/>
      <c r="CM391" s="109"/>
      <c r="CN391" s="104"/>
      <c r="CO391" s="104"/>
      <c r="CP391" s="119"/>
      <c r="CQ391" s="104"/>
      <c r="CR391" s="455"/>
      <c r="CS391" s="104"/>
      <c r="CT391" s="104"/>
      <c r="CU391" s="109"/>
      <c r="CV391" s="104"/>
      <c r="CW391" s="104"/>
      <c r="CX391" s="119"/>
      <c r="CY391" s="104"/>
      <c r="CZ391" s="455"/>
      <c r="DA391" s="104"/>
      <c r="DB391" s="104"/>
      <c r="DC391" s="109"/>
      <c r="DD391" s="104"/>
      <c r="DE391" s="104"/>
      <c r="DF391" s="119"/>
      <c r="DG391" s="104"/>
      <c r="DH391" s="455"/>
      <c r="DI391" s="104"/>
      <c r="DJ391" s="104"/>
      <c r="DK391" s="109"/>
      <c r="DL391" s="104"/>
      <c r="DM391" s="104"/>
      <c r="DN391" s="119"/>
      <c r="DO391" s="104"/>
      <c r="DP391" s="455"/>
      <c r="DQ391" s="104"/>
      <c r="DR391" s="104"/>
      <c r="DS391" s="109"/>
      <c r="DT391" s="104"/>
      <c r="DU391" s="104"/>
      <c r="DV391" s="119"/>
      <c r="DW391" s="104"/>
      <c r="DX391" s="455"/>
      <c r="DY391" s="104"/>
      <c r="DZ391" s="104"/>
      <c r="EA391" s="109"/>
      <c r="EB391" s="104"/>
      <c r="EC391" s="104"/>
      <c r="ED391" s="119"/>
      <c r="EE391" s="104"/>
      <c r="EF391" s="455"/>
      <c r="EG391" s="104"/>
      <c r="EH391" s="104"/>
      <c r="EI391" s="109"/>
      <c r="EJ391" s="104"/>
      <c r="EK391" s="104"/>
      <c r="EL391" s="119"/>
      <c r="EM391" s="104"/>
      <c r="EN391" s="455"/>
      <c r="EO391" s="104"/>
      <c r="EP391" s="104"/>
      <c r="EQ391" s="109"/>
      <c r="ER391" s="104"/>
      <c r="ES391" s="104"/>
      <c r="ET391" s="119"/>
      <c r="EU391" s="104"/>
      <c r="EV391" s="455"/>
      <c r="EW391" s="104"/>
      <c r="EX391" s="104"/>
      <c r="EY391" s="109"/>
      <c r="EZ391" s="104"/>
      <c r="FA391" s="104"/>
      <c r="FB391" s="119"/>
      <c r="FC391" s="104"/>
      <c r="FD391" s="455"/>
      <c r="FE391" s="104"/>
      <c r="FF391" s="104"/>
      <c r="FG391" s="109"/>
      <c r="FH391" s="104"/>
      <c r="FI391" s="104"/>
      <c r="FJ391" s="119"/>
      <c r="FK391" s="104"/>
      <c r="FL391" s="455"/>
      <c r="FM391" s="104"/>
      <c r="FN391" s="104"/>
      <c r="FO391" s="109"/>
      <c r="FP391" s="104"/>
      <c r="FQ391" s="104"/>
      <c r="FR391" s="119"/>
      <c r="FS391" s="104"/>
      <c r="FT391" s="455"/>
      <c r="FU391" s="104"/>
      <c r="FV391" s="104"/>
      <c r="FW391" s="109"/>
      <c r="FX391" s="104"/>
      <c r="FY391" s="104"/>
      <c r="FZ391" s="119"/>
      <c r="GA391" s="104"/>
      <c r="GB391" s="455"/>
      <c r="GC391" s="104"/>
      <c r="GD391" s="104"/>
      <c r="GE391" s="109"/>
      <c r="GF391" s="104"/>
      <c r="GG391" s="104"/>
      <c r="GH391" s="119"/>
      <c r="GI391" s="104"/>
      <c r="GJ391" s="455"/>
      <c r="GK391" s="104"/>
      <c r="GL391" s="104"/>
      <c r="GM391" s="109"/>
      <c r="GN391" s="104"/>
      <c r="GO391" s="104"/>
      <c r="GP391" s="119"/>
      <c r="GQ391" s="104"/>
      <c r="GR391" s="455"/>
      <c r="GS391" s="104"/>
      <c r="GT391" s="104"/>
      <c r="GU391" s="109"/>
      <c r="GV391" s="104"/>
      <c r="GW391" s="104"/>
      <c r="GX391" s="119"/>
      <c r="GY391" s="104"/>
      <c r="GZ391" s="455"/>
      <c r="HA391" s="104"/>
      <c r="HB391" s="104"/>
      <c r="HC391" s="109"/>
      <c r="HD391" s="104"/>
      <c r="HE391" s="104"/>
      <c r="HF391" s="119"/>
      <c r="HG391" s="104"/>
      <c r="HH391" s="455"/>
      <c r="HI391" s="104"/>
      <c r="HJ391" s="104"/>
      <c r="HK391" s="109"/>
      <c r="HL391" s="104"/>
      <c r="HM391" s="104"/>
      <c r="HN391" s="119"/>
      <c r="HO391" s="104"/>
      <c r="HP391" s="455"/>
      <c r="HQ391" s="104"/>
      <c r="HR391" s="104"/>
      <c r="HS391" s="109"/>
      <c r="HT391" s="104"/>
      <c r="HU391" s="104"/>
      <c r="HV391" s="119"/>
      <c r="HW391" s="104"/>
      <c r="HX391" s="455"/>
      <c r="HY391" s="104"/>
      <c r="HZ391" s="104"/>
      <c r="IA391" s="109"/>
      <c r="IB391" s="104"/>
      <c r="IC391" s="104"/>
      <c r="ID391" s="119"/>
      <c r="IE391" s="104"/>
      <c r="IF391" s="455"/>
      <c r="IG391" s="104"/>
      <c r="IH391" s="104"/>
      <c r="II391" s="109"/>
      <c r="IJ391" s="104"/>
      <c r="IK391" s="104"/>
      <c r="IL391" s="119"/>
      <c r="IM391" s="104"/>
      <c r="IN391" s="455"/>
      <c r="IO391" s="104"/>
      <c r="IP391" s="104"/>
      <c r="IQ391" s="109"/>
      <c r="IR391" s="104"/>
      <c r="IS391" s="104"/>
      <c r="IT391" s="119"/>
      <c r="IU391" s="104"/>
      <c r="IV391" s="455"/>
      <c r="IW391" s="104"/>
      <c r="IX391" s="104"/>
      <c r="IY391" s="109"/>
      <c r="IZ391" s="104"/>
      <c r="JA391" s="104"/>
      <c r="JB391" s="119"/>
      <c r="JC391" s="104"/>
      <c r="JD391" s="455"/>
      <c r="JE391" s="104"/>
      <c r="JF391" s="104"/>
      <c r="JG391" s="109"/>
      <c r="JH391" s="104"/>
      <c r="JI391" s="104"/>
      <c r="JJ391" s="119"/>
      <c r="JK391" s="104"/>
      <c r="JL391" s="455"/>
      <c r="JM391" s="104"/>
      <c r="JN391" s="104"/>
      <c r="JO391" s="109"/>
      <c r="JP391" s="104"/>
      <c r="JQ391" s="104"/>
      <c r="JR391" s="119"/>
      <c r="JS391" s="104"/>
      <c r="JT391" s="455"/>
      <c r="JU391" s="104"/>
      <c r="JV391" s="104"/>
      <c r="JW391" s="109"/>
      <c r="JX391" s="104"/>
      <c r="JY391" s="104"/>
      <c r="JZ391" s="119"/>
      <c r="KA391" s="104"/>
      <c r="KB391" s="455"/>
      <c r="KC391" s="104"/>
      <c r="KD391" s="104"/>
      <c r="KE391" s="109"/>
      <c r="KF391" s="104"/>
      <c r="KG391" s="104"/>
      <c r="KH391" s="119"/>
      <c r="KI391" s="104"/>
      <c r="KJ391" s="455"/>
      <c r="KK391" s="104"/>
      <c r="KL391" s="104"/>
      <c r="KM391" s="109"/>
      <c r="KN391" s="104"/>
      <c r="KO391" s="104"/>
      <c r="KP391" s="119"/>
      <c r="KQ391" s="104"/>
      <c r="KR391" s="455"/>
      <c r="KS391" s="104"/>
      <c r="KT391" s="104"/>
      <c r="KU391" s="109"/>
      <c r="KV391" s="104"/>
      <c r="KW391" s="104"/>
      <c r="KX391" s="119"/>
      <c r="KY391" s="104"/>
      <c r="KZ391" s="455"/>
      <c r="LA391" s="104"/>
      <c r="LB391" s="104"/>
      <c r="LC391" s="109"/>
      <c r="LD391" s="104"/>
      <c r="LE391" s="104"/>
      <c r="LF391" s="119"/>
      <c r="LG391" s="104"/>
      <c r="LH391" s="455"/>
      <c r="LI391" s="104"/>
      <c r="LJ391" s="104"/>
      <c r="LK391" s="109"/>
      <c r="LL391" s="104"/>
      <c r="LM391" s="104"/>
      <c r="LN391" s="119"/>
      <c r="LO391" s="104"/>
      <c r="LP391" s="455"/>
      <c r="LQ391" s="104"/>
      <c r="LR391" s="104"/>
      <c r="LS391" s="109"/>
      <c r="LT391" s="104"/>
      <c r="LU391" s="104"/>
      <c r="LV391" s="119"/>
      <c r="LW391" s="104"/>
      <c r="LX391" s="455"/>
      <c r="LY391" s="104"/>
      <c r="LZ391" s="104"/>
      <c r="MA391" s="109"/>
      <c r="MB391" s="104"/>
      <c r="MC391" s="104"/>
      <c r="MD391" s="119"/>
      <c r="ME391" s="104"/>
      <c r="MF391" s="455"/>
      <c r="MG391" s="104"/>
      <c r="MH391" s="104"/>
      <c r="MI391" s="109"/>
      <c r="MJ391" s="104"/>
      <c r="MK391" s="104"/>
      <c r="ML391" s="119"/>
      <c r="MM391" s="104"/>
      <c r="MN391" s="455"/>
      <c r="MO391" s="104"/>
      <c r="MP391" s="104"/>
      <c r="MQ391" s="109"/>
      <c r="MR391" s="104"/>
      <c r="MS391" s="104"/>
      <c r="MT391" s="119"/>
      <c r="MU391" s="104"/>
      <c r="MV391" s="455"/>
      <c r="MW391" s="104"/>
      <c r="MX391" s="104"/>
      <c r="MY391" s="109"/>
      <c r="MZ391" s="104"/>
      <c r="NA391" s="104"/>
      <c r="NB391" s="119"/>
      <c r="NC391" s="104"/>
      <c r="ND391" s="455"/>
      <c r="NE391" s="104"/>
      <c r="NF391" s="104"/>
      <c r="NG391" s="109"/>
      <c r="NH391" s="104"/>
      <c r="NI391" s="104"/>
      <c r="NJ391" s="119"/>
      <c r="NK391" s="104"/>
      <c r="NL391" s="455"/>
      <c r="NM391" s="104"/>
      <c r="NN391" s="104"/>
      <c r="NO391" s="109"/>
      <c r="NP391" s="104"/>
      <c r="NQ391" s="104"/>
      <c r="NR391" s="119"/>
      <c r="NS391" s="104"/>
      <c r="NT391" s="455"/>
      <c r="NU391" s="104"/>
      <c r="NV391" s="104"/>
      <c r="NW391" s="109"/>
      <c r="NX391" s="104"/>
      <c r="NY391" s="104"/>
      <c r="NZ391" s="119"/>
      <c r="OA391" s="104"/>
      <c r="OB391" s="455"/>
      <c r="OC391" s="104"/>
      <c r="OD391" s="104"/>
      <c r="OE391" s="109"/>
      <c r="OF391" s="104"/>
      <c r="OG391" s="104"/>
      <c r="OH391" s="119"/>
      <c r="OI391" s="104"/>
      <c r="OJ391" s="455"/>
      <c r="OK391" s="104"/>
      <c r="OL391" s="104"/>
      <c r="OM391" s="109"/>
      <c r="ON391" s="104"/>
      <c r="OO391" s="104"/>
      <c r="OP391" s="119"/>
      <c r="OQ391" s="104"/>
      <c r="OR391" s="455"/>
      <c r="OS391" s="104"/>
      <c r="OT391" s="104"/>
      <c r="OU391" s="109"/>
      <c r="OV391" s="104"/>
      <c r="OW391" s="104"/>
      <c r="OX391" s="119"/>
      <c r="OY391" s="104"/>
      <c r="OZ391" s="455"/>
      <c r="PA391" s="104"/>
      <c r="PB391" s="104"/>
      <c r="PC391" s="109"/>
      <c r="PD391" s="104"/>
      <c r="PE391" s="104"/>
      <c r="PF391" s="119"/>
      <c r="PG391" s="104"/>
      <c r="PH391" s="455"/>
      <c r="PI391" s="104"/>
      <c r="PJ391" s="104"/>
      <c r="PK391" s="109"/>
      <c r="PL391" s="104"/>
      <c r="PM391" s="104"/>
      <c r="PN391" s="119"/>
      <c r="PO391" s="104"/>
      <c r="PP391" s="455"/>
      <c r="PQ391" s="104"/>
      <c r="PR391" s="104"/>
      <c r="PS391" s="109"/>
      <c r="PT391" s="104"/>
      <c r="PU391" s="104"/>
      <c r="PV391" s="119"/>
      <c r="PW391" s="104"/>
      <c r="PX391" s="455"/>
      <c r="PY391" s="104"/>
      <c r="PZ391" s="104"/>
      <c r="QA391" s="109"/>
      <c r="QB391" s="104"/>
      <c r="QC391" s="104"/>
      <c r="QD391" s="119"/>
      <c r="QE391" s="104"/>
      <c r="QF391" s="455"/>
      <c r="QG391" s="104"/>
      <c r="QH391" s="104"/>
      <c r="QI391" s="109"/>
      <c r="QJ391" s="104"/>
      <c r="QK391" s="104"/>
      <c r="QL391" s="119"/>
      <c r="QM391" s="104"/>
      <c r="QN391" s="455"/>
      <c r="QO391" s="104"/>
      <c r="QP391" s="104"/>
      <c r="QQ391" s="109"/>
      <c r="QR391" s="104"/>
      <c r="QS391" s="104"/>
      <c r="QT391" s="119"/>
      <c r="QU391" s="104"/>
      <c r="QV391" s="455"/>
      <c r="QW391" s="104"/>
      <c r="QX391" s="104"/>
      <c r="QY391" s="109"/>
      <c r="QZ391" s="104"/>
      <c r="RA391" s="104"/>
      <c r="RB391" s="119"/>
      <c r="RC391" s="104"/>
      <c r="RD391" s="455"/>
      <c r="RE391" s="104"/>
      <c r="RF391" s="104"/>
      <c r="RG391" s="109"/>
      <c r="RH391" s="104"/>
      <c r="RI391" s="104"/>
      <c r="RJ391" s="119"/>
      <c r="RK391" s="104"/>
      <c r="RL391" s="455"/>
      <c r="RM391" s="104"/>
      <c r="RN391" s="104"/>
      <c r="RO391" s="109"/>
      <c r="RP391" s="104"/>
      <c r="RQ391" s="104"/>
      <c r="RR391" s="119"/>
      <c r="RS391" s="104"/>
      <c r="RT391" s="455"/>
      <c r="RU391" s="104"/>
      <c r="RV391" s="104"/>
      <c r="RW391" s="109"/>
      <c r="RX391" s="104"/>
      <c r="RY391" s="104"/>
      <c r="RZ391" s="119"/>
      <c r="SA391" s="104"/>
      <c r="SB391" s="455"/>
      <c r="SC391" s="104"/>
      <c r="SD391" s="104"/>
      <c r="SE391" s="109"/>
      <c r="SF391" s="104"/>
      <c r="SG391" s="104"/>
      <c r="SH391" s="119"/>
      <c r="SI391" s="104"/>
      <c r="SJ391" s="455"/>
      <c r="SK391" s="104"/>
      <c r="SL391" s="104"/>
      <c r="SM391" s="109"/>
      <c r="SN391" s="104"/>
      <c r="SO391" s="104"/>
      <c r="SP391" s="119"/>
      <c r="SQ391" s="104"/>
      <c r="SR391" s="455"/>
      <c r="SS391" s="104"/>
      <c r="ST391" s="104"/>
      <c r="SU391" s="109"/>
      <c r="SV391" s="104"/>
      <c r="SW391" s="104"/>
      <c r="SX391" s="119"/>
      <c r="SY391" s="104"/>
      <c r="SZ391" s="455"/>
      <c r="TA391" s="104"/>
      <c r="TB391" s="104"/>
      <c r="TC391" s="109"/>
      <c r="TD391" s="104"/>
      <c r="TE391" s="104"/>
      <c r="TF391" s="119"/>
      <c r="TG391" s="104"/>
      <c r="TH391" s="455"/>
      <c r="TI391" s="104"/>
      <c r="TJ391" s="104"/>
      <c r="TK391" s="109"/>
      <c r="TL391" s="104"/>
      <c r="TM391" s="104"/>
      <c r="TN391" s="119"/>
      <c r="TO391" s="104"/>
      <c r="TP391" s="455"/>
      <c r="TQ391" s="104"/>
      <c r="TR391" s="104"/>
      <c r="TS391" s="109"/>
      <c r="TT391" s="104"/>
      <c r="TU391" s="104"/>
      <c r="TV391" s="119"/>
      <c r="TW391" s="104"/>
      <c r="TX391" s="455"/>
      <c r="TY391" s="104"/>
      <c r="TZ391" s="104"/>
      <c r="UA391" s="109"/>
      <c r="UB391" s="104"/>
      <c r="UC391" s="104"/>
      <c r="UD391" s="119"/>
      <c r="UE391" s="104"/>
      <c r="UF391" s="455"/>
      <c r="UG391" s="104"/>
      <c r="UH391" s="104"/>
      <c r="UI391" s="109"/>
      <c r="UJ391" s="104"/>
      <c r="UK391" s="104"/>
      <c r="UL391" s="119"/>
      <c r="UM391" s="104"/>
      <c r="UN391" s="455"/>
      <c r="UO391" s="104"/>
      <c r="UP391" s="104"/>
      <c r="UQ391" s="109"/>
      <c r="UR391" s="104"/>
      <c r="US391" s="104"/>
      <c r="UT391" s="119"/>
      <c r="UU391" s="104"/>
      <c r="UV391" s="455"/>
      <c r="UW391" s="104"/>
      <c r="UX391" s="104"/>
      <c r="UY391" s="109"/>
      <c r="UZ391" s="104"/>
      <c r="VA391" s="104"/>
      <c r="VB391" s="119"/>
      <c r="VC391" s="104"/>
      <c r="VD391" s="455"/>
      <c r="VE391" s="104"/>
      <c r="VF391" s="104"/>
      <c r="VG391" s="109"/>
      <c r="VH391" s="104"/>
      <c r="VI391" s="104"/>
      <c r="VJ391" s="119"/>
      <c r="VK391" s="104"/>
      <c r="VL391" s="455"/>
      <c r="VM391" s="104"/>
      <c r="VN391" s="104"/>
      <c r="VO391" s="109"/>
      <c r="VP391" s="104"/>
      <c r="VQ391" s="104"/>
      <c r="VR391" s="119"/>
      <c r="VS391" s="104"/>
      <c r="VT391" s="455"/>
      <c r="VU391" s="104"/>
      <c r="VV391" s="104"/>
      <c r="VW391" s="109"/>
      <c r="VX391" s="104"/>
      <c r="VY391" s="104"/>
      <c r="VZ391" s="119"/>
      <c r="WA391" s="104"/>
      <c r="WB391" s="455"/>
      <c r="WC391" s="104"/>
      <c r="WD391" s="104"/>
      <c r="WE391" s="109"/>
      <c r="WF391" s="104"/>
      <c r="WG391" s="104"/>
      <c r="WH391" s="119"/>
      <c r="WI391" s="104"/>
      <c r="WJ391" s="455"/>
      <c r="WK391" s="104"/>
      <c r="WL391" s="104"/>
      <c r="WM391" s="109"/>
      <c r="WN391" s="104"/>
      <c r="WO391" s="104"/>
      <c r="WP391" s="119"/>
      <c r="WQ391" s="104"/>
      <c r="WR391" s="455"/>
      <c r="WS391" s="104"/>
      <c r="WT391" s="104"/>
      <c r="WU391" s="109"/>
      <c r="WV391" s="104"/>
      <c r="WW391" s="104"/>
      <c r="WX391" s="119"/>
      <c r="WY391" s="104"/>
      <c r="WZ391" s="455"/>
      <c r="XA391" s="104"/>
      <c r="XB391" s="104"/>
      <c r="XC391" s="109"/>
      <c r="XD391" s="104"/>
      <c r="XE391" s="104"/>
      <c r="XF391" s="119"/>
      <c r="XG391" s="104"/>
      <c r="XH391" s="455"/>
      <c r="XI391" s="104"/>
      <c r="XJ391" s="104"/>
      <c r="XK391" s="109"/>
      <c r="XL391" s="104"/>
      <c r="XM391" s="104"/>
      <c r="XN391" s="119"/>
      <c r="XO391" s="104"/>
      <c r="XP391" s="455"/>
      <c r="XQ391" s="104"/>
      <c r="XR391" s="104"/>
      <c r="XS391" s="109"/>
      <c r="XT391" s="104"/>
      <c r="XU391" s="104"/>
      <c r="XV391" s="119"/>
      <c r="XW391" s="104"/>
      <c r="XX391" s="455"/>
      <c r="XY391" s="104"/>
      <c r="XZ391" s="104"/>
      <c r="YA391" s="109"/>
      <c r="YB391" s="104"/>
      <c r="YC391" s="104"/>
      <c r="YD391" s="119"/>
      <c r="YE391" s="104"/>
      <c r="YF391" s="455"/>
      <c r="YG391" s="104"/>
      <c r="YH391" s="104"/>
      <c r="YI391" s="109"/>
      <c r="YJ391" s="104"/>
      <c r="YK391" s="104"/>
      <c r="YL391" s="119"/>
      <c r="YM391" s="104"/>
      <c r="YN391" s="455"/>
      <c r="YO391" s="104"/>
      <c r="YP391" s="104"/>
      <c r="YQ391" s="109"/>
      <c r="YR391" s="104"/>
      <c r="YS391" s="104"/>
      <c r="YT391" s="119"/>
      <c r="YU391" s="104"/>
      <c r="YV391" s="455"/>
      <c r="YW391" s="104"/>
      <c r="YX391" s="104"/>
      <c r="YY391" s="109"/>
      <c r="YZ391" s="104"/>
      <c r="ZA391" s="104"/>
      <c r="ZB391" s="119"/>
      <c r="ZC391" s="104"/>
      <c r="ZD391" s="455"/>
      <c r="ZE391" s="104"/>
      <c r="ZF391" s="104"/>
      <c r="ZG391" s="109"/>
      <c r="ZH391" s="104"/>
      <c r="ZI391" s="104"/>
      <c r="ZJ391" s="119"/>
      <c r="ZK391" s="104"/>
      <c r="ZL391" s="455"/>
      <c r="ZM391" s="104"/>
      <c r="ZN391" s="104"/>
      <c r="ZO391" s="109"/>
      <c r="ZP391" s="104"/>
      <c r="ZQ391" s="104"/>
      <c r="ZR391" s="119"/>
      <c r="ZS391" s="104"/>
      <c r="ZT391" s="455"/>
      <c r="ZU391" s="104"/>
      <c r="ZV391" s="104"/>
      <c r="ZW391" s="109"/>
      <c r="ZX391" s="104"/>
      <c r="ZY391" s="104"/>
      <c r="ZZ391" s="119"/>
      <c r="AAA391" s="104"/>
      <c r="AAB391" s="455"/>
      <c r="AAC391" s="104"/>
      <c r="AAD391" s="104"/>
      <c r="AAE391" s="109"/>
      <c r="AAF391" s="104"/>
      <c r="AAG391" s="104"/>
      <c r="AAH391" s="119"/>
      <c r="AAI391" s="104"/>
      <c r="AAJ391" s="455"/>
      <c r="AAK391" s="104"/>
      <c r="AAL391" s="104"/>
      <c r="AAM391" s="109"/>
      <c r="AAN391" s="104"/>
      <c r="AAO391" s="104"/>
      <c r="AAP391" s="119"/>
      <c r="AAQ391" s="104"/>
      <c r="AAR391" s="455"/>
      <c r="AAS391" s="104"/>
      <c r="AAT391" s="104"/>
      <c r="AAU391" s="109"/>
      <c r="AAV391" s="104"/>
      <c r="AAW391" s="104"/>
      <c r="AAX391" s="119"/>
      <c r="AAY391" s="104"/>
      <c r="AAZ391" s="455"/>
      <c r="ABA391" s="104"/>
      <c r="ABB391" s="104"/>
      <c r="ABC391" s="109"/>
      <c r="ABD391" s="104"/>
      <c r="ABE391" s="104"/>
      <c r="ABF391" s="119"/>
      <c r="ABG391" s="104"/>
      <c r="ABH391" s="455"/>
      <c r="ABI391" s="104"/>
      <c r="ABJ391" s="104"/>
      <c r="ABK391" s="109"/>
      <c r="ABL391" s="104"/>
      <c r="ABM391" s="104"/>
      <c r="ABN391" s="119"/>
      <c r="ABO391" s="104"/>
      <c r="ABP391" s="455"/>
      <c r="ABQ391" s="104"/>
      <c r="ABR391" s="104"/>
      <c r="ABS391" s="109"/>
      <c r="ABT391" s="104"/>
      <c r="ABU391" s="104"/>
      <c r="ABV391" s="119"/>
      <c r="ABW391" s="104"/>
      <c r="ABX391" s="455"/>
      <c r="ABY391" s="104"/>
      <c r="ABZ391" s="104"/>
      <c r="ACA391" s="109"/>
      <c r="ACB391" s="104"/>
      <c r="ACC391" s="104"/>
      <c r="ACD391" s="119"/>
      <c r="ACE391" s="104"/>
      <c r="ACF391" s="455"/>
      <c r="ACG391" s="104"/>
      <c r="ACH391" s="104"/>
      <c r="ACI391" s="109"/>
      <c r="ACJ391" s="104"/>
      <c r="ACK391" s="104"/>
      <c r="ACL391" s="119"/>
      <c r="ACM391" s="104"/>
      <c r="ACN391" s="455"/>
      <c r="ACO391" s="104"/>
      <c r="ACP391" s="104"/>
      <c r="ACQ391" s="109"/>
      <c r="ACR391" s="104"/>
      <c r="ACS391" s="104"/>
      <c r="ACT391" s="119"/>
      <c r="ACU391" s="104"/>
      <c r="ACV391" s="455"/>
      <c r="ACW391" s="104"/>
      <c r="ACX391" s="104"/>
      <c r="ACY391" s="109"/>
      <c r="ACZ391" s="104"/>
      <c r="ADA391" s="104"/>
      <c r="ADB391" s="119"/>
      <c r="ADC391" s="104"/>
      <c r="ADD391" s="455"/>
      <c r="ADE391" s="104"/>
      <c r="ADF391" s="104"/>
      <c r="ADG391" s="109"/>
      <c r="ADH391" s="104"/>
      <c r="ADI391" s="104"/>
      <c r="ADJ391" s="119"/>
      <c r="ADK391" s="104"/>
      <c r="ADL391" s="455"/>
      <c r="ADM391" s="104"/>
      <c r="ADN391" s="104"/>
      <c r="ADO391" s="109"/>
      <c r="ADP391" s="104"/>
      <c r="ADQ391" s="104"/>
      <c r="ADR391" s="119"/>
      <c r="ADS391" s="104"/>
      <c r="ADT391" s="455"/>
      <c r="ADU391" s="104"/>
      <c r="ADV391" s="104"/>
      <c r="ADW391" s="109"/>
      <c r="ADX391" s="104"/>
      <c r="ADY391" s="104"/>
      <c r="ADZ391" s="119"/>
      <c r="AEA391" s="104"/>
      <c r="AEB391" s="455"/>
      <c r="AEC391" s="104"/>
      <c r="AED391" s="104"/>
      <c r="AEE391" s="109"/>
      <c r="AEF391" s="104"/>
      <c r="AEG391" s="104"/>
      <c r="AEH391" s="119"/>
      <c r="AEI391" s="104"/>
      <c r="AEJ391" s="455"/>
      <c r="AEK391" s="104"/>
      <c r="AEL391" s="104"/>
      <c r="AEM391" s="109"/>
      <c r="AEN391" s="104"/>
      <c r="AEO391" s="104"/>
      <c r="AEP391" s="119"/>
      <c r="AEQ391" s="104"/>
      <c r="AER391" s="455"/>
      <c r="AES391" s="104"/>
      <c r="AET391" s="104"/>
      <c r="AEU391" s="109"/>
      <c r="AEV391" s="104"/>
      <c r="AEW391" s="104"/>
      <c r="AEX391" s="119"/>
      <c r="AEY391" s="104"/>
      <c r="AEZ391" s="455"/>
      <c r="AFA391" s="104"/>
      <c r="AFB391" s="104"/>
      <c r="AFC391" s="109"/>
      <c r="AFD391" s="104"/>
      <c r="AFE391" s="104"/>
      <c r="AFF391" s="119"/>
      <c r="AFG391" s="104"/>
      <c r="AFH391" s="455"/>
      <c r="AFI391" s="104"/>
      <c r="AFJ391" s="104"/>
      <c r="AFK391" s="109"/>
      <c r="AFL391" s="104"/>
      <c r="AFM391" s="104"/>
      <c r="AFN391" s="119"/>
      <c r="AFO391" s="104"/>
      <c r="AFP391" s="455"/>
      <c r="AFQ391" s="104"/>
      <c r="AFR391" s="104"/>
      <c r="AFS391" s="109"/>
      <c r="AFT391" s="104"/>
      <c r="AFU391" s="104"/>
      <c r="AFV391" s="119"/>
      <c r="AFW391" s="104"/>
      <c r="AFX391" s="455"/>
      <c r="AFY391" s="104"/>
      <c r="AFZ391" s="104"/>
      <c r="AGA391" s="109"/>
      <c r="AGB391" s="104"/>
      <c r="AGC391" s="104"/>
      <c r="AGD391" s="119"/>
      <c r="AGE391" s="104"/>
      <c r="AGF391" s="455"/>
      <c r="AGG391" s="104"/>
      <c r="AGH391" s="104"/>
      <c r="AGI391" s="109"/>
      <c r="AGJ391" s="104"/>
      <c r="AGK391" s="104"/>
      <c r="AGL391" s="119"/>
      <c r="AGM391" s="104"/>
      <c r="AGN391" s="455"/>
      <c r="AGO391" s="104"/>
      <c r="AGP391" s="104"/>
      <c r="AGQ391" s="109"/>
      <c r="AGR391" s="104"/>
      <c r="AGS391" s="104"/>
      <c r="AGT391" s="119"/>
      <c r="AGU391" s="104"/>
      <c r="AGV391" s="455"/>
      <c r="AGW391" s="104"/>
      <c r="AGX391" s="104"/>
      <c r="AGY391" s="109"/>
      <c r="AGZ391" s="104"/>
      <c r="AHA391" s="104"/>
      <c r="AHB391" s="119"/>
      <c r="AHC391" s="104"/>
      <c r="AHD391" s="455"/>
      <c r="AHE391" s="104"/>
      <c r="AHF391" s="104"/>
      <c r="AHG391" s="109"/>
      <c r="AHH391" s="104"/>
      <c r="AHI391" s="104"/>
      <c r="AHJ391" s="119"/>
      <c r="AHK391" s="104"/>
      <c r="AHL391" s="455"/>
      <c r="AHM391" s="104"/>
      <c r="AHN391" s="104"/>
      <c r="AHO391" s="109"/>
      <c r="AHP391" s="104"/>
      <c r="AHQ391" s="104"/>
      <c r="AHR391" s="119"/>
      <c r="AHS391" s="104"/>
      <c r="AHT391" s="455"/>
      <c r="AHU391" s="104"/>
      <c r="AHV391" s="104"/>
      <c r="AHW391" s="109"/>
      <c r="AHX391" s="104"/>
      <c r="AHY391" s="104"/>
      <c r="AHZ391" s="119"/>
      <c r="AIA391" s="104"/>
      <c r="AIB391" s="455"/>
      <c r="AIC391" s="104"/>
      <c r="AID391" s="104"/>
      <c r="AIE391" s="109"/>
      <c r="AIF391" s="104"/>
      <c r="AIG391" s="104"/>
      <c r="AIH391" s="119"/>
      <c r="AII391" s="104"/>
      <c r="AIJ391" s="455"/>
      <c r="AIK391" s="104"/>
      <c r="AIL391" s="104"/>
      <c r="AIM391" s="109"/>
      <c r="AIN391" s="104"/>
      <c r="AIO391" s="104"/>
      <c r="AIP391" s="119"/>
      <c r="AIQ391" s="104"/>
      <c r="AIR391" s="455"/>
      <c r="AIS391" s="104"/>
      <c r="AIT391" s="104"/>
      <c r="AIU391" s="109"/>
      <c r="AIV391" s="104"/>
      <c r="AIW391" s="104"/>
      <c r="AIX391" s="119"/>
      <c r="AIY391" s="104"/>
      <c r="AIZ391" s="455"/>
      <c r="AJA391" s="104"/>
      <c r="AJB391" s="104"/>
      <c r="AJC391" s="109"/>
      <c r="AJD391" s="104"/>
      <c r="AJE391" s="104"/>
      <c r="AJF391" s="119"/>
      <c r="AJG391" s="104"/>
      <c r="AJH391" s="455"/>
      <c r="AJI391" s="104"/>
      <c r="AJJ391" s="104"/>
      <c r="AJK391" s="109"/>
      <c r="AJL391" s="104"/>
      <c r="AJM391" s="104"/>
      <c r="AJN391" s="119"/>
      <c r="AJO391" s="104"/>
      <c r="AJP391" s="455"/>
      <c r="AJQ391" s="104"/>
      <c r="AJR391" s="104"/>
      <c r="AJS391" s="109"/>
      <c r="AJT391" s="104"/>
      <c r="AJU391" s="104"/>
      <c r="AJV391" s="119"/>
      <c r="AJW391" s="104"/>
      <c r="AJX391" s="455"/>
      <c r="AJY391" s="104"/>
      <c r="AJZ391" s="104"/>
      <c r="AKA391" s="109"/>
      <c r="AKB391" s="104"/>
      <c r="AKC391" s="104"/>
      <c r="AKD391" s="119"/>
      <c r="AKE391" s="104"/>
      <c r="AKF391" s="455"/>
      <c r="AKG391" s="104"/>
      <c r="AKH391" s="104"/>
      <c r="AKI391" s="109"/>
      <c r="AKJ391" s="104"/>
      <c r="AKK391" s="104"/>
      <c r="AKL391" s="119"/>
      <c r="AKM391" s="104"/>
      <c r="AKN391" s="455"/>
      <c r="AKO391" s="104"/>
      <c r="AKP391" s="104"/>
      <c r="AKQ391" s="109"/>
      <c r="AKR391" s="104"/>
      <c r="AKS391" s="104"/>
      <c r="AKT391" s="119"/>
      <c r="AKU391" s="104"/>
      <c r="AKV391" s="455"/>
      <c r="AKW391" s="104"/>
      <c r="AKX391" s="104"/>
      <c r="AKY391" s="109"/>
      <c r="AKZ391" s="104"/>
      <c r="ALA391" s="104"/>
      <c r="ALB391" s="119"/>
      <c r="ALC391" s="104"/>
      <c r="ALD391" s="455"/>
      <c r="ALE391" s="104"/>
      <c r="ALF391" s="104"/>
      <c r="ALG391" s="109"/>
      <c r="ALH391" s="104"/>
      <c r="ALI391" s="104"/>
      <c r="ALJ391" s="119"/>
      <c r="ALK391" s="104"/>
      <c r="ALL391" s="455"/>
      <c r="ALM391" s="104"/>
      <c r="ALN391" s="104"/>
      <c r="ALO391" s="109"/>
      <c r="ALP391" s="104"/>
      <c r="ALQ391" s="104"/>
      <c r="ALR391" s="119"/>
      <c r="ALS391" s="104"/>
      <c r="ALT391" s="455"/>
      <c r="ALU391" s="104"/>
      <c r="ALV391" s="104"/>
      <c r="ALW391" s="109"/>
      <c r="ALX391" s="104"/>
      <c r="ALY391" s="104"/>
      <c r="ALZ391" s="119"/>
      <c r="AMA391" s="104"/>
      <c r="AMB391" s="455"/>
      <c r="AMC391" s="104"/>
      <c r="AMD391" s="104"/>
      <c r="AME391" s="109"/>
      <c r="AMF391" s="104"/>
      <c r="AMG391" s="104"/>
      <c r="AMH391" s="119"/>
      <c r="AMI391" s="104"/>
      <c r="AMJ391" s="455"/>
      <c r="AMK391" s="104"/>
      <c r="AML391" s="104"/>
      <c r="AMM391" s="109"/>
      <c r="AMN391" s="104"/>
      <c r="AMO391" s="104"/>
      <c r="AMP391" s="119"/>
      <c r="AMQ391" s="104"/>
      <c r="AMR391" s="455"/>
      <c r="AMS391" s="104"/>
      <c r="AMT391" s="104"/>
      <c r="AMU391" s="109"/>
      <c r="AMV391" s="104"/>
      <c r="AMW391" s="104"/>
      <c r="AMX391" s="119"/>
      <c r="AMY391" s="104"/>
      <c r="AMZ391" s="455"/>
      <c r="ANA391" s="104"/>
      <c r="ANB391" s="104"/>
      <c r="ANC391" s="109"/>
      <c r="AND391" s="104"/>
      <c r="ANE391" s="104"/>
      <c r="ANF391" s="119"/>
      <c r="ANG391" s="104"/>
      <c r="ANH391" s="455"/>
      <c r="ANI391" s="104"/>
      <c r="ANJ391" s="104"/>
      <c r="ANK391" s="109"/>
      <c r="ANL391" s="104"/>
      <c r="ANM391" s="104"/>
      <c r="ANN391" s="119"/>
      <c r="ANO391" s="104"/>
      <c r="ANP391" s="455"/>
      <c r="ANQ391" s="104"/>
      <c r="ANR391" s="104"/>
      <c r="ANS391" s="109"/>
      <c r="ANT391" s="104"/>
      <c r="ANU391" s="104"/>
      <c r="ANV391" s="119"/>
      <c r="ANW391" s="104"/>
      <c r="ANX391" s="455"/>
      <c r="ANY391" s="104"/>
      <c r="ANZ391" s="104"/>
      <c r="AOA391" s="109"/>
      <c r="AOB391" s="104"/>
      <c r="AOC391" s="104"/>
      <c r="AOD391" s="119"/>
      <c r="AOE391" s="104"/>
      <c r="AOF391" s="455"/>
      <c r="AOG391" s="104"/>
      <c r="AOH391" s="104"/>
      <c r="AOI391" s="109"/>
      <c r="AOJ391" s="104"/>
      <c r="AOK391" s="104"/>
      <c r="AOL391" s="119"/>
      <c r="AOM391" s="104"/>
      <c r="AON391" s="455"/>
      <c r="AOO391" s="104"/>
      <c r="AOP391" s="104"/>
      <c r="AOQ391" s="109"/>
      <c r="AOR391" s="104"/>
      <c r="AOS391" s="104"/>
      <c r="AOT391" s="119"/>
      <c r="AOU391" s="104"/>
      <c r="AOV391" s="455"/>
      <c r="AOW391" s="104"/>
      <c r="AOX391" s="104"/>
      <c r="AOY391" s="109"/>
      <c r="AOZ391" s="104"/>
      <c r="APA391" s="104"/>
      <c r="APB391" s="119"/>
      <c r="APC391" s="104"/>
      <c r="APD391" s="455"/>
      <c r="APE391" s="104"/>
      <c r="APF391" s="104"/>
      <c r="APG391" s="109"/>
      <c r="APH391" s="104"/>
      <c r="API391" s="104"/>
      <c r="APJ391" s="119"/>
      <c r="APK391" s="104"/>
      <c r="APL391" s="455"/>
      <c r="APM391" s="104"/>
      <c r="APN391" s="104"/>
      <c r="APO391" s="109"/>
      <c r="APP391" s="104"/>
      <c r="APQ391" s="104"/>
      <c r="APR391" s="119"/>
      <c r="APS391" s="104"/>
      <c r="APT391" s="455"/>
      <c r="APU391" s="104"/>
      <c r="APV391" s="104"/>
      <c r="APW391" s="109"/>
      <c r="APX391" s="104"/>
      <c r="APY391" s="104"/>
      <c r="APZ391" s="119"/>
      <c r="AQA391" s="104"/>
      <c r="AQB391" s="455"/>
      <c r="AQC391" s="104"/>
      <c r="AQD391" s="104"/>
      <c r="AQE391" s="109"/>
      <c r="AQF391" s="104"/>
      <c r="AQG391" s="104"/>
      <c r="AQH391" s="119"/>
      <c r="AQI391" s="104"/>
      <c r="AQJ391" s="455"/>
      <c r="AQK391" s="104"/>
      <c r="AQL391" s="104"/>
      <c r="AQM391" s="109"/>
      <c r="AQN391" s="104"/>
      <c r="AQO391" s="104"/>
      <c r="AQP391" s="119"/>
      <c r="AQQ391" s="104"/>
      <c r="AQR391" s="455"/>
      <c r="AQS391" s="104"/>
      <c r="AQT391" s="104"/>
      <c r="AQU391" s="109"/>
      <c r="AQV391" s="104"/>
      <c r="AQW391" s="104"/>
      <c r="AQX391" s="119"/>
      <c r="AQY391" s="104"/>
      <c r="AQZ391" s="455"/>
      <c r="ARA391" s="104"/>
      <c r="ARB391" s="104"/>
      <c r="ARC391" s="109"/>
      <c r="ARD391" s="104"/>
      <c r="ARE391" s="104"/>
      <c r="ARF391" s="119"/>
      <c r="ARG391" s="104"/>
      <c r="ARH391" s="455"/>
      <c r="ARI391" s="104"/>
      <c r="ARJ391" s="104"/>
      <c r="ARK391" s="109"/>
      <c r="ARL391" s="104"/>
      <c r="ARM391" s="104"/>
      <c r="ARN391" s="119"/>
      <c r="ARO391" s="104"/>
      <c r="ARP391" s="455"/>
      <c r="ARQ391" s="104"/>
      <c r="ARR391" s="104"/>
      <c r="ARS391" s="109"/>
      <c r="ART391" s="104"/>
      <c r="ARU391" s="104"/>
      <c r="ARV391" s="119"/>
      <c r="ARW391" s="104"/>
      <c r="ARX391" s="455"/>
      <c r="ARY391" s="104"/>
      <c r="ARZ391" s="104"/>
      <c r="ASA391" s="109"/>
      <c r="ASB391" s="104"/>
      <c r="ASC391" s="104"/>
      <c r="ASD391" s="119"/>
      <c r="ASE391" s="104"/>
      <c r="ASF391" s="455"/>
      <c r="ASG391" s="104"/>
      <c r="ASH391" s="104"/>
      <c r="ASI391" s="109"/>
      <c r="ASJ391" s="104"/>
      <c r="ASK391" s="104"/>
      <c r="ASL391" s="119"/>
      <c r="ASM391" s="104"/>
      <c r="ASN391" s="455"/>
      <c r="ASO391" s="104"/>
      <c r="ASP391" s="104"/>
      <c r="ASQ391" s="109"/>
      <c r="ASR391" s="104"/>
      <c r="ASS391" s="104"/>
      <c r="AST391" s="119"/>
      <c r="ASU391" s="104"/>
      <c r="ASV391" s="455"/>
      <c r="ASW391" s="104"/>
      <c r="ASX391" s="104"/>
      <c r="ASY391" s="109"/>
      <c r="ASZ391" s="104"/>
      <c r="ATA391" s="104"/>
      <c r="ATB391" s="119"/>
      <c r="ATC391" s="104"/>
      <c r="ATD391" s="455"/>
      <c r="ATE391" s="104"/>
      <c r="ATF391" s="104"/>
      <c r="ATG391" s="109"/>
      <c r="ATH391" s="104"/>
      <c r="ATI391" s="104"/>
      <c r="ATJ391" s="119"/>
      <c r="ATK391" s="104"/>
      <c r="ATL391" s="455"/>
      <c r="ATM391" s="104"/>
      <c r="ATN391" s="104"/>
      <c r="ATO391" s="109"/>
      <c r="ATP391" s="104"/>
      <c r="ATQ391" s="104"/>
      <c r="ATR391" s="119"/>
      <c r="ATS391" s="104"/>
      <c r="ATT391" s="455"/>
      <c r="ATU391" s="104"/>
      <c r="ATV391" s="104"/>
      <c r="ATW391" s="109"/>
      <c r="ATX391" s="104"/>
      <c r="ATY391" s="104"/>
      <c r="ATZ391" s="119"/>
      <c r="AUA391" s="104"/>
      <c r="AUB391" s="455"/>
      <c r="AUC391" s="104"/>
      <c r="AUD391" s="104"/>
      <c r="AUE391" s="109"/>
      <c r="AUF391" s="104"/>
      <c r="AUG391" s="104"/>
      <c r="AUH391" s="119"/>
      <c r="AUI391" s="104"/>
      <c r="AUJ391" s="455"/>
      <c r="AUK391" s="104"/>
      <c r="AUL391" s="104"/>
      <c r="AUM391" s="109"/>
      <c r="AUN391" s="104"/>
      <c r="AUO391" s="104"/>
      <c r="AUP391" s="119"/>
      <c r="AUQ391" s="104"/>
      <c r="AUR391" s="455"/>
      <c r="AUS391" s="104"/>
      <c r="AUT391" s="104"/>
      <c r="AUU391" s="109"/>
      <c r="AUV391" s="104"/>
      <c r="AUW391" s="104"/>
      <c r="AUX391" s="119"/>
      <c r="AUY391" s="104"/>
      <c r="AUZ391" s="455"/>
      <c r="AVA391" s="104"/>
      <c r="AVB391" s="104"/>
      <c r="AVC391" s="109"/>
      <c r="AVD391" s="104"/>
      <c r="AVE391" s="104"/>
      <c r="AVF391" s="119"/>
      <c r="AVG391" s="104"/>
      <c r="AVH391" s="455"/>
      <c r="AVI391" s="104"/>
      <c r="AVJ391" s="104"/>
      <c r="AVK391" s="109"/>
      <c r="AVL391" s="104"/>
      <c r="AVM391" s="104"/>
      <c r="AVN391" s="119"/>
      <c r="AVO391" s="104"/>
      <c r="AVP391" s="455"/>
      <c r="AVQ391" s="104"/>
      <c r="AVR391" s="104"/>
      <c r="AVS391" s="109"/>
      <c r="AVT391" s="104"/>
      <c r="AVU391" s="104"/>
      <c r="AVV391" s="119"/>
      <c r="AVW391" s="104"/>
      <c r="AVX391" s="455"/>
      <c r="AVY391" s="104"/>
      <c r="AVZ391" s="104"/>
      <c r="AWA391" s="109"/>
      <c r="AWB391" s="104"/>
      <c r="AWC391" s="104"/>
      <c r="AWD391" s="119"/>
      <c r="AWE391" s="104"/>
      <c r="AWF391" s="455"/>
      <c r="AWG391" s="104"/>
      <c r="AWH391" s="104"/>
      <c r="AWI391" s="109"/>
      <c r="AWJ391" s="104"/>
      <c r="AWK391" s="104"/>
      <c r="AWL391" s="119"/>
      <c r="AWM391" s="104"/>
      <c r="AWN391" s="455"/>
      <c r="AWO391" s="104"/>
      <c r="AWP391" s="104"/>
      <c r="AWQ391" s="109"/>
      <c r="AWR391" s="104"/>
      <c r="AWS391" s="104"/>
      <c r="AWT391" s="119"/>
      <c r="AWU391" s="104"/>
      <c r="AWV391" s="455"/>
      <c r="AWW391" s="104"/>
      <c r="AWX391" s="104"/>
      <c r="AWY391" s="109"/>
      <c r="AWZ391" s="104"/>
      <c r="AXA391" s="104"/>
      <c r="AXB391" s="119"/>
      <c r="AXC391" s="104"/>
      <c r="AXD391" s="455"/>
      <c r="AXE391" s="104"/>
      <c r="AXF391" s="104"/>
      <c r="AXG391" s="109"/>
      <c r="AXH391" s="104"/>
      <c r="AXI391" s="104"/>
      <c r="AXJ391" s="119"/>
      <c r="AXK391" s="104"/>
      <c r="AXL391" s="455"/>
      <c r="AXM391" s="104"/>
      <c r="AXN391" s="104"/>
      <c r="AXO391" s="109"/>
      <c r="AXP391" s="104"/>
      <c r="AXQ391" s="104"/>
      <c r="AXR391" s="119"/>
      <c r="AXS391" s="104"/>
      <c r="AXT391" s="455"/>
      <c r="AXU391" s="104"/>
      <c r="AXV391" s="104"/>
      <c r="AXW391" s="109"/>
      <c r="AXX391" s="104"/>
      <c r="AXY391" s="104"/>
      <c r="AXZ391" s="119"/>
      <c r="AYA391" s="104"/>
      <c r="AYB391" s="455"/>
      <c r="AYC391" s="104"/>
      <c r="AYD391" s="104"/>
      <c r="AYE391" s="109"/>
      <c r="AYF391" s="104"/>
      <c r="AYG391" s="104"/>
      <c r="AYH391" s="119"/>
      <c r="AYI391" s="104"/>
      <c r="AYJ391" s="455"/>
      <c r="AYK391" s="104"/>
      <c r="AYL391" s="104"/>
      <c r="AYM391" s="109"/>
      <c r="AYN391" s="104"/>
      <c r="AYO391" s="104"/>
      <c r="AYP391" s="119"/>
      <c r="AYQ391" s="104"/>
      <c r="AYR391" s="455"/>
      <c r="AYS391" s="104"/>
      <c r="AYT391" s="104"/>
      <c r="AYU391" s="109"/>
      <c r="AYV391" s="104"/>
      <c r="AYW391" s="104"/>
      <c r="AYX391" s="119"/>
      <c r="AYY391" s="104"/>
      <c r="AYZ391" s="455"/>
      <c r="AZA391" s="104"/>
      <c r="AZB391" s="104"/>
      <c r="AZC391" s="109"/>
      <c r="AZD391" s="104"/>
      <c r="AZE391" s="104"/>
      <c r="AZF391" s="119"/>
      <c r="AZG391" s="104"/>
      <c r="AZH391" s="455"/>
      <c r="AZI391" s="104"/>
      <c r="AZJ391" s="104"/>
      <c r="AZK391" s="109"/>
      <c r="AZL391" s="104"/>
      <c r="AZM391" s="104"/>
      <c r="AZN391" s="119"/>
      <c r="AZO391" s="104"/>
      <c r="AZP391" s="455"/>
      <c r="AZQ391" s="104"/>
      <c r="AZR391" s="104"/>
      <c r="AZS391" s="109"/>
      <c r="AZT391" s="104"/>
      <c r="AZU391" s="104"/>
      <c r="AZV391" s="119"/>
      <c r="AZW391" s="104"/>
      <c r="AZX391" s="455"/>
      <c r="AZY391" s="104"/>
      <c r="AZZ391" s="104"/>
      <c r="BAA391" s="109"/>
      <c r="BAB391" s="104"/>
      <c r="BAC391" s="104"/>
      <c r="BAD391" s="119"/>
      <c r="BAE391" s="104"/>
      <c r="BAF391" s="455"/>
      <c r="BAG391" s="104"/>
      <c r="BAH391" s="104"/>
      <c r="BAI391" s="109"/>
      <c r="BAJ391" s="104"/>
      <c r="BAK391" s="104"/>
      <c r="BAL391" s="119"/>
      <c r="BAM391" s="104"/>
      <c r="BAN391" s="455"/>
      <c r="BAO391" s="104"/>
      <c r="BAP391" s="104"/>
      <c r="BAQ391" s="109"/>
      <c r="BAR391" s="104"/>
      <c r="BAS391" s="104"/>
      <c r="BAT391" s="119"/>
      <c r="BAU391" s="104"/>
      <c r="BAV391" s="455"/>
      <c r="BAW391" s="104"/>
      <c r="BAX391" s="104"/>
      <c r="BAY391" s="109"/>
      <c r="BAZ391" s="104"/>
      <c r="BBA391" s="104"/>
      <c r="BBB391" s="119"/>
      <c r="BBC391" s="104"/>
      <c r="BBD391" s="455"/>
      <c r="BBE391" s="104"/>
      <c r="BBF391" s="104"/>
      <c r="BBG391" s="109"/>
      <c r="BBH391" s="104"/>
      <c r="BBI391" s="104"/>
      <c r="BBJ391" s="119"/>
      <c r="BBK391" s="104"/>
      <c r="BBL391" s="455"/>
      <c r="BBM391" s="104"/>
      <c r="BBN391" s="104"/>
      <c r="BBO391" s="109"/>
      <c r="BBP391" s="104"/>
      <c r="BBQ391" s="104"/>
      <c r="BBR391" s="119"/>
      <c r="BBS391" s="104"/>
      <c r="BBT391" s="455"/>
      <c r="BBU391" s="104"/>
      <c r="BBV391" s="104"/>
      <c r="BBW391" s="109"/>
      <c r="BBX391" s="104"/>
      <c r="BBY391" s="104"/>
      <c r="BBZ391" s="119"/>
      <c r="BCA391" s="104"/>
      <c r="BCB391" s="455"/>
      <c r="BCC391" s="104"/>
      <c r="BCD391" s="104"/>
      <c r="BCE391" s="109"/>
      <c r="BCF391" s="104"/>
      <c r="BCG391" s="104"/>
      <c r="BCH391" s="119"/>
      <c r="BCI391" s="104"/>
      <c r="BCJ391" s="455"/>
      <c r="BCK391" s="104"/>
      <c r="BCL391" s="104"/>
      <c r="BCM391" s="109"/>
      <c r="BCN391" s="104"/>
      <c r="BCO391" s="104"/>
      <c r="BCP391" s="119"/>
      <c r="BCQ391" s="104"/>
      <c r="BCR391" s="455"/>
      <c r="BCS391" s="104"/>
      <c r="BCT391" s="104"/>
      <c r="BCU391" s="109"/>
      <c r="BCV391" s="104"/>
      <c r="BCW391" s="104"/>
      <c r="BCX391" s="119"/>
      <c r="BCY391" s="104"/>
      <c r="BCZ391" s="455"/>
      <c r="BDA391" s="104"/>
      <c r="BDB391" s="104"/>
      <c r="BDC391" s="109"/>
      <c r="BDD391" s="104"/>
      <c r="BDE391" s="104"/>
      <c r="BDF391" s="119"/>
      <c r="BDG391" s="104"/>
      <c r="BDH391" s="455"/>
      <c r="BDI391" s="104"/>
      <c r="BDJ391" s="104"/>
      <c r="BDK391" s="109"/>
      <c r="BDL391" s="104"/>
      <c r="BDM391" s="104"/>
      <c r="BDN391" s="119"/>
      <c r="BDO391" s="104"/>
      <c r="BDP391" s="455"/>
      <c r="BDQ391" s="104"/>
      <c r="BDR391" s="104"/>
      <c r="BDS391" s="109"/>
      <c r="BDT391" s="104"/>
      <c r="BDU391" s="104"/>
      <c r="BDV391" s="119"/>
      <c r="BDW391" s="104"/>
      <c r="BDX391" s="455"/>
      <c r="BDY391" s="104"/>
      <c r="BDZ391" s="104"/>
      <c r="BEA391" s="109"/>
      <c r="BEB391" s="104"/>
      <c r="BEC391" s="104"/>
      <c r="BED391" s="119"/>
      <c r="BEE391" s="104"/>
      <c r="BEF391" s="455"/>
      <c r="BEG391" s="104"/>
      <c r="BEH391" s="104"/>
      <c r="BEI391" s="109"/>
      <c r="BEJ391" s="104"/>
      <c r="BEK391" s="104"/>
      <c r="BEL391" s="119"/>
      <c r="BEM391" s="104"/>
      <c r="BEN391" s="455"/>
      <c r="BEO391" s="104"/>
      <c r="BEP391" s="104"/>
      <c r="BEQ391" s="109"/>
      <c r="BER391" s="104"/>
      <c r="BES391" s="104"/>
      <c r="BET391" s="119"/>
      <c r="BEU391" s="104"/>
      <c r="BEV391" s="455"/>
      <c r="BEW391" s="104"/>
      <c r="BEX391" s="104"/>
      <c r="BEY391" s="109"/>
      <c r="BEZ391" s="104"/>
      <c r="BFA391" s="104"/>
      <c r="BFB391" s="119"/>
      <c r="BFC391" s="104"/>
      <c r="BFD391" s="455"/>
      <c r="BFE391" s="104"/>
      <c r="BFF391" s="104"/>
      <c r="BFG391" s="109"/>
      <c r="BFH391" s="104"/>
      <c r="BFI391" s="104"/>
      <c r="BFJ391" s="119"/>
      <c r="BFK391" s="104"/>
      <c r="BFL391" s="455"/>
      <c r="BFM391" s="104"/>
      <c r="BFN391" s="104"/>
      <c r="BFO391" s="109"/>
      <c r="BFP391" s="104"/>
      <c r="BFQ391" s="104"/>
      <c r="BFR391" s="119"/>
      <c r="BFS391" s="104"/>
      <c r="BFT391" s="455"/>
      <c r="BFU391" s="104"/>
      <c r="BFV391" s="104"/>
      <c r="BFW391" s="109"/>
      <c r="BFX391" s="104"/>
      <c r="BFY391" s="104"/>
      <c r="BFZ391" s="119"/>
      <c r="BGA391" s="104"/>
      <c r="BGB391" s="455"/>
      <c r="BGC391" s="104"/>
      <c r="BGD391" s="104"/>
      <c r="BGE391" s="109"/>
      <c r="BGF391" s="104"/>
      <c r="BGG391" s="104"/>
      <c r="BGH391" s="119"/>
      <c r="BGI391" s="104"/>
      <c r="BGJ391" s="455"/>
      <c r="BGK391" s="104"/>
      <c r="BGL391" s="104"/>
      <c r="BGM391" s="109"/>
      <c r="BGN391" s="104"/>
      <c r="BGO391" s="104"/>
      <c r="BGP391" s="119"/>
      <c r="BGQ391" s="104"/>
      <c r="BGR391" s="455"/>
      <c r="BGS391" s="104"/>
      <c r="BGT391" s="104"/>
      <c r="BGU391" s="109"/>
      <c r="BGV391" s="104"/>
      <c r="BGW391" s="104"/>
      <c r="BGX391" s="119"/>
      <c r="BGY391" s="104"/>
      <c r="BGZ391" s="455"/>
      <c r="BHA391" s="104"/>
      <c r="BHB391" s="104"/>
      <c r="BHC391" s="109"/>
      <c r="BHD391" s="104"/>
      <c r="BHE391" s="104"/>
      <c r="BHF391" s="119"/>
      <c r="BHG391" s="104"/>
      <c r="BHH391" s="455"/>
      <c r="BHI391" s="104"/>
      <c r="BHJ391" s="104"/>
      <c r="BHK391" s="109"/>
      <c r="BHL391" s="104"/>
      <c r="BHM391" s="104"/>
      <c r="BHN391" s="119"/>
      <c r="BHO391" s="104"/>
      <c r="BHP391" s="455"/>
      <c r="BHQ391" s="104"/>
      <c r="BHR391" s="104"/>
      <c r="BHS391" s="109"/>
      <c r="BHT391" s="104"/>
      <c r="BHU391" s="104"/>
      <c r="BHV391" s="119"/>
      <c r="BHW391" s="104"/>
      <c r="BHX391" s="455"/>
      <c r="BHY391" s="104"/>
      <c r="BHZ391" s="104"/>
      <c r="BIA391" s="109"/>
      <c r="BIB391" s="104"/>
      <c r="BIC391" s="104"/>
      <c r="BID391" s="119"/>
      <c r="BIE391" s="104"/>
      <c r="BIF391" s="455"/>
      <c r="BIG391" s="104"/>
      <c r="BIH391" s="104"/>
      <c r="BII391" s="109"/>
      <c r="BIJ391" s="104"/>
      <c r="BIK391" s="104"/>
      <c r="BIL391" s="119"/>
      <c r="BIM391" s="104"/>
      <c r="BIN391" s="455"/>
      <c r="BIO391" s="104"/>
      <c r="BIP391" s="104"/>
      <c r="BIQ391" s="109"/>
      <c r="BIR391" s="104"/>
      <c r="BIS391" s="104"/>
      <c r="BIT391" s="119"/>
      <c r="BIU391" s="104"/>
      <c r="BIV391" s="455"/>
      <c r="BIW391" s="104"/>
      <c r="BIX391" s="104"/>
      <c r="BIY391" s="109"/>
      <c r="BIZ391" s="104"/>
      <c r="BJA391" s="104"/>
      <c r="BJB391" s="119"/>
      <c r="BJC391" s="104"/>
      <c r="BJD391" s="455"/>
      <c r="BJE391" s="104"/>
      <c r="BJF391" s="104"/>
      <c r="BJG391" s="109"/>
      <c r="BJH391" s="104"/>
      <c r="BJI391" s="104"/>
      <c r="BJJ391" s="119"/>
      <c r="BJK391" s="104"/>
      <c r="BJL391" s="455"/>
      <c r="BJM391" s="104"/>
      <c r="BJN391" s="104"/>
      <c r="BJO391" s="109"/>
      <c r="BJP391" s="104"/>
      <c r="BJQ391" s="104"/>
      <c r="BJR391" s="119"/>
      <c r="BJS391" s="104"/>
      <c r="BJT391" s="455"/>
      <c r="BJU391" s="104"/>
      <c r="BJV391" s="104"/>
      <c r="BJW391" s="109"/>
      <c r="BJX391" s="104"/>
      <c r="BJY391" s="104"/>
      <c r="BJZ391" s="119"/>
      <c r="BKA391" s="104"/>
      <c r="BKB391" s="455"/>
      <c r="BKC391" s="104"/>
      <c r="BKD391" s="104"/>
      <c r="BKE391" s="109"/>
      <c r="BKF391" s="104"/>
      <c r="BKG391" s="104"/>
      <c r="BKH391" s="119"/>
      <c r="BKI391" s="104"/>
      <c r="BKJ391" s="455"/>
      <c r="BKK391" s="104"/>
      <c r="BKL391" s="104"/>
      <c r="BKM391" s="109"/>
      <c r="BKN391" s="104"/>
      <c r="BKO391" s="104"/>
      <c r="BKP391" s="119"/>
      <c r="BKQ391" s="104"/>
      <c r="BKR391" s="455"/>
      <c r="BKS391" s="104"/>
      <c r="BKT391" s="104"/>
      <c r="BKU391" s="109"/>
      <c r="BKV391" s="104"/>
      <c r="BKW391" s="104"/>
      <c r="BKX391" s="119"/>
      <c r="BKY391" s="104"/>
      <c r="BKZ391" s="455"/>
      <c r="BLA391" s="104"/>
      <c r="BLB391" s="104"/>
      <c r="BLC391" s="109"/>
      <c r="BLD391" s="104"/>
      <c r="BLE391" s="104"/>
      <c r="BLF391" s="119"/>
      <c r="BLG391" s="104"/>
      <c r="BLH391" s="455"/>
      <c r="BLI391" s="104"/>
      <c r="BLJ391" s="104"/>
      <c r="BLK391" s="109"/>
      <c r="BLL391" s="104"/>
      <c r="BLM391" s="104"/>
      <c r="BLN391" s="119"/>
      <c r="BLO391" s="104"/>
      <c r="BLP391" s="455"/>
      <c r="BLQ391" s="104"/>
      <c r="BLR391" s="104"/>
      <c r="BLS391" s="109"/>
      <c r="BLT391" s="104"/>
      <c r="BLU391" s="104"/>
      <c r="BLV391" s="119"/>
      <c r="BLW391" s="104"/>
      <c r="BLX391" s="455"/>
      <c r="BLY391" s="104"/>
      <c r="BLZ391" s="104"/>
      <c r="BMA391" s="109"/>
      <c r="BMB391" s="104"/>
      <c r="BMC391" s="104"/>
      <c r="BMD391" s="119"/>
      <c r="BME391" s="104"/>
      <c r="BMF391" s="455"/>
      <c r="BMG391" s="104"/>
      <c r="BMH391" s="104"/>
      <c r="BMI391" s="109"/>
      <c r="BMJ391" s="104"/>
      <c r="BMK391" s="104"/>
      <c r="BML391" s="119"/>
      <c r="BMM391" s="104"/>
      <c r="BMN391" s="455"/>
      <c r="BMO391" s="104"/>
      <c r="BMP391" s="104"/>
      <c r="BMQ391" s="109"/>
      <c r="BMR391" s="104"/>
      <c r="BMS391" s="104"/>
      <c r="BMT391" s="119"/>
      <c r="BMU391" s="104"/>
      <c r="BMV391" s="455"/>
      <c r="BMW391" s="104"/>
      <c r="BMX391" s="104"/>
      <c r="BMY391" s="109"/>
      <c r="BMZ391" s="104"/>
      <c r="BNA391" s="104"/>
      <c r="BNB391" s="119"/>
      <c r="BNC391" s="104"/>
      <c r="BND391" s="455"/>
      <c r="BNE391" s="104"/>
      <c r="BNF391" s="104"/>
      <c r="BNG391" s="109"/>
      <c r="BNH391" s="104"/>
      <c r="BNI391" s="104"/>
      <c r="BNJ391" s="119"/>
      <c r="BNK391" s="104"/>
      <c r="BNL391" s="455"/>
      <c r="BNM391" s="104"/>
      <c r="BNN391" s="104"/>
      <c r="BNO391" s="109"/>
      <c r="BNP391" s="104"/>
      <c r="BNQ391" s="104"/>
      <c r="BNR391" s="119"/>
      <c r="BNS391" s="104"/>
      <c r="BNT391" s="455"/>
      <c r="BNU391" s="104"/>
      <c r="BNV391" s="104"/>
      <c r="BNW391" s="109"/>
      <c r="BNX391" s="104"/>
      <c r="BNY391" s="104"/>
      <c r="BNZ391" s="119"/>
      <c r="BOA391" s="104"/>
      <c r="BOB391" s="455"/>
      <c r="BOC391" s="104"/>
      <c r="BOD391" s="104"/>
      <c r="BOE391" s="109"/>
      <c r="BOF391" s="104"/>
      <c r="BOG391" s="104"/>
      <c r="BOH391" s="119"/>
      <c r="BOI391" s="104"/>
      <c r="BOJ391" s="455"/>
      <c r="BOK391" s="104"/>
      <c r="BOL391" s="104"/>
      <c r="BOM391" s="109"/>
      <c r="BON391" s="104"/>
      <c r="BOO391" s="104"/>
      <c r="BOP391" s="119"/>
      <c r="BOQ391" s="104"/>
      <c r="BOR391" s="455"/>
      <c r="BOS391" s="104"/>
      <c r="BOT391" s="104"/>
      <c r="BOU391" s="109"/>
      <c r="BOV391" s="104"/>
      <c r="BOW391" s="104"/>
      <c r="BOX391" s="119"/>
      <c r="BOY391" s="104"/>
      <c r="BOZ391" s="455"/>
      <c r="BPA391" s="104"/>
      <c r="BPB391" s="104"/>
      <c r="BPC391" s="109"/>
      <c r="BPD391" s="104"/>
      <c r="BPE391" s="104"/>
      <c r="BPF391" s="119"/>
      <c r="BPG391" s="104"/>
      <c r="BPH391" s="455"/>
      <c r="BPI391" s="104"/>
      <c r="BPJ391" s="104"/>
      <c r="BPK391" s="109"/>
      <c r="BPL391" s="104"/>
      <c r="BPM391" s="104"/>
      <c r="BPN391" s="119"/>
      <c r="BPO391" s="104"/>
      <c r="BPP391" s="455"/>
      <c r="BPQ391" s="104"/>
      <c r="BPR391" s="104"/>
      <c r="BPS391" s="109"/>
      <c r="BPT391" s="104"/>
      <c r="BPU391" s="104"/>
      <c r="BPV391" s="119"/>
      <c r="BPW391" s="104"/>
      <c r="BPX391" s="455"/>
      <c r="BPY391" s="104"/>
      <c r="BPZ391" s="104"/>
      <c r="BQA391" s="109"/>
      <c r="BQB391" s="104"/>
      <c r="BQC391" s="104"/>
      <c r="BQD391" s="119"/>
      <c r="BQE391" s="104"/>
      <c r="BQF391" s="455"/>
      <c r="BQG391" s="104"/>
      <c r="BQH391" s="104"/>
      <c r="BQI391" s="109"/>
      <c r="BQJ391" s="104"/>
      <c r="BQK391" s="104"/>
      <c r="BQL391" s="119"/>
      <c r="BQM391" s="104"/>
      <c r="BQN391" s="455"/>
      <c r="BQO391" s="104"/>
      <c r="BQP391" s="104"/>
      <c r="BQQ391" s="109"/>
      <c r="BQR391" s="104"/>
      <c r="BQS391" s="104"/>
      <c r="BQT391" s="119"/>
      <c r="BQU391" s="104"/>
      <c r="BQV391" s="455"/>
      <c r="BQW391" s="104"/>
      <c r="BQX391" s="104"/>
      <c r="BQY391" s="109"/>
      <c r="BQZ391" s="104"/>
      <c r="BRA391" s="104"/>
      <c r="BRB391" s="119"/>
      <c r="BRC391" s="104"/>
      <c r="BRD391" s="455"/>
      <c r="BRE391" s="104"/>
      <c r="BRF391" s="104"/>
      <c r="BRG391" s="109"/>
      <c r="BRH391" s="104"/>
      <c r="BRI391" s="104"/>
      <c r="BRJ391" s="119"/>
      <c r="BRK391" s="104"/>
      <c r="BRL391" s="455"/>
      <c r="BRM391" s="104"/>
      <c r="BRN391" s="104"/>
      <c r="BRO391" s="109"/>
      <c r="BRP391" s="104"/>
      <c r="BRQ391" s="104"/>
      <c r="BRR391" s="119"/>
      <c r="BRS391" s="104"/>
      <c r="BRT391" s="455"/>
      <c r="BRU391" s="104"/>
      <c r="BRV391" s="104"/>
      <c r="BRW391" s="109"/>
      <c r="BRX391" s="104"/>
      <c r="BRY391" s="104"/>
      <c r="BRZ391" s="119"/>
      <c r="BSA391" s="104"/>
      <c r="BSB391" s="455"/>
      <c r="BSC391" s="104"/>
      <c r="BSD391" s="104"/>
      <c r="BSE391" s="109"/>
      <c r="BSF391" s="104"/>
      <c r="BSG391" s="104"/>
      <c r="BSH391" s="119"/>
      <c r="BSI391" s="104"/>
      <c r="BSJ391" s="455"/>
      <c r="BSK391" s="104"/>
      <c r="BSL391" s="104"/>
      <c r="BSM391" s="109"/>
      <c r="BSN391" s="104"/>
      <c r="BSO391" s="104"/>
      <c r="BSP391" s="119"/>
      <c r="BSQ391" s="104"/>
      <c r="BSR391" s="455"/>
      <c r="BSS391" s="104"/>
      <c r="BST391" s="104"/>
      <c r="BSU391" s="109"/>
      <c r="BSV391" s="104"/>
      <c r="BSW391" s="104"/>
      <c r="BSX391" s="119"/>
      <c r="BSY391" s="104"/>
      <c r="BSZ391" s="455"/>
      <c r="BTA391" s="104"/>
      <c r="BTB391" s="104"/>
      <c r="BTC391" s="109"/>
      <c r="BTD391" s="104"/>
      <c r="BTE391" s="104"/>
      <c r="BTF391" s="119"/>
      <c r="BTG391" s="104"/>
      <c r="BTH391" s="455"/>
      <c r="BTI391" s="104"/>
      <c r="BTJ391" s="104"/>
      <c r="BTK391" s="109"/>
      <c r="BTL391" s="104"/>
      <c r="BTM391" s="104"/>
      <c r="BTN391" s="119"/>
      <c r="BTO391" s="104"/>
      <c r="BTP391" s="455"/>
      <c r="BTQ391" s="104"/>
      <c r="BTR391" s="104"/>
      <c r="BTS391" s="109"/>
      <c r="BTT391" s="104"/>
      <c r="BTU391" s="104"/>
      <c r="BTV391" s="119"/>
      <c r="BTW391" s="104"/>
      <c r="BTX391" s="455"/>
      <c r="BTY391" s="104"/>
      <c r="BTZ391" s="104"/>
      <c r="BUA391" s="109"/>
      <c r="BUB391" s="104"/>
      <c r="BUC391" s="104"/>
      <c r="BUD391" s="119"/>
      <c r="BUE391" s="104"/>
      <c r="BUF391" s="455"/>
      <c r="BUG391" s="104"/>
      <c r="BUH391" s="104"/>
      <c r="BUI391" s="109"/>
      <c r="BUJ391" s="104"/>
      <c r="BUK391" s="104"/>
      <c r="BUL391" s="119"/>
      <c r="BUM391" s="104"/>
      <c r="BUN391" s="455"/>
      <c r="BUO391" s="104"/>
      <c r="BUP391" s="104"/>
      <c r="BUQ391" s="109"/>
      <c r="BUR391" s="104"/>
      <c r="BUS391" s="104"/>
      <c r="BUT391" s="119"/>
      <c r="BUU391" s="104"/>
      <c r="BUV391" s="455"/>
      <c r="BUW391" s="104"/>
      <c r="BUX391" s="104"/>
      <c r="BUY391" s="109"/>
      <c r="BUZ391" s="104"/>
      <c r="BVA391" s="104"/>
      <c r="BVB391" s="119"/>
      <c r="BVC391" s="104"/>
      <c r="BVD391" s="455"/>
      <c r="BVE391" s="104"/>
      <c r="BVF391" s="104"/>
      <c r="BVG391" s="109"/>
      <c r="BVH391" s="104"/>
      <c r="BVI391" s="104"/>
      <c r="BVJ391" s="119"/>
      <c r="BVK391" s="104"/>
      <c r="BVL391" s="455"/>
      <c r="BVM391" s="104"/>
      <c r="BVN391" s="104"/>
      <c r="BVO391" s="109"/>
      <c r="BVP391" s="104"/>
      <c r="BVQ391" s="104"/>
      <c r="BVR391" s="119"/>
      <c r="BVS391" s="104"/>
      <c r="BVT391" s="455"/>
      <c r="BVU391" s="104"/>
      <c r="BVV391" s="104"/>
      <c r="BVW391" s="109"/>
      <c r="BVX391" s="104"/>
      <c r="BVY391" s="104"/>
      <c r="BVZ391" s="119"/>
      <c r="BWA391" s="104"/>
      <c r="BWB391" s="455"/>
      <c r="BWC391" s="104"/>
      <c r="BWD391" s="104"/>
      <c r="BWE391" s="109"/>
      <c r="BWF391" s="104"/>
      <c r="BWG391" s="104"/>
      <c r="BWH391" s="119"/>
      <c r="BWI391" s="104"/>
      <c r="BWJ391" s="455"/>
      <c r="BWK391" s="104"/>
      <c r="BWL391" s="104"/>
      <c r="BWM391" s="109"/>
      <c r="BWN391" s="104"/>
      <c r="BWO391" s="104"/>
      <c r="BWP391" s="119"/>
      <c r="BWQ391" s="104"/>
      <c r="BWR391" s="455"/>
      <c r="BWS391" s="104"/>
      <c r="BWT391" s="104"/>
      <c r="BWU391" s="109"/>
      <c r="BWV391" s="104"/>
      <c r="BWW391" s="104"/>
      <c r="BWX391" s="119"/>
      <c r="BWY391" s="104"/>
      <c r="BWZ391" s="455"/>
      <c r="BXA391" s="104"/>
      <c r="BXB391" s="104"/>
      <c r="BXC391" s="109"/>
      <c r="BXD391" s="104"/>
      <c r="BXE391" s="104"/>
      <c r="BXF391" s="119"/>
      <c r="BXG391" s="104"/>
      <c r="BXH391" s="455"/>
      <c r="BXI391" s="104"/>
      <c r="BXJ391" s="104"/>
      <c r="BXK391" s="109"/>
      <c r="BXL391" s="104"/>
      <c r="BXM391" s="104"/>
      <c r="BXN391" s="119"/>
      <c r="BXO391" s="104"/>
      <c r="BXP391" s="455"/>
      <c r="BXQ391" s="104"/>
      <c r="BXR391" s="104"/>
      <c r="BXS391" s="109"/>
      <c r="BXT391" s="104"/>
      <c r="BXU391" s="104"/>
      <c r="BXV391" s="119"/>
      <c r="BXW391" s="104"/>
      <c r="BXX391" s="455"/>
      <c r="BXY391" s="104"/>
      <c r="BXZ391" s="104"/>
      <c r="BYA391" s="109"/>
      <c r="BYB391" s="104"/>
      <c r="BYC391" s="104"/>
      <c r="BYD391" s="119"/>
      <c r="BYE391" s="104"/>
      <c r="BYF391" s="455"/>
      <c r="BYG391" s="104"/>
      <c r="BYH391" s="104"/>
      <c r="BYI391" s="109"/>
      <c r="BYJ391" s="104"/>
      <c r="BYK391" s="104"/>
      <c r="BYL391" s="119"/>
      <c r="BYM391" s="104"/>
      <c r="BYN391" s="455"/>
      <c r="BYO391" s="104"/>
      <c r="BYP391" s="104"/>
      <c r="BYQ391" s="109"/>
      <c r="BYR391" s="104"/>
      <c r="BYS391" s="104"/>
      <c r="BYT391" s="119"/>
      <c r="BYU391" s="104"/>
      <c r="BYV391" s="455"/>
      <c r="BYW391" s="104"/>
      <c r="BYX391" s="104"/>
      <c r="BYY391" s="109"/>
      <c r="BYZ391" s="104"/>
      <c r="BZA391" s="104"/>
      <c r="BZB391" s="119"/>
      <c r="BZC391" s="104"/>
      <c r="BZD391" s="455"/>
      <c r="BZE391" s="104"/>
      <c r="BZF391" s="104"/>
      <c r="BZG391" s="109"/>
      <c r="BZH391" s="104"/>
      <c r="BZI391" s="104"/>
      <c r="BZJ391" s="119"/>
      <c r="BZK391" s="104"/>
      <c r="BZL391" s="455"/>
      <c r="BZM391" s="104"/>
      <c r="BZN391" s="104"/>
      <c r="BZO391" s="109"/>
      <c r="BZP391" s="104"/>
      <c r="BZQ391" s="104"/>
      <c r="BZR391" s="119"/>
      <c r="BZS391" s="104"/>
      <c r="BZT391" s="455"/>
      <c r="BZU391" s="104"/>
      <c r="BZV391" s="104"/>
      <c r="BZW391" s="109"/>
      <c r="BZX391" s="104"/>
      <c r="BZY391" s="104"/>
      <c r="BZZ391" s="119"/>
      <c r="CAA391" s="104"/>
      <c r="CAB391" s="455"/>
      <c r="CAC391" s="104"/>
      <c r="CAD391" s="104"/>
      <c r="CAE391" s="109"/>
      <c r="CAF391" s="104"/>
      <c r="CAG391" s="104"/>
      <c r="CAH391" s="119"/>
      <c r="CAI391" s="104"/>
      <c r="CAJ391" s="455"/>
      <c r="CAK391" s="104"/>
      <c r="CAL391" s="104"/>
      <c r="CAM391" s="109"/>
      <c r="CAN391" s="104"/>
      <c r="CAO391" s="104"/>
      <c r="CAP391" s="119"/>
      <c r="CAQ391" s="104"/>
      <c r="CAR391" s="455"/>
      <c r="CAS391" s="104"/>
      <c r="CAT391" s="104"/>
      <c r="CAU391" s="109"/>
      <c r="CAV391" s="104"/>
      <c r="CAW391" s="104"/>
      <c r="CAX391" s="119"/>
      <c r="CAY391" s="104"/>
      <c r="CAZ391" s="455"/>
      <c r="CBA391" s="104"/>
      <c r="CBB391" s="104"/>
      <c r="CBC391" s="109"/>
      <c r="CBD391" s="104"/>
      <c r="CBE391" s="104"/>
      <c r="CBF391" s="119"/>
      <c r="CBG391" s="104"/>
      <c r="CBH391" s="455"/>
      <c r="CBI391" s="104"/>
      <c r="CBJ391" s="104"/>
      <c r="CBK391" s="109"/>
      <c r="CBL391" s="104"/>
      <c r="CBM391" s="104"/>
      <c r="CBN391" s="119"/>
      <c r="CBO391" s="104"/>
      <c r="CBP391" s="455"/>
      <c r="CBQ391" s="104"/>
      <c r="CBR391" s="104"/>
      <c r="CBS391" s="109"/>
      <c r="CBT391" s="104"/>
      <c r="CBU391" s="104"/>
      <c r="CBV391" s="119"/>
      <c r="CBW391" s="104"/>
      <c r="CBX391" s="455"/>
      <c r="CBY391" s="104"/>
      <c r="CBZ391" s="104"/>
      <c r="CCA391" s="109"/>
      <c r="CCB391" s="104"/>
      <c r="CCC391" s="104"/>
      <c r="CCD391" s="119"/>
      <c r="CCE391" s="104"/>
      <c r="CCF391" s="455"/>
      <c r="CCG391" s="104"/>
      <c r="CCH391" s="104"/>
      <c r="CCI391" s="109"/>
      <c r="CCJ391" s="104"/>
      <c r="CCK391" s="104"/>
      <c r="CCL391" s="119"/>
      <c r="CCM391" s="104"/>
      <c r="CCN391" s="455"/>
      <c r="CCO391" s="104"/>
      <c r="CCP391" s="104"/>
      <c r="CCQ391" s="109"/>
      <c r="CCR391" s="104"/>
      <c r="CCS391" s="104"/>
      <c r="CCT391" s="119"/>
      <c r="CCU391" s="104"/>
      <c r="CCV391" s="455"/>
      <c r="CCW391" s="104"/>
      <c r="CCX391" s="104"/>
      <c r="CCY391" s="109"/>
      <c r="CCZ391" s="104"/>
      <c r="CDA391" s="104"/>
      <c r="CDB391" s="119"/>
      <c r="CDC391" s="104"/>
      <c r="CDD391" s="455"/>
      <c r="CDE391" s="104"/>
      <c r="CDF391" s="104"/>
      <c r="CDG391" s="109"/>
      <c r="CDH391" s="104"/>
      <c r="CDI391" s="104"/>
      <c r="CDJ391" s="119"/>
      <c r="CDK391" s="104"/>
      <c r="CDL391" s="455"/>
      <c r="CDM391" s="104"/>
      <c r="CDN391" s="104"/>
      <c r="CDO391" s="109"/>
      <c r="CDP391" s="104"/>
      <c r="CDQ391" s="104"/>
      <c r="CDR391" s="119"/>
      <c r="CDS391" s="104"/>
      <c r="CDT391" s="455"/>
      <c r="CDU391" s="104"/>
      <c r="CDV391" s="104"/>
      <c r="CDW391" s="109"/>
      <c r="CDX391" s="104"/>
      <c r="CDY391" s="104"/>
      <c r="CDZ391" s="119"/>
      <c r="CEA391" s="104"/>
      <c r="CEB391" s="455"/>
      <c r="CEC391" s="104"/>
      <c r="CED391" s="104"/>
      <c r="CEE391" s="109"/>
      <c r="CEF391" s="104"/>
      <c r="CEG391" s="104"/>
      <c r="CEH391" s="119"/>
      <c r="CEI391" s="104"/>
      <c r="CEJ391" s="455"/>
      <c r="CEK391" s="104"/>
      <c r="CEL391" s="104"/>
      <c r="CEM391" s="109"/>
      <c r="CEN391" s="104"/>
      <c r="CEO391" s="104"/>
      <c r="CEP391" s="119"/>
      <c r="CEQ391" s="104"/>
      <c r="CER391" s="455"/>
      <c r="CES391" s="104"/>
      <c r="CET391" s="104"/>
      <c r="CEU391" s="109"/>
      <c r="CEV391" s="104"/>
      <c r="CEW391" s="104"/>
      <c r="CEX391" s="119"/>
      <c r="CEY391" s="104"/>
      <c r="CEZ391" s="455"/>
      <c r="CFA391" s="104"/>
      <c r="CFB391" s="104"/>
      <c r="CFC391" s="109"/>
      <c r="CFD391" s="104"/>
      <c r="CFE391" s="104"/>
      <c r="CFF391" s="119"/>
      <c r="CFG391" s="104"/>
      <c r="CFH391" s="455"/>
      <c r="CFI391" s="104"/>
      <c r="CFJ391" s="104"/>
      <c r="CFK391" s="109"/>
      <c r="CFL391" s="104"/>
      <c r="CFM391" s="104"/>
      <c r="CFN391" s="119"/>
      <c r="CFO391" s="104"/>
      <c r="CFP391" s="455"/>
      <c r="CFQ391" s="104"/>
      <c r="CFR391" s="104"/>
      <c r="CFS391" s="109"/>
      <c r="CFT391" s="104"/>
      <c r="CFU391" s="104"/>
      <c r="CFV391" s="119"/>
      <c r="CFW391" s="104"/>
      <c r="CFX391" s="455"/>
      <c r="CFY391" s="104"/>
      <c r="CFZ391" s="104"/>
      <c r="CGA391" s="109"/>
      <c r="CGB391" s="104"/>
      <c r="CGC391" s="104"/>
      <c r="CGD391" s="119"/>
      <c r="CGE391" s="104"/>
      <c r="CGF391" s="455"/>
      <c r="CGG391" s="104"/>
      <c r="CGH391" s="104"/>
      <c r="CGI391" s="109"/>
      <c r="CGJ391" s="104"/>
      <c r="CGK391" s="104"/>
      <c r="CGL391" s="119"/>
      <c r="CGM391" s="104"/>
      <c r="CGN391" s="455"/>
      <c r="CGO391" s="104"/>
      <c r="CGP391" s="104"/>
      <c r="CGQ391" s="109"/>
      <c r="CGR391" s="104"/>
      <c r="CGS391" s="104"/>
      <c r="CGT391" s="119"/>
      <c r="CGU391" s="104"/>
      <c r="CGV391" s="455"/>
      <c r="CGW391" s="104"/>
      <c r="CGX391" s="104"/>
      <c r="CGY391" s="109"/>
      <c r="CGZ391" s="104"/>
      <c r="CHA391" s="104"/>
      <c r="CHB391" s="119"/>
      <c r="CHC391" s="104"/>
      <c r="CHD391" s="455"/>
      <c r="CHE391" s="104"/>
      <c r="CHF391" s="104"/>
      <c r="CHG391" s="109"/>
      <c r="CHH391" s="104"/>
      <c r="CHI391" s="104"/>
      <c r="CHJ391" s="119"/>
      <c r="CHK391" s="104"/>
      <c r="CHL391" s="455"/>
      <c r="CHM391" s="104"/>
      <c r="CHN391" s="104"/>
      <c r="CHO391" s="109"/>
      <c r="CHP391" s="104"/>
      <c r="CHQ391" s="104"/>
      <c r="CHR391" s="119"/>
      <c r="CHS391" s="104"/>
      <c r="CHT391" s="455"/>
      <c r="CHU391" s="104"/>
      <c r="CHV391" s="104"/>
      <c r="CHW391" s="109"/>
      <c r="CHX391" s="104"/>
      <c r="CHY391" s="104"/>
      <c r="CHZ391" s="119"/>
      <c r="CIA391" s="104"/>
      <c r="CIB391" s="455"/>
      <c r="CIC391" s="104"/>
      <c r="CID391" s="104"/>
      <c r="CIE391" s="109"/>
      <c r="CIF391" s="104"/>
      <c r="CIG391" s="104"/>
      <c r="CIH391" s="119"/>
      <c r="CII391" s="104"/>
      <c r="CIJ391" s="455"/>
      <c r="CIK391" s="104"/>
      <c r="CIL391" s="104"/>
      <c r="CIM391" s="109"/>
      <c r="CIN391" s="104"/>
      <c r="CIO391" s="104"/>
      <c r="CIP391" s="119"/>
      <c r="CIQ391" s="104"/>
      <c r="CIR391" s="455"/>
      <c r="CIS391" s="104"/>
      <c r="CIT391" s="104"/>
      <c r="CIU391" s="109"/>
      <c r="CIV391" s="104"/>
      <c r="CIW391" s="104"/>
      <c r="CIX391" s="119"/>
      <c r="CIY391" s="104"/>
      <c r="CIZ391" s="455"/>
      <c r="CJA391" s="104"/>
      <c r="CJB391" s="104"/>
      <c r="CJC391" s="109"/>
      <c r="CJD391" s="104"/>
      <c r="CJE391" s="104"/>
      <c r="CJF391" s="119"/>
      <c r="CJG391" s="104"/>
      <c r="CJH391" s="455"/>
      <c r="CJI391" s="104"/>
      <c r="CJJ391" s="104"/>
      <c r="CJK391" s="109"/>
      <c r="CJL391" s="104"/>
      <c r="CJM391" s="104"/>
      <c r="CJN391" s="119"/>
      <c r="CJO391" s="104"/>
      <c r="CJP391" s="455"/>
      <c r="CJQ391" s="104"/>
      <c r="CJR391" s="104"/>
      <c r="CJS391" s="109"/>
      <c r="CJT391" s="104"/>
      <c r="CJU391" s="104"/>
      <c r="CJV391" s="119"/>
      <c r="CJW391" s="104"/>
      <c r="CJX391" s="455"/>
      <c r="CJY391" s="104"/>
      <c r="CJZ391" s="104"/>
      <c r="CKA391" s="109"/>
      <c r="CKB391" s="104"/>
      <c r="CKC391" s="104"/>
      <c r="CKD391" s="119"/>
      <c r="CKE391" s="104"/>
      <c r="CKF391" s="455"/>
      <c r="CKG391" s="104"/>
      <c r="CKH391" s="104"/>
      <c r="CKI391" s="109"/>
      <c r="CKJ391" s="104"/>
      <c r="CKK391" s="104"/>
      <c r="CKL391" s="119"/>
      <c r="CKM391" s="104"/>
      <c r="CKN391" s="455"/>
      <c r="CKO391" s="104"/>
      <c r="CKP391" s="104"/>
      <c r="CKQ391" s="109"/>
      <c r="CKR391" s="104"/>
      <c r="CKS391" s="104"/>
      <c r="CKT391" s="119"/>
      <c r="CKU391" s="104"/>
      <c r="CKV391" s="455"/>
      <c r="CKW391" s="104"/>
      <c r="CKX391" s="104"/>
      <c r="CKY391" s="109"/>
      <c r="CKZ391" s="104"/>
      <c r="CLA391" s="104"/>
      <c r="CLB391" s="119"/>
      <c r="CLC391" s="104"/>
      <c r="CLD391" s="455"/>
      <c r="CLE391" s="104"/>
      <c r="CLF391" s="104"/>
      <c r="CLG391" s="109"/>
      <c r="CLH391" s="104"/>
      <c r="CLI391" s="104"/>
      <c r="CLJ391" s="119"/>
      <c r="CLK391" s="104"/>
      <c r="CLL391" s="455"/>
      <c r="CLM391" s="104"/>
      <c r="CLN391" s="104"/>
      <c r="CLO391" s="109"/>
      <c r="CLP391" s="104"/>
      <c r="CLQ391" s="104"/>
      <c r="CLR391" s="119"/>
      <c r="CLS391" s="104"/>
      <c r="CLT391" s="455"/>
      <c r="CLU391" s="104"/>
      <c r="CLV391" s="104"/>
      <c r="CLW391" s="109"/>
      <c r="CLX391" s="104"/>
      <c r="CLY391" s="104"/>
      <c r="CLZ391" s="119"/>
      <c r="CMA391" s="104"/>
      <c r="CMB391" s="455"/>
      <c r="CMC391" s="104"/>
      <c r="CMD391" s="104"/>
      <c r="CME391" s="109"/>
      <c r="CMF391" s="104"/>
      <c r="CMG391" s="104"/>
      <c r="CMH391" s="119"/>
      <c r="CMI391" s="104"/>
      <c r="CMJ391" s="455"/>
      <c r="CMK391" s="104"/>
      <c r="CML391" s="104"/>
      <c r="CMM391" s="109"/>
      <c r="CMN391" s="104"/>
      <c r="CMO391" s="104"/>
      <c r="CMP391" s="119"/>
      <c r="CMQ391" s="104"/>
      <c r="CMR391" s="455"/>
      <c r="CMS391" s="104"/>
      <c r="CMT391" s="104"/>
      <c r="CMU391" s="109"/>
      <c r="CMV391" s="104"/>
      <c r="CMW391" s="104"/>
      <c r="CMX391" s="119"/>
      <c r="CMY391" s="104"/>
      <c r="CMZ391" s="455"/>
      <c r="CNA391" s="104"/>
      <c r="CNB391" s="104"/>
      <c r="CNC391" s="109"/>
      <c r="CND391" s="104"/>
      <c r="CNE391" s="104"/>
      <c r="CNF391" s="119"/>
      <c r="CNG391" s="104"/>
      <c r="CNH391" s="455"/>
      <c r="CNI391" s="104"/>
      <c r="CNJ391" s="104"/>
      <c r="CNK391" s="109"/>
      <c r="CNL391" s="104"/>
      <c r="CNM391" s="104"/>
      <c r="CNN391" s="119"/>
      <c r="CNO391" s="104"/>
      <c r="CNP391" s="455"/>
      <c r="CNQ391" s="104"/>
      <c r="CNR391" s="104"/>
      <c r="CNS391" s="109"/>
      <c r="CNT391" s="104"/>
      <c r="CNU391" s="104"/>
      <c r="CNV391" s="119"/>
      <c r="CNW391" s="104"/>
      <c r="CNX391" s="455"/>
      <c r="CNY391" s="104"/>
      <c r="CNZ391" s="104"/>
      <c r="COA391" s="109"/>
      <c r="COB391" s="104"/>
      <c r="COC391" s="104"/>
      <c r="COD391" s="119"/>
      <c r="COE391" s="104"/>
      <c r="COF391" s="455"/>
      <c r="COG391" s="104"/>
      <c r="COH391" s="104"/>
      <c r="COI391" s="109"/>
      <c r="COJ391" s="104"/>
      <c r="COK391" s="104"/>
      <c r="COL391" s="119"/>
      <c r="COM391" s="104"/>
      <c r="CON391" s="455"/>
      <c r="COO391" s="104"/>
      <c r="COP391" s="104"/>
      <c r="COQ391" s="109"/>
      <c r="COR391" s="104"/>
      <c r="COS391" s="104"/>
      <c r="COT391" s="119"/>
      <c r="COU391" s="104"/>
      <c r="COV391" s="455"/>
      <c r="COW391" s="104"/>
      <c r="COX391" s="104"/>
      <c r="COY391" s="109"/>
      <c r="COZ391" s="104"/>
      <c r="CPA391" s="104"/>
      <c r="CPB391" s="119"/>
      <c r="CPC391" s="104"/>
      <c r="CPD391" s="455"/>
      <c r="CPE391" s="104"/>
      <c r="CPF391" s="104"/>
      <c r="CPG391" s="109"/>
      <c r="CPH391" s="104"/>
      <c r="CPI391" s="104"/>
      <c r="CPJ391" s="119"/>
      <c r="CPK391" s="104"/>
      <c r="CPL391" s="455"/>
      <c r="CPM391" s="104"/>
      <c r="CPN391" s="104"/>
      <c r="CPO391" s="109"/>
      <c r="CPP391" s="104"/>
      <c r="CPQ391" s="104"/>
      <c r="CPR391" s="119"/>
      <c r="CPS391" s="104"/>
      <c r="CPT391" s="455"/>
      <c r="CPU391" s="104"/>
      <c r="CPV391" s="104"/>
      <c r="CPW391" s="109"/>
      <c r="CPX391" s="104"/>
      <c r="CPY391" s="104"/>
      <c r="CPZ391" s="119"/>
      <c r="CQA391" s="104"/>
      <c r="CQB391" s="455"/>
      <c r="CQC391" s="104"/>
      <c r="CQD391" s="104"/>
      <c r="CQE391" s="109"/>
      <c r="CQF391" s="104"/>
      <c r="CQG391" s="104"/>
      <c r="CQH391" s="119"/>
      <c r="CQI391" s="104"/>
      <c r="CQJ391" s="455"/>
      <c r="CQK391" s="104"/>
      <c r="CQL391" s="104"/>
      <c r="CQM391" s="109"/>
      <c r="CQN391" s="104"/>
      <c r="CQO391" s="104"/>
      <c r="CQP391" s="119"/>
      <c r="CQQ391" s="104"/>
      <c r="CQR391" s="455"/>
      <c r="CQS391" s="104"/>
      <c r="CQT391" s="104"/>
      <c r="CQU391" s="109"/>
      <c r="CQV391" s="104"/>
      <c r="CQW391" s="104"/>
      <c r="CQX391" s="119"/>
      <c r="CQY391" s="104"/>
      <c r="CQZ391" s="455"/>
      <c r="CRA391" s="104"/>
      <c r="CRB391" s="104"/>
      <c r="CRC391" s="109"/>
      <c r="CRD391" s="104"/>
      <c r="CRE391" s="104"/>
      <c r="CRF391" s="119"/>
      <c r="CRG391" s="104"/>
      <c r="CRH391" s="455"/>
      <c r="CRI391" s="104"/>
      <c r="CRJ391" s="104"/>
      <c r="CRK391" s="109"/>
      <c r="CRL391" s="104"/>
      <c r="CRM391" s="104"/>
      <c r="CRN391" s="119"/>
      <c r="CRO391" s="104"/>
      <c r="CRP391" s="455"/>
      <c r="CRQ391" s="104"/>
      <c r="CRR391" s="104"/>
      <c r="CRS391" s="109"/>
      <c r="CRT391" s="104"/>
      <c r="CRU391" s="104"/>
      <c r="CRV391" s="119"/>
      <c r="CRW391" s="104"/>
      <c r="CRX391" s="455"/>
      <c r="CRY391" s="104"/>
      <c r="CRZ391" s="104"/>
      <c r="CSA391" s="109"/>
      <c r="CSB391" s="104"/>
      <c r="CSC391" s="104"/>
      <c r="CSD391" s="119"/>
      <c r="CSE391" s="104"/>
      <c r="CSF391" s="455"/>
      <c r="CSG391" s="104"/>
      <c r="CSH391" s="104"/>
      <c r="CSI391" s="109"/>
      <c r="CSJ391" s="104"/>
      <c r="CSK391" s="104"/>
      <c r="CSL391" s="119"/>
      <c r="CSM391" s="104"/>
      <c r="CSN391" s="455"/>
      <c r="CSO391" s="104"/>
      <c r="CSP391" s="104"/>
      <c r="CSQ391" s="109"/>
      <c r="CSR391" s="104"/>
      <c r="CSS391" s="104"/>
      <c r="CST391" s="119"/>
      <c r="CSU391" s="104"/>
      <c r="CSV391" s="455"/>
      <c r="CSW391" s="104"/>
      <c r="CSX391" s="104"/>
      <c r="CSY391" s="109"/>
      <c r="CSZ391" s="104"/>
      <c r="CTA391" s="104"/>
      <c r="CTB391" s="119"/>
      <c r="CTC391" s="104"/>
      <c r="CTD391" s="455"/>
      <c r="CTE391" s="104"/>
      <c r="CTF391" s="104"/>
      <c r="CTG391" s="109"/>
      <c r="CTH391" s="104"/>
      <c r="CTI391" s="104"/>
      <c r="CTJ391" s="119"/>
      <c r="CTK391" s="104"/>
      <c r="CTL391" s="455"/>
      <c r="CTM391" s="104"/>
      <c r="CTN391" s="104"/>
      <c r="CTO391" s="109"/>
      <c r="CTP391" s="104"/>
      <c r="CTQ391" s="104"/>
      <c r="CTR391" s="119"/>
      <c r="CTS391" s="104"/>
      <c r="CTT391" s="455"/>
      <c r="CTU391" s="104"/>
      <c r="CTV391" s="104"/>
      <c r="CTW391" s="109"/>
      <c r="CTX391" s="104"/>
      <c r="CTY391" s="104"/>
      <c r="CTZ391" s="119"/>
      <c r="CUA391" s="104"/>
      <c r="CUB391" s="455"/>
      <c r="CUC391" s="104"/>
      <c r="CUD391" s="104"/>
      <c r="CUE391" s="109"/>
      <c r="CUF391" s="104"/>
      <c r="CUG391" s="104"/>
      <c r="CUH391" s="119"/>
      <c r="CUI391" s="104"/>
      <c r="CUJ391" s="455"/>
      <c r="CUK391" s="104"/>
      <c r="CUL391" s="104"/>
      <c r="CUM391" s="109"/>
      <c r="CUN391" s="104"/>
      <c r="CUO391" s="104"/>
      <c r="CUP391" s="119"/>
      <c r="CUQ391" s="104"/>
      <c r="CUR391" s="455"/>
      <c r="CUS391" s="104"/>
      <c r="CUT391" s="104"/>
      <c r="CUU391" s="109"/>
      <c r="CUV391" s="104"/>
      <c r="CUW391" s="104"/>
      <c r="CUX391" s="119"/>
      <c r="CUY391" s="104"/>
      <c r="CUZ391" s="455"/>
      <c r="CVA391" s="104"/>
      <c r="CVB391" s="104"/>
      <c r="CVC391" s="109"/>
      <c r="CVD391" s="104"/>
      <c r="CVE391" s="104"/>
      <c r="CVF391" s="119"/>
      <c r="CVG391" s="104"/>
      <c r="CVH391" s="455"/>
      <c r="CVI391" s="104"/>
      <c r="CVJ391" s="104"/>
      <c r="CVK391" s="109"/>
      <c r="CVL391" s="104"/>
      <c r="CVM391" s="104"/>
      <c r="CVN391" s="119"/>
      <c r="CVO391" s="104"/>
      <c r="CVP391" s="455"/>
      <c r="CVQ391" s="104"/>
      <c r="CVR391" s="104"/>
      <c r="CVS391" s="109"/>
      <c r="CVT391" s="104"/>
      <c r="CVU391" s="104"/>
      <c r="CVV391" s="119"/>
      <c r="CVW391" s="104"/>
      <c r="CVX391" s="455"/>
      <c r="CVY391" s="104"/>
      <c r="CVZ391" s="104"/>
      <c r="CWA391" s="109"/>
      <c r="CWB391" s="104"/>
      <c r="CWC391" s="104"/>
      <c r="CWD391" s="119"/>
      <c r="CWE391" s="104"/>
      <c r="CWF391" s="455"/>
      <c r="CWG391" s="104"/>
      <c r="CWH391" s="104"/>
      <c r="CWI391" s="109"/>
      <c r="CWJ391" s="104"/>
      <c r="CWK391" s="104"/>
      <c r="CWL391" s="119"/>
      <c r="CWM391" s="104"/>
      <c r="CWN391" s="455"/>
      <c r="CWO391" s="104"/>
      <c r="CWP391" s="104"/>
      <c r="CWQ391" s="109"/>
      <c r="CWR391" s="104"/>
      <c r="CWS391" s="104"/>
      <c r="CWT391" s="119"/>
      <c r="CWU391" s="104"/>
      <c r="CWV391" s="455"/>
      <c r="CWW391" s="104"/>
      <c r="CWX391" s="104"/>
      <c r="CWY391" s="109"/>
      <c r="CWZ391" s="104"/>
      <c r="CXA391" s="104"/>
      <c r="CXB391" s="119"/>
      <c r="CXC391" s="104"/>
      <c r="CXD391" s="455"/>
      <c r="CXE391" s="104"/>
      <c r="CXF391" s="104"/>
      <c r="CXG391" s="109"/>
      <c r="CXH391" s="104"/>
      <c r="CXI391" s="104"/>
      <c r="CXJ391" s="119"/>
      <c r="CXK391" s="104"/>
      <c r="CXL391" s="455"/>
      <c r="CXM391" s="104"/>
      <c r="CXN391" s="104"/>
      <c r="CXO391" s="109"/>
      <c r="CXP391" s="104"/>
      <c r="CXQ391" s="104"/>
      <c r="CXR391" s="119"/>
      <c r="CXS391" s="104"/>
      <c r="CXT391" s="455"/>
      <c r="CXU391" s="104"/>
      <c r="CXV391" s="104"/>
      <c r="CXW391" s="109"/>
      <c r="CXX391" s="104"/>
      <c r="CXY391" s="104"/>
      <c r="CXZ391" s="119"/>
      <c r="CYA391" s="104"/>
      <c r="CYB391" s="455"/>
      <c r="CYC391" s="104"/>
      <c r="CYD391" s="104"/>
      <c r="CYE391" s="109"/>
      <c r="CYF391" s="104"/>
      <c r="CYG391" s="104"/>
      <c r="CYH391" s="119"/>
      <c r="CYI391" s="104"/>
      <c r="CYJ391" s="455"/>
      <c r="CYK391" s="104"/>
      <c r="CYL391" s="104"/>
      <c r="CYM391" s="109"/>
      <c r="CYN391" s="104"/>
      <c r="CYO391" s="104"/>
      <c r="CYP391" s="119"/>
      <c r="CYQ391" s="104"/>
      <c r="CYR391" s="455"/>
      <c r="CYS391" s="104"/>
      <c r="CYT391" s="104"/>
      <c r="CYU391" s="109"/>
      <c r="CYV391" s="104"/>
      <c r="CYW391" s="104"/>
      <c r="CYX391" s="119"/>
      <c r="CYY391" s="104"/>
      <c r="CYZ391" s="455"/>
      <c r="CZA391" s="104"/>
      <c r="CZB391" s="104"/>
      <c r="CZC391" s="109"/>
      <c r="CZD391" s="104"/>
      <c r="CZE391" s="104"/>
      <c r="CZF391" s="119"/>
      <c r="CZG391" s="104"/>
      <c r="CZH391" s="455"/>
      <c r="CZI391" s="104"/>
      <c r="CZJ391" s="104"/>
      <c r="CZK391" s="109"/>
      <c r="CZL391" s="104"/>
      <c r="CZM391" s="104"/>
      <c r="CZN391" s="119"/>
      <c r="CZO391" s="104"/>
      <c r="CZP391" s="455"/>
      <c r="CZQ391" s="104"/>
      <c r="CZR391" s="104"/>
      <c r="CZS391" s="109"/>
      <c r="CZT391" s="104"/>
      <c r="CZU391" s="104"/>
      <c r="CZV391" s="119"/>
      <c r="CZW391" s="104"/>
      <c r="CZX391" s="455"/>
      <c r="CZY391" s="104"/>
      <c r="CZZ391" s="104"/>
      <c r="DAA391" s="109"/>
      <c r="DAB391" s="104"/>
      <c r="DAC391" s="104"/>
      <c r="DAD391" s="119"/>
      <c r="DAE391" s="104"/>
      <c r="DAF391" s="455"/>
      <c r="DAG391" s="104"/>
      <c r="DAH391" s="104"/>
      <c r="DAI391" s="109"/>
      <c r="DAJ391" s="104"/>
      <c r="DAK391" s="104"/>
      <c r="DAL391" s="119"/>
      <c r="DAM391" s="104"/>
      <c r="DAN391" s="455"/>
      <c r="DAO391" s="104"/>
      <c r="DAP391" s="104"/>
      <c r="DAQ391" s="109"/>
      <c r="DAR391" s="104"/>
      <c r="DAS391" s="104"/>
      <c r="DAT391" s="119"/>
      <c r="DAU391" s="104"/>
      <c r="DAV391" s="455"/>
      <c r="DAW391" s="104"/>
      <c r="DAX391" s="104"/>
      <c r="DAY391" s="109"/>
      <c r="DAZ391" s="104"/>
      <c r="DBA391" s="104"/>
      <c r="DBB391" s="119"/>
      <c r="DBC391" s="104"/>
      <c r="DBD391" s="455"/>
      <c r="DBE391" s="104"/>
      <c r="DBF391" s="104"/>
      <c r="DBG391" s="109"/>
      <c r="DBH391" s="104"/>
      <c r="DBI391" s="104"/>
      <c r="DBJ391" s="119"/>
      <c r="DBK391" s="104"/>
      <c r="DBL391" s="455"/>
      <c r="DBM391" s="104"/>
      <c r="DBN391" s="104"/>
      <c r="DBO391" s="109"/>
      <c r="DBP391" s="104"/>
      <c r="DBQ391" s="104"/>
      <c r="DBR391" s="119"/>
      <c r="DBS391" s="104"/>
      <c r="DBT391" s="455"/>
      <c r="DBU391" s="104"/>
      <c r="DBV391" s="104"/>
      <c r="DBW391" s="109"/>
      <c r="DBX391" s="104"/>
      <c r="DBY391" s="104"/>
      <c r="DBZ391" s="119"/>
      <c r="DCA391" s="104"/>
      <c r="DCB391" s="455"/>
      <c r="DCC391" s="104"/>
      <c r="DCD391" s="104"/>
      <c r="DCE391" s="109"/>
      <c r="DCF391" s="104"/>
      <c r="DCG391" s="104"/>
      <c r="DCH391" s="119"/>
      <c r="DCI391" s="104"/>
      <c r="DCJ391" s="455"/>
      <c r="DCK391" s="104"/>
      <c r="DCL391" s="104"/>
      <c r="DCM391" s="109"/>
      <c r="DCN391" s="104"/>
      <c r="DCO391" s="104"/>
      <c r="DCP391" s="119"/>
      <c r="DCQ391" s="104"/>
      <c r="DCR391" s="455"/>
      <c r="DCS391" s="104"/>
      <c r="DCT391" s="104"/>
      <c r="DCU391" s="109"/>
      <c r="DCV391" s="104"/>
      <c r="DCW391" s="104"/>
      <c r="DCX391" s="119"/>
      <c r="DCY391" s="104"/>
      <c r="DCZ391" s="455"/>
      <c r="DDA391" s="104"/>
      <c r="DDB391" s="104"/>
      <c r="DDC391" s="109"/>
      <c r="DDD391" s="104"/>
      <c r="DDE391" s="104"/>
      <c r="DDF391" s="119"/>
      <c r="DDG391" s="104"/>
      <c r="DDH391" s="455"/>
      <c r="DDI391" s="104"/>
      <c r="DDJ391" s="104"/>
      <c r="DDK391" s="109"/>
      <c r="DDL391" s="104"/>
      <c r="DDM391" s="104"/>
      <c r="DDN391" s="119"/>
      <c r="DDO391" s="104"/>
      <c r="DDP391" s="455"/>
      <c r="DDQ391" s="104"/>
      <c r="DDR391" s="104"/>
      <c r="DDS391" s="109"/>
      <c r="DDT391" s="104"/>
      <c r="DDU391" s="104"/>
      <c r="DDV391" s="119"/>
      <c r="DDW391" s="104"/>
      <c r="DDX391" s="455"/>
      <c r="DDY391" s="104"/>
      <c r="DDZ391" s="104"/>
      <c r="DEA391" s="109"/>
      <c r="DEB391" s="104"/>
      <c r="DEC391" s="104"/>
      <c r="DED391" s="119"/>
      <c r="DEE391" s="104"/>
      <c r="DEF391" s="455"/>
      <c r="DEG391" s="104"/>
      <c r="DEH391" s="104"/>
      <c r="DEI391" s="109"/>
      <c r="DEJ391" s="104"/>
      <c r="DEK391" s="104"/>
      <c r="DEL391" s="119"/>
      <c r="DEM391" s="104"/>
      <c r="DEN391" s="455"/>
      <c r="DEO391" s="104"/>
      <c r="DEP391" s="104"/>
      <c r="DEQ391" s="109"/>
      <c r="DER391" s="104"/>
      <c r="DES391" s="104"/>
      <c r="DET391" s="119"/>
      <c r="DEU391" s="104"/>
      <c r="DEV391" s="455"/>
      <c r="DEW391" s="104"/>
      <c r="DEX391" s="104"/>
      <c r="DEY391" s="109"/>
      <c r="DEZ391" s="104"/>
      <c r="DFA391" s="104"/>
      <c r="DFB391" s="119"/>
      <c r="DFC391" s="104"/>
      <c r="DFD391" s="455"/>
      <c r="DFE391" s="104"/>
      <c r="DFF391" s="104"/>
      <c r="DFG391" s="109"/>
      <c r="DFH391" s="104"/>
      <c r="DFI391" s="104"/>
      <c r="DFJ391" s="119"/>
      <c r="DFK391" s="104"/>
      <c r="DFL391" s="455"/>
      <c r="DFM391" s="104"/>
      <c r="DFN391" s="104"/>
      <c r="DFO391" s="109"/>
      <c r="DFP391" s="104"/>
      <c r="DFQ391" s="104"/>
      <c r="DFR391" s="119"/>
      <c r="DFS391" s="104"/>
      <c r="DFT391" s="455"/>
      <c r="DFU391" s="104"/>
      <c r="DFV391" s="104"/>
      <c r="DFW391" s="109"/>
      <c r="DFX391" s="104"/>
      <c r="DFY391" s="104"/>
      <c r="DFZ391" s="119"/>
      <c r="DGA391" s="104"/>
      <c r="DGB391" s="455"/>
      <c r="DGC391" s="104"/>
      <c r="DGD391" s="104"/>
      <c r="DGE391" s="109"/>
      <c r="DGF391" s="104"/>
      <c r="DGG391" s="104"/>
      <c r="DGH391" s="119"/>
      <c r="DGI391" s="104"/>
      <c r="DGJ391" s="455"/>
      <c r="DGK391" s="104"/>
      <c r="DGL391" s="104"/>
      <c r="DGM391" s="109"/>
      <c r="DGN391" s="104"/>
      <c r="DGO391" s="104"/>
      <c r="DGP391" s="119"/>
      <c r="DGQ391" s="104"/>
      <c r="DGR391" s="455"/>
      <c r="DGS391" s="104"/>
      <c r="DGT391" s="104"/>
      <c r="DGU391" s="109"/>
      <c r="DGV391" s="104"/>
      <c r="DGW391" s="104"/>
      <c r="DGX391" s="119"/>
      <c r="DGY391" s="104"/>
      <c r="DGZ391" s="455"/>
      <c r="DHA391" s="104"/>
      <c r="DHB391" s="104"/>
      <c r="DHC391" s="109"/>
      <c r="DHD391" s="104"/>
      <c r="DHE391" s="104"/>
      <c r="DHF391" s="119"/>
      <c r="DHG391" s="104"/>
      <c r="DHH391" s="455"/>
      <c r="DHI391" s="104"/>
      <c r="DHJ391" s="104"/>
      <c r="DHK391" s="109"/>
      <c r="DHL391" s="104"/>
      <c r="DHM391" s="104"/>
      <c r="DHN391" s="119"/>
      <c r="DHO391" s="104"/>
      <c r="DHP391" s="455"/>
      <c r="DHQ391" s="104"/>
      <c r="DHR391" s="104"/>
      <c r="DHS391" s="109"/>
      <c r="DHT391" s="104"/>
      <c r="DHU391" s="104"/>
      <c r="DHV391" s="119"/>
      <c r="DHW391" s="104"/>
      <c r="DHX391" s="455"/>
      <c r="DHY391" s="104"/>
      <c r="DHZ391" s="104"/>
      <c r="DIA391" s="109"/>
      <c r="DIB391" s="104"/>
      <c r="DIC391" s="104"/>
      <c r="DID391" s="119"/>
      <c r="DIE391" s="104"/>
      <c r="DIF391" s="455"/>
      <c r="DIG391" s="104"/>
      <c r="DIH391" s="104"/>
      <c r="DII391" s="109"/>
      <c r="DIJ391" s="104"/>
      <c r="DIK391" s="104"/>
      <c r="DIL391" s="119"/>
      <c r="DIM391" s="104"/>
      <c r="DIN391" s="455"/>
      <c r="DIO391" s="104"/>
      <c r="DIP391" s="104"/>
      <c r="DIQ391" s="109"/>
      <c r="DIR391" s="104"/>
      <c r="DIS391" s="104"/>
      <c r="DIT391" s="119"/>
      <c r="DIU391" s="104"/>
      <c r="DIV391" s="455"/>
      <c r="DIW391" s="104"/>
      <c r="DIX391" s="104"/>
      <c r="DIY391" s="109"/>
      <c r="DIZ391" s="104"/>
      <c r="DJA391" s="104"/>
      <c r="DJB391" s="119"/>
      <c r="DJC391" s="104"/>
      <c r="DJD391" s="455"/>
      <c r="DJE391" s="104"/>
      <c r="DJF391" s="104"/>
      <c r="DJG391" s="109"/>
      <c r="DJH391" s="104"/>
      <c r="DJI391" s="104"/>
      <c r="DJJ391" s="119"/>
      <c r="DJK391" s="104"/>
      <c r="DJL391" s="455"/>
      <c r="DJM391" s="104"/>
      <c r="DJN391" s="104"/>
      <c r="DJO391" s="109"/>
      <c r="DJP391" s="104"/>
      <c r="DJQ391" s="104"/>
      <c r="DJR391" s="119"/>
      <c r="DJS391" s="104"/>
      <c r="DJT391" s="455"/>
      <c r="DJU391" s="104"/>
      <c r="DJV391" s="104"/>
      <c r="DJW391" s="109"/>
      <c r="DJX391" s="104"/>
      <c r="DJY391" s="104"/>
      <c r="DJZ391" s="119"/>
      <c r="DKA391" s="104"/>
      <c r="DKB391" s="455"/>
      <c r="DKC391" s="104"/>
      <c r="DKD391" s="104"/>
      <c r="DKE391" s="109"/>
      <c r="DKF391" s="104"/>
      <c r="DKG391" s="104"/>
      <c r="DKH391" s="119"/>
      <c r="DKI391" s="104"/>
      <c r="DKJ391" s="455"/>
      <c r="DKK391" s="104"/>
      <c r="DKL391" s="104"/>
      <c r="DKM391" s="109"/>
      <c r="DKN391" s="104"/>
      <c r="DKO391" s="104"/>
      <c r="DKP391" s="119"/>
      <c r="DKQ391" s="104"/>
      <c r="DKR391" s="455"/>
      <c r="DKS391" s="104"/>
      <c r="DKT391" s="104"/>
      <c r="DKU391" s="109"/>
      <c r="DKV391" s="104"/>
      <c r="DKW391" s="104"/>
      <c r="DKX391" s="119"/>
      <c r="DKY391" s="104"/>
      <c r="DKZ391" s="455"/>
      <c r="DLA391" s="104"/>
      <c r="DLB391" s="104"/>
      <c r="DLC391" s="109"/>
      <c r="DLD391" s="104"/>
      <c r="DLE391" s="104"/>
      <c r="DLF391" s="119"/>
      <c r="DLG391" s="104"/>
      <c r="DLH391" s="455"/>
      <c r="DLI391" s="104"/>
      <c r="DLJ391" s="104"/>
      <c r="DLK391" s="109"/>
      <c r="DLL391" s="104"/>
      <c r="DLM391" s="104"/>
      <c r="DLN391" s="119"/>
      <c r="DLO391" s="104"/>
      <c r="DLP391" s="455"/>
      <c r="DLQ391" s="104"/>
      <c r="DLR391" s="104"/>
      <c r="DLS391" s="109"/>
      <c r="DLT391" s="104"/>
      <c r="DLU391" s="104"/>
      <c r="DLV391" s="119"/>
      <c r="DLW391" s="104"/>
      <c r="DLX391" s="455"/>
      <c r="DLY391" s="104"/>
      <c r="DLZ391" s="104"/>
      <c r="DMA391" s="109"/>
      <c r="DMB391" s="104"/>
      <c r="DMC391" s="104"/>
      <c r="DMD391" s="119"/>
      <c r="DME391" s="104"/>
      <c r="DMF391" s="455"/>
      <c r="DMG391" s="104"/>
      <c r="DMH391" s="104"/>
      <c r="DMI391" s="109"/>
      <c r="DMJ391" s="104"/>
      <c r="DMK391" s="104"/>
      <c r="DML391" s="119"/>
      <c r="DMM391" s="104"/>
      <c r="DMN391" s="455"/>
      <c r="DMO391" s="104"/>
      <c r="DMP391" s="104"/>
      <c r="DMQ391" s="109"/>
      <c r="DMR391" s="104"/>
      <c r="DMS391" s="104"/>
      <c r="DMT391" s="119"/>
      <c r="DMU391" s="104"/>
      <c r="DMV391" s="455"/>
      <c r="DMW391" s="104"/>
      <c r="DMX391" s="104"/>
      <c r="DMY391" s="109"/>
      <c r="DMZ391" s="104"/>
      <c r="DNA391" s="104"/>
      <c r="DNB391" s="119"/>
      <c r="DNC391" s="104"/>
      <c r="DND391" s="455"/>
      <c r="DNE391" s="104"/>
      <c r="DNF391" s="104"/>
      <c r="DNG391" s="109"/>
      <c r="DNH391" s="104"/>
      <c r="DNI391" s="104"/>
      <c r="DNJ391" s="119"/>
      <c r="DNK391" s="104"/>
      <c r="DNL391" s="455"/>
      <c r="DNM391" s="104"/>
      <c r="DNN391" s="104"/>
      <c r="DNO391" s="109"/>
      <c r="DNP391" s="104"/>
      <c r="DNQ391" s="104"/>
      <c r="DNR391" s="119"/>
      <c r="DNS391" s="104"/>
      <c r="DNT391" s="455"/>
      <c r="DNU391" s="104"/>
      <c r="DNV391" s="104"/>
      <c r="DNW391" s="109"/>
      <c r="DNX391" s="104"/>
      <c r="DNY391" s="104"/>
      <c r="DNZ391" s="119"/>
      <c r="DOA391" s="104"/>
      <c r="DOB391" s="455"/>
      <c r="DOC391" s="104"/>
      <c r="DOD391" s="104"/>
      <c r="DOE391" s="109"/>
      <c r="DOF391" s="104"/>
      <c r="DOG391" s="104"/>
      <c r="DOH391" s="119"/>
      <c r="DOI391" s="104"/>
      <c r="DOJ391" s="455"/>
      <c r="DOK391" s="104"/>
      <c r="DOL391" s="104"/>
      <c r="DOM391" s="109"/>
      <c r="DON391" s="104"/>
      <c r="DOO391" s="104"/>
      <c r="DOP391" s="119"/>
      <c r="DOQ391" s="104"/>
      <c r="DOR391" s="455"/>
      <c r="DOS391" s="104"/>
      <c r="DOT391" s="104"/>
      <c r="DOU391" s="109"/>
      <c r="DOV391" s="104"/>
      <c r="DOW391" s="104"/>
      <c r="DOX391" s="119"/>
      <c r="DOY391" s="104"/>
      <c r="DOZ391" s="455"/>
      <c r="DPA391" s="104"/>
      <c r="DPB391" s="104"/>
      <c r="DPC391" s="109"/>
      <c r="DPD391" s="104"/>
      <c r="DPE391" s="104"/>
      <c r="DPF391" s="119"/>
      <c r="DPG391" s="104"/>
      <c r="DPH391" s="455"/>
      <c r="DPI391" s="104"/>
      <c r="DPJ391" s="104"/>
      <c r="DPK391" s="109"/>
      <c r="DPL391" s="104"/>
      <c r="DPM391" s="104"/>
      <c r="DPN391" s="119"/>
      <c r="DPO391" s="104"/>
      <c r="DPP391" s="455"/>
      <c r="DPQ391" s="104"/>
      <c r="DPR391" s="104"/>
      <c r="DPS391" s="109"/>
      <c r="DPT391" s="104"/>
      <c r="DPU391" s="104"/>
      <c r="DPV391" s="119"/>
      <c r="DPW391" s="104"/>
      <c r="DPX391" s="455"/>
      <c r="DPY391" s="104"/>
      <c r="DPZ391" s="104"/>
      <c r="DQA391" s="109"/>
      <c r="DQB391" s="104"/>
      <c r="DQC391" s="104"/>
      <c r="DQD391" s="119"/>
      <c r="DQE391" s="104"/>
      <c r="DQF391" s="455"/>
      <c r="DQG391" s="104"/>
      <c r="DQH391" s="104"/>
      <c r="DQI391" s="109"/>
      <c r="DQJ391" s="104"/>
      <c r="DQK391" s="104"/>
      <c r="DQL391" s="119"/>
      <c r="DQM391" s="104"/>
      <c r="DQN391" s="455"/>
      <c r="DQO391" s="104"/>
      <c r="DQP391" s="104"/>
      <c r="DQQ391" s="109"/>
      <c r="DQR391" s="104"/>
      <c r="DQS391" s="104"/>
      <c r="DQT391" s="119"/>
      <c r="DQU391" s="104"/>
      <c r="DQV391" s="455"/>
      <c r="DQW391" s="104"/>
      <c r="DQX391" s="104"/>
      <c r="DQY391" s="109"/>
      <c r="DQZ391" s="104"/>
      <c r="DRA391" s="104"/>
      <c r="DRB391" s="119"/>
      <c r="DRC391" s="104"/>
      <c r="DRD391" s="455"/>
      <c r="DRE391" s="104"/>
      <c r="DRF391" s="104"/>
      <c r="DRG391" s="109"/>
      <c r="DRH391" s="104"/>
      <c r="DRI391" s="104"/>
      <c r="DRJ391" s="119"/>
      <c r="DRK391" s="104"/>
      <c r="DRL391" s="455"/>
      <c r="DRM391" s="104"/>
      <c r="DRN391" s="104"/>
      <c r="DRO391" s="109"/>
      <c r="DRP391" s="104"/>
      <c r="DRQ391" s="104"/>
      <c r="DRR391" s="119"/>
      <c r="DRS391" s="104"/>
      <c r="DRT391" s="455"/>
      <c r="DRU391" s="104"/>
      <c r="DRV391" s="104"/>
      <c r="DRW391" s="109"/>
      <c r="DRX391" s="104"/>
      <c r="DRY391" s="104"/>
      <c r="DRZ391" s="119"/>
      <c r="DSA391" s="104"/>
      <c r="DSB391" s="455"/>
      <c r="DSC391" s="104"/>
      <c r="DSD391" s="104"/>
      <c r="DSE391" s="109"/>
      <c r="DSF391" s="104"/>
      <c r="DSG391" s="104"/>
      <c r="DSH391" s="119"/>
      <c r="DSI391" s="104"/>
      <c r="DSJ391" s="455"/>
      <c r="DSK391" s="104"/>
      <c r="DSL391" s="104"/>
      <c r="DSM391" s="109"/>
      <c r="DSN391" s="104"/>
      <c r="DSO391" s="104"/>
      <c r="DSP391" s="119"/>
      <c r="DSQ391" s="104"/>
      <c r="DSR391" s="455"/>
      <c r="DSS391" s="104"/>
      <c r="DST391" s="104"/>
      <c r="DSU391" s="109"/>
      <c r="DSV391" s="104"/>
      <c r="DSW391" s="104"/>
      <c r="DSX391" s="119"/>
      <c r="DSY391" s="104"/>
      <c r="DSZ391" s="455"/>
      <c r="DTA391" s="104"/>
      <c r="DTB391" s="104"/>
      <c r="DTC391" s="109"/>
      <c r="DTD391" s="104"/>
      <c r="DTE391" s="104"/>
      <c r="DTF391" s="119"/>
      <c r="DTG391" s="104"/>
      <c r="DTH391" s="455"/>
      <c r="DTI391" s="104"/>
      <c r="DTJ391" s="104"/>
      <c r="DTK391" s="109"/>
      <c r="DTL391" s="104"/>
      <c r="DTM391" s="104"/>
      <c r="DTN391" s="119"/>
      <c r="DTO391" s="104"/>
      <c r="DTP391" s="455"/>
      <c r="DTQ391" s="104"/>
      <c r="DTR391" s="104"/>
      <c r="DTS391" s="109"/>
      <c r="DTT391" s="104"/>
      <c r="DTU391" s="104"/>
      <c r="DTV391" s="119"/>
      <c r="DTW391" s="104"/>
      <c r="DTX391" s="455"/>
      <c r="DTY391" s="104"/>
      <c r="DTZ391" s="104"/>
      <c r="DUA391" s="109"/>
      <c r="DUB391" s="104"/>
      <c r="DUC391" s="104"/>
      <c r="DUD391" s="119"/>
      <c r="DUE391" s="104"/>
      <c r="DUF391" s="455"/>
      <c r="DUG391" s="104"/>
      <c r="DUH391" s="104"/>
      <c r="DUI391" s="109"/>
      <c r="DUJ391" s="104"/>
      <c r="DUK391" s="104"/>
      <c r="DUL391" s="119"/>
      <c r="DUM391" s="104"/>
      <c r="DUN391" s="455"/>
      <c r="DUO391" s="104"/>
      <c r="DUP391" s="104"/>
      <c r="DUQ391" s="109"/>
      <c r="DUR391" s="104"/>
      <c r="DUS391" s="104"/>
      <c r="DUT391" s="119"/>
      <c r="DUU391" s="104"/>
      <c r="DUV391" s="455"/>
      <c r="DUW391" s="104"/>
      <c r="DUX391" s="104"/>
      <c r="DUY391" s="109"/>
      <c r="DUZ391" s="104"/>
      <c r="DVA391" s="104"/>
      <c r="DVB391" s="119"/>
      <c r="DVC391" s="104"/>
      <c r="DVD391" s="455"/>
      <c r="DVE391" s="104"/>
      <c r="DVF391" s="104"/>
      <c r="DVG391" s="109"/>
      <c r="DVH391" s="104"/>
      <c r="DVI391" s="104"/>
      <c r="DVJ391" s="119"/>
      <c r="DVK391" s="104"/>
      <c r="DVL391" s="455"/>
      <c r="DVM391" s="104"/>
      <c r="DVN391" s="104"/>
      <c r="DVO391" s="109"/>
      <c r="DVP391" s="104"/>
      <c r="DVQ391" s="104"/>
      <c r="DVR391" s="119"/>
      <c r="DVS391" s="104"/>
      <c r="DVT391" s="455"/>
      <c r="DVU391" s="104"/>
      <c r="DVV391" s="104"/>
      <c r="DVW391" s="109"/>
      <c r="DVX391" s="104"/>
      <c r="DVY391" s="104"/>
      <c r="DVZ391" s="119"/>
      <c r="DWA391" s="104"/>
      <c r="DWB391" s="455"/>
      <c r="DWC391" s="104"/>
      <c r="DWD391" s="104"/>
      <c r="DWE391" s="109"/>
      <c r="DWF391" s="104"/>
      <c r="DWG391" s="104"/>
      <c r="DWH391" s="119"/>
      <c r="DWI391" s="104"/>
      <c r="DWJ391" s="455"/>
      <c r="DWK391" s="104"/>
      <c r="DWL391" s="104"/>
      <c r="DWM391" s="109"/>
      <c r="DWN391" s="104"/>
      <c r="DWO391" s="104"/>
      <c r="DWP391" s="119"/>
      <c r="DWQ391" s="104"/>
      <c r="DWR391" s="455"/>
      <c r="DWS391" s="104"/>
      <c r="DWT391" s="104"/>
      <c r="DWU391" s="109"/>
      <c r="DWV391" s="104"/>
      <c r="DWW391" s="104"/>
      <c r="DWX391" s="119"/>
      <c r="DWY391" s="104"/>
      <c r="DWZ391" s="455"/>
      <c r="DXA391" s="104"/>
      <c r="DXB391" s="104"/>
      <c r="DXC391" s="109"/>
      <c r="DXD391" s="104"/>
      <c r="DXE391" s="104"/>
      <c r="DXF391" s="119"/>
      <c r="DXG391" s="104"/>
      <c r="DXH391" s="455"/>
      <c r="DXI391" s="104"/>
      <c r="DXJ391" s="104"/>
      <c r="DXK391" s="109"/>
      <c r="DXL391" s="104"/>
      <c r="DXM391" s="104"/>
      <c r="DXN391" s="119"/>
      <c r="DXO391" s="104"/>
      <c r="DXP391" s="455"/>
      <c r="DXQ391" s="104"/>
      <c r="DXR391" s="104"/>
      <c r="DXS391" s="109"/>
      <c r="DXT391" s="104"/>
      <c r="DXU391" s="104"/>
      <c r="DXV391" s="119"/>
      <c r="DXW391" s="104"/>
      <c r="DXX391" s="455"/>
      <c r="DXY391" s="104"/>
      <c r="DXZ391" s="104"/>
      <c r="DYA391" s="109"/>
      <c r="DYB391" s="104"/>
      <c r="DYC391" s="104"/>
      <c r="DYD391" s="119"/>
      <c r="DYE391" s="104"/>
      <c r="DYF391" s="455"/>
      <c r="DYG391" s="104"/>
      <c r="DYH391" s="104"/>
      <c r="DYI391" s="109"/>
      <c r="DYJ391" s="104"/>
      <c r="DYK391" s="104"/>
      <c r="DYL391" s="119"/>
      <c r="DYM391" s="104"/>
      <c r="DYN391" s="455"/>
      <c r="DYO391" s="104"/>
      <c r="DYP391" s="104"/>
      <c r="DYQ391" s="109"/>
      <c r="DYR391" s="104"/>
      <c r="DYS391" s="104"/>
      <c r="DYT391" s="119"/>
      <c r="DYU391" s="104"/>
      <c r="DYV391" s="455"/>
      <c r="DYW391" s="104"/>
      <c r="DYX391" s="104"/>
      <c r="DYY391" s="109"/>
      <c r="DYZ391" s="104"/>
      <c r="DZA391" s="104"/>
      <c r="DZB391" s="119"/>
      <c r="DZC391" s="104"/>
      <c r="DZD391" s="455"/>
      <c r="DZE391" s="104"/>
      <c r="DZF391" s="104"/>
      <c r="DZG391" s="109"/>
      <c r="DZH391" s="104"/>
      <c r="DZI391" s="104"/>
      <c r="DZJ391" s="119"/>
      <c r="DZK391" s="104"/>
      <c r="DZL391" s="455"/>
      <c r="DZM391" s="104"/>
      <c r="DZN391" s="104"/>
      <c r="DZO391" s="109"/>
      <c r="DZP391" s="104"/>
      <c r="DZQ391" s="104"/>
      <c r="DZR391" s="119"/>
      <c r="DZS391" s="104"/>
      <c r="DZT391" s="455"/>
      <c r="DZU391" s="104"/>
      <c r="DZV391" s="104"/>
      <c r="DZW391" s="109"/>
      <c r="DZX391" s="104"/>
      <c r="DZY391" s="104"/>
      <c r="DZZ391" s="119"/>
      <c r="EAA391" s="104"/>
      <c r="EAB391" s="455"/>
      <c r="EAC391" s="104"/>
      <c r="EAD391" s="104"/>
      <c r="EAE391" s="109"/>
      <c r="EAF391" s="104"/>
      <c r="EAG391" s="104"/>
      <c r="EAH391" s="119"/>
      <c r="EAI391" s="104"/>
      <c r="EAJ391" s="455"/>
      <c r="EAK391" s="104"/>
      <c r="EAL391" s="104"/>
      <c r="EAM391" s="109"/>
      <c r="EAN391" s="104"/>
      <c r="EAO391" s="104"/>
      <c r="EAP391" s="119"/>
      <c r="EAQ391" s="104"/>
      <c r="EAR391" s="455"/>
      <c r="EAS391" s="104"/>
      <c r="EAT391" s="104"/>
      <c r="EAU391" s="109"/>
      <c r="EAV391" s="104"/>
      <c r="EAW391" s="104"/>
      <c r="EAX391" s="119"/>
      <c r="EAY391" s="104"/>
      <c r="EAZ391" s="455"/>
      <c r="EBA391" s="104"/>
      <c r="EBB391" s="104"/>
      <c r="EBC391" s="109"/>
      <c r="EBD391" s="104"/>
      <c r="EBE391" s="104"/>
      <c r="EBF391" s="119"/>
      <c r="EBG391" s="104"/>
      <c r="EBH391" s="455"/>
      <c r="EBI391" s="104"/>
      <c r="EBJ391" s="104"/>
      <c r="EBK391" s="109"/>
      <c r="EBL391" s="104"/>
      <c r="EBM391" s="104"/>
      <c r="EBN391" s="119"/>
      <c r="EBO391" s="104"/>
      <c r="EBP391" s="455"/>
      <c r="EBQ391" s="104"/>
      <c r="EBR391" s="104"/>
      <c r="EBS391" s="109"/>
      <c r="EBT391" s="104"/>
      <c r="EBU391" s="104"/>
      <c r="EBV391" s="119"/>
      <c r="EBW391" s="104"/>
      <c r="EBX391" s="455"/>
      <c r="EBY391" s="104"/>
      <c r="EBZ391" s="104"/>
      <c r="ECA391" s="109"/>
      <c r="ECB391" s="104"/>
      <c r="ECC391" s="104"/>
      <c r="ECD391" s="119"/>
      <c r="ECE391" s="104"/>
      <c r="ECF391" s="455"/>
      <c r="ECG391" s="104"/>
      <c r="ECH391" s="104"/>
      <c r="ECI391" s="109"/>
      <c r="ECJ391" s="104"/>
      <c r="ECK391" s="104"/>
      <c r="ECL391" s="119"/>
      <c r="ECM391" s="104"/>
      <c r="ECN391" s="455"/>
      <c r="ECO391" s="104"/>
      <c r="ECP391" s="104"/>
      <c r="ECQ391" s="109"/>
      <c r="ECR391" s="104"/>
      <c r="ECS391" s="104"/>
      <c r="ECT391" s="119"/>
      <c r="ECU391" s="104"/>
      <c r="ECV391" s="455"/>
      <c r="ECW391" s="104"/>
      <c r="ECX391" s="104"/>
      <c r="ECY391" s="109"/>
      <c r="ECZ391" s="104"/>
      <c r="EDA391" s="104"/>
      <c r="EDB391" s="119"/>
      <c r="EDC391" s="104"/>
      <c r="EDD391" s="455"/>
      <c r="EDE391" s="104"/>
      <c r="EDF391" s="104"/>
      <c r="EDG391" s="109"/>
      <c r="EDH391" s="104"/>
      <c r="EDI391" s="104"/>
      <c r="EDJ391" s="119"/>
      <c r="EDK391" s="104"/>
      <c r="EDL391" s="455"/>
      <c r="EDM391" s="104"/>
      <c r="EDN391" s="104"/>
      <c r="EDO391" s="109"/>
      <c r="EDP391" s="104"/>
      <c r="EDQ391" s="104"/>
      <c r="EDR391" s="119"/>
      <c r="EDS391" s="104"/>
      <c r="EDT391" s="455"/>
      <c r="EDU391" s="104"/>
      <c r="EDV391" s="104"/>
      <c r="EDW391" s="109"/>
      <c r="EDX391" s="104"/>
      <c r="EDY391" s="104"/>
      <c r="EDZ391" s="119"/>
      <c r="EEA391" s="104"/>
      <c r="EEB391" s="455"/>
      <c r="EEC391" s="104"/>
      <c r="EED391" s="104"/>
      <c r="EEE391" s="109"/>
      <c r="EEF391" s="104"/>
      <c r="EEG391" s="104"/>
      <c r="EEH391" s="119"/>
      <c r="EEI391" s="104"/>
      <c r="EEJ391" s="455"/>
      <c r="EEK391" s="104"/>
      <c r="EEL391" s="104"/>
      <c r="EEM391" s="109"/>
      <c r="EEN391" s="104"/>
      <c r="EEO391" s="104"/>
      <c r="EEP391" s="119"/>
      <c r="EEQ391" s="104"/>
      <c r="EER391" s="455"/>
      <c r="EES391" s="104"/>
      <c r="EET391" s="104"/>
      <c r="EEU391" s="109"/>
      <c r="EEV391" s="104"/>
      <c r="EEW391" s="104"/>
      <c r="EEX391" s="119"/>
      <c r="EEY391" s="104"/>
      <c r="EEZ391" s="455"/>
      <c r="EFA391" s="104"/>
      <c r="EFB391" s="104"/>
      <c r="EFC391" s="109"/>
      <c r="EFD391" s="104"/>
      <c r="EFE391" s="104"/>
      <c r="EFF391" s="119"/>
      <c r="EFG391" s="104"/>
      <c r="EFH391" s="455"/>
      <c r="EFI391" s="104"/>
      <c r="EFJ391" s="104"/>
      <c r="EFK391" s="109"/>
      <c r="EFL391" s="104"/>
      <c r="EFM391" s="104"/>
      <c r="EFN391" s="119"/>
      <c r="EFO391" s="104"/>
      <c r="EFP391" s="455"/>
      <c r="EFQ391" s="104"/>
      <c r="EFR391" s="104"/>
      <c r="EFS391" s="109"/>
      <c r="EFT391" s="104"/>
      <c r="EFU391" s="104"/>
      <c r="EFV391" s="119"/>
      <c r="EFW391" s="104"/>
      <c r="EFX391" s="455"/>
      <c r="EFY391" s="104"/>
      <c r="EFZ391" s="104"/>
      <c r="EGA391" s="109"/>
      <c r="EGB391" s="104"/>
      <c r="EGC391" s="104"/>
      <c r="EGD391" s="119"/>
      <c r="EGE391" s="104"/>
      <c r="EGF391" s="455"/>
      <c r="EGG391" s="104"/>
      <c r="EGH391" s="104"/>
      <c r="EGI391" s="109"/>
      <c r="EGJ391" s="104"/>
      <c r="EGK391" s="104"/>
      <c r="EGL391" s="119"/>
      <c r="EGM391" s="104"/>
      <c r="EGN391" s="455"/>
      <c r="EGO391" s="104"/>
      <c r="EGP391" s="104"/>
      <c r="EGQ391" s="109"/>
      <c r="EGR391" s="104"/>
      <c r="EGS391" s="104"/>
      <c r="EGT391" s="119"/>
      <c r="EGU391" s="104"/>
      <c r="EGV391" s="455"/>
      <c r="EGW391" s="104"/>
      <c r="EGX391" s="104"/>
      <c r="EGY391" s="109"/>
      <c r="EGZ391" s="104"/>
      <c r="EHA391" s="104"/>
      <c r="EHB391" s="119"/>
      <c r="EHC391" s="104"/>
      <c r="EHD391" s="455"/>
      <c r="EHE391" s="104"/>
      <c r="EHF391" s="104"/>
      <c r="EHG391" s="109"/>
      <c r="EHH391" s="104"/>
      <c r="EHI391" s="104"/>
      <c r="EHJ391" s="119"/>
      <c r="EHK391" s="104"/>
      <c r="EHL391" s="455"/>
      <c r="EHM391" s="104"/>
      <c r="EHN391" s="104"/>
      <c r="EHO391" s="109"/>
      <c r="EHP391" s="104"/>
      <c r="EHQ391" s="104"/>
      <c r="EHR391" s="119"/>
      <c r="EHS391" s="104"/>
      <c r="EHT391" s="455"/>
      <c r="EHU391" s="104"/>
      <c r="EHV391" s="104"/>
      <c r="EHW391" s="109"/>
      <c r="EHX391" s="104"/>
      <c r="EHY391" s="104"/>
      <c r="EHZ391" s="119"/>
      <c r="EIA391" s="104"/>
      <c r="EIB391" s="455"/>
      <c r="EIC391" s="104"/>
      <c r="EID391" s="104"/>
      <c r="EIE391" s="109"/>
      <c r="EIF391" s="104"/>
      <c r="EIG391" s="104"/>
      <c r="EIH391" s="119"/>
      <c r="EII391" s="104"/>
      <c r="EIJ391" s="455"/>
      <c r="EIK391" s="104"/>
      <c r="EIL391" s="104"/>
      <c r="EIM391" s="109"/>
      <c r="EIN391" s="104"/>
      <c r="EIO391" s="104"/>
      <c r="EIP391" s="119"/>
      <c r="EIQ391" s="104"/>
      <c r="EIR391" s="455"/>
      <c r="EIS391" s="104"/>
      <c r="EIT391" s="104"/>
      <c r="EIU391" s="109"/>
      <c r="EIV391" s="104"/>
      <c r="EIW391" s="104"/>
      <c r="EIX391" s="119"/>
      <c r="EIY391" s="104"/>
      <c r="EIZ391" s="455"/>
      <c r="EJA391" s="104"/>
      <c r="EJB391" s="104"/>
      <c r="EJC391" s="109"/>
      <c r="EJD391" s="104"/>
      <c r="EJE391" s="104"/>
      <c r="EJF391" s="119"/>
      <c r="EJG391" s="104"/>
      <c r="EJH391" s="455"/>
      <c r="EJI391" s="104"/>
      <c r="EJJ391" s="104"/>
      <c r="EJK391" s="109"/>
      <c r="EJL391" s="104"/>
      <c r="EJM391" s="104"/>
      <c r="EJN391" s="119"/>
      <c r="EJO391" s="104"/>
      <c r="EJP391" s="455"/>
      <c r="EJQ391" s="104"/>
      <c r="EJR391" s="104"/>
      <c r="EJS391" s="109"/>
      <c r="EJT391" s="104"/>
      <c r="EJU391" s="104"/>
      <c r="EJV391" s="119"/>
      <c r="EJW391" s="104"/>
      <c r="EJX391" s="455"/>
      <c r="EJY391" s="104"/>
      <c r="EJZ391" s="104"/>
      <c r="EKA391" s="109"/>
      <c r="EKB391" s="104"/>
      <c r="EKC391" s="104"/>
      <c r="EKD391" s="119"/>
      <c r="EKE391" s="104"/>
      <c r="EKF391" s="455"/>
      <c r="EKG391" s="104"/>
      <c r="EKH391" s="104"/>
      <c r="EKI391" s="109"/>
      <c r="EKJ391" s="104"/>
      <c r="EKK391" s="104"/>
      <c r="EKL391" s="119"/>
      <c r="EKM391" s="104"/>
      <c r="EKN391" s="455"/>
      <c r="EKO391" s="104"/>
      <c r="EKP391" s="104"/>
      <c r="EKQ391" s="109"/>
      <c r="EKR391" s="104"/>
      <c r="EKS391" s="104"/>
      <c r="EKT391" s="119"/>
      <c r="EKU391" s="104"/>
      <c r="EKV391" s="455"/>
      <c r="EKW391" s="104"/>
      <c r="EKX391" s="104"/>
      <c r="EKY391" s="109"/>
      <c r="EKZ391" s="104"/>
      <c r="ELA391" s="104"/>
      <c r="ELB391" s="119"/>
      <c r="ELC391" s="104"/>
      <c r="ELD391" s="455"/>
      <c r="ELE391" s="104"/>
      <c r="ELF391" s="104"/>
      <c r="ELG391" s="109"/>
      <c r="ELH391" s="104"/>
      <c r="ELI391" s="104"/>
      <c r="ELJ391" s="119"/>
      <c r="ELK391" s="104"/>
      <c r="ELL391" s="455"/>
      <c r="ELM391" s="104"/>
      <c r="ELN391" s="104"/>
      <c r="ELO391" s="109"/>
      <c r="ELP391" s="104"/>
      <c r="ELQ391" s="104"/>
      <c r="ELR391" s="119"/>
      <c r="ELS391" s="104"/>
      <c r="ELT391" s="455"/>
      <c r="ELU391" s="104"/>
      <c r="ELV391" s="104"/>
      <c r="ELW391" s="109"/>
      <c r="ELX391" s="104"/>
      <c r="ELY391" s="104"/>
      <c r="ELZ391" s="119"/>
      <c r="EMA391" s="104"/>
      <c r="EMB391" s="455"/>
      <c r="EMC391" s="104"/>
      <c r="EMD391" s="104"/>
      <c r="EME391" s="109"/>
      <c r="EMF391" s="104"/>
      <c r="EMG391" s="104"/>
      <c r="EMH391" s="119"/>
      <c r="EMI391" s="104"/>
      <c r="EMJ391" s="455"/>
      <c r="EMK391" s="104"/>
      <c r="EML391" s="104"/>
      <c r="EMM391" s="109"/>
      <c r="EMN391" s="104"/>
      <c r="EMO391" s="104"/>
      <c r="EMP391" s="119"/>
      <c r="EMQ391" s="104"/>
      <c r="EMR391" s="455"/>
      <c r="EMS391" s="104"/>
      <c r="EMT391" s="104"/>
      <c r="EMU391" s="109"/>
      <c r="EMV391" s="104"/>
      <c r="EMW391" s="104"/>
      <c r="EMX391" s="119"/>
      <c r="EMY391" s="104"/>
      <c r="EMZ391" s="455"/>
      <c r="ENA391" s="104"/>
      <c r="ENB391" s="104"/>
      <c r="ENC391" s="109"/>
      <c r="END391" s="104"/>
      <c r="ENE391" s="104"/>
      <c r="ENF391" s="119"/>
      <c r="ENG391" s="104"/>
      <c r="ENH391" s="455"/>
      <c r="ENI391" s="104"/>
      <c r="ENJ391" s="104"/>
      <c r="ENK391" s="109"/>
      <c r="ENL391" s="104"/>
      <c r="ENM391" s="104"/>
      <c r="ENN391" s="119"/>
      <c r="ENO391" s="104"/>
      <c r="ENP391" s="455"/>
      <c r="ENQ391" s="104"/>
      <c r="ENR391" s="104"/>
      <c r="ENS391" s="109"/>
      <c r="ENT391" s="104"/>
      <c r="ENU391" s="104"/>
      <c r="ENV391" s="119"/>
      <c r="ENW391" s="104"/>
      <c r="ENX391" s="455"/>
      <c r="ENY391" s="104"/>
      <c r="ENZ391" s="104"/>
      <c r="EOA391" s="109"/>
      <c r="EOB391" s="104"/>
      <c r="EOC391" s="104"/>
      <c r="EOD391" s="119"/>
      <c r="EOE391" s="104"/>
      <c r="EOF391" s="455"/>
      <c r="EOG391" s="104"/>
      <c r="EOH391" s="104"/>
      <c r="EOI391" s="109"/>
      <c r="EOJ391" s="104"/>
      <c r="EOK391" s="104"/>
      <c r="EOL391" s="119"/>
      <c r="EOM391" s="104"/>
      <c r="EON391" s="455"/>
      <c r="EOO391" s="104"/>
      <c r="EOP391" s="104"/>
      <c r="EOQ391" s="109"/>
      <c r="EOR391" s="104"/>
      <c r="EOS391" s="104"/>
      <c r="EOT391" s="119"/>
      <c r="EOU391" s="104"/>
      <c r="EOV391" s="455"/>
      <c r="EOW391" s="104"/>
      <c r="EOX391" s="104"/>
      <c r="EOY391" s="109"/>
      <c r="EOZ391" s="104"/>
      <c r="EPA391" s="104"/>
      <c r="EPB391" s="119"/>
      <c r="EPC391" s="104"/>
      <c r="EPD391" s="455"/>
      <c r="EPE391" s="104"/>
      <c r="EPF391" s="104"/>
      <c r="EPG391" s="109"/>
      <c r="EPH391" s="104"/>
      <c r="EPI391" s="104"/>
      <c r="EPJ391" s="119"/>
      <c r="EPK391" s="104"/>
      <c r="EPL391" s="455"/>
      <c r="EPM391" s="104"/>
      <c r="EPN391" s="104"/>
      <c r="EPO391" s="109"/>
      <c r="EPP391" s="104"/>
      <c r="EPQ391" s="104"/>
      <c r="EPR391" s="119"/>
      <c r="EPS391" s="104"/>
      <c r="EPT391" s="455"/>
      <c r="EPU391" s="104"/>
      <c r="EPV391" s="104"/>
      <c r="EPW391" s="109"/>
      <c r="EPX391" s="104"/>
      <c r="EPY391" s="104"/>
      <c r="EPZ391" s="119"/>
      <c r="EQA391" s="104"/>
      <c r="EQB391" s="455"/>
      <c r="EQC391" s="104"/>
      <c r="EQD391" s="104"/>
      <c r="EQE391" s="109"/>
      <c r="EQF391" s="104"/>
      <c r="EQG391" s="104"/>
      <c r="EQH391" s="119"/>
      <c r="EQI391" s="104"/>
      <c r="EQJ391" s="455"/>
      <c r="EQK391" s="104"/>
      <c r="EQL391" s="104"/>
      <c r="EQM391" s="109"/>
      <c r="EQN391" s="104"/>
      <c r="EQO391" s="104"/>
      <c r="EQP391" s="119"/>
      <c r="EQQ391" s="104"/>
      <c r="EQR391" s="455"/>
      <c r="EQS391" s="104"/>
      <c r="EQT391" s="104"/>
      <c r="EQU391" s="109"/>
      <c r="EQV391" s="104"/>
      <c r="EQW391" s="104"/>
      <c r="EQX391" s="119"/>
      <c r="EQY391" s="104"/>
      <c r="EQZ391" s="455"/>
      <c r="ERA391" s="104"/>
      <c r="ERB391" s="104"/>
      <c r="ERC391" s="109"/>
      <c r="ERD391" s="104"/>
      <c r="ERE391" s="104"/>
      <c r="ERF391" s="119"/>
      <c r="ERG391" s="104"/>
      <c r="ERH391" s="455"/>
      <c r="ERI391" s="104"/>
      <c r="ERJ391" s="104"/>
      <c r="ERK391" s="109"/>
      <c r="ERL391" s="104"/>
      <c r="ERM391" s="104"/>
      <c r="ERN391" s="119"/>
      <c r="ERO391" s="104"/>
      <c r="ERP391" s="455"/>
      <c r="ERQ391" s="104"/>
      <c r="ERR391" s="104"/>
      <c r="ERS391" s="109"/>
      <c r="ERT391" s="104"/>
      <c r="ERU391" s="104"/>
      <c r="ERV391" s="119"/>
      <c r="ERW391" s="104"/>
      <c r="ERX391" s="455"/>
      <c r="ERY391" s="104"/>
      <c r="ERZ391" s="104"/>
      <c r="ESA391" s="109"/>
      <c r="ESB391" s="104"/>
      <c r="ESC391" s="104"/>
      <c r="ESD391" s="119"/>
      <c r="ESE391" s="104"/>
      <c r="ESF391" s="455"/>
      <c r="ESG391" s="104"/>
      <c r="ESH391" s="104"/>
      <c r="ESI391" s="109"/>
      <c r="ESJ391" s="104"/>
      <c r="ESK391" s="104"/>
      <c r="ESL391" s="119"/>
      <c r="ESM391" s="104"/>
      <c r="ESN391" s="455"/>
      <c r="ESO391" s="104"/>
      <c r="ESP391" s="104"/>
      <c r="ESQ391" s="109"/>
      <c r="ESR391" s="104"/>
      <c r="ESS391" s="104"/>
      <c r="EST391" s="119"/>
      <c r="ESU391" s="104"/>
      <c r="ESV391" s="455"/>
      <c r="ESW391" s="104"/>
      <c r="ESX391" s="104"/>
      <c r="ESY391" s="109"/>
      <c r="ESZ391" s="104"/>
      <c r="ETA391" s="104"/>
      <c r="ETB391" s="119"/>
      <c r="ETC391" s="104"/>
      <c r="ETD391" s="455"/>
      <c r="ETE391" s="104"/>
      <c r="ETF391" s="104"/>
      <c r="ETG391" s="109"/>
      <c r="ETH391" s="104"/>
      <c r="ETI391" s="104"/>
      <c r="ETJ391" s="119"/>
      <c r="ETK391" s="104"/>
      <c r="ETL391" s="455"/>
      <c r="ETM391" s="104"/>
      <c r="ETN391" s="104"/>
      <c r="ETO391" s="109"/>
      <c r="ETP391" s="104"/>
      <c r="ETQ391" s="104"/>
      <c r="ETR391" s="119"/>
      <c r="ETS391" s="104"/>
      <c r="ETT391" s="455"/>
      <c r="ETU391" s="104"/>
      <c r="ETV391" s="104"/>
      <c r="ETW391" s="109"/>
      <c r="ETX391" s="104"/>
      <c r="ETY391" s="104"/>
      <c r="ETZ391" s="119"/>
      <c r="EUA391" s="104"/>
      <c r="EUB391" s="455"/>
      <c r="EUC391" s="104"/>
      <c r="EUD391" s="104"/>
      <c r="EUE391" s="109"/>
      <c r="EUF391" s="104"/>
      <c r="EUG391" s="104"/>
      <c r="EUH391" s="119"/>
      <c r="EUI391" s="104"/>
      <c r="EUJ391" s="455"/>
      <c r="EUK391" s="104"/>
      <c r="EUL391" s="104"/>
      <c r="EUM391" s="109"/>
      <c r="EUN391" s="104"/>
      <c r="EUO391" s="104"/>
      <c r="EUP391" s="119"/>
      <c r="EUQ391" s="104"/>
      <c r="EUR391" s="455"/>
      <c r="EUS391" s="104"/>
      <c r="EUT391" s="104"/>
      <c r="EUU391" s="109"/>
      <c r="EUV391" s="104"/>
      <c r="EUW391" s="104"/>
      <c r="EUX391" s="119"/>
      <c r="EUY391" s="104"/>
      <c r="EUZ391" s="455"/>
      <c r="EVA391" s="104"/>
      <c r="EVB391" s="104"/>
      <c r="EVC391" s="109"/>
      <c r="EVD391" s="104"/>
      <c r="EVE391" s="104"/>
      <c r="EVF391" s="119"/>
      <c r="EVG391" s="104"/>
      <c r="EVH391" s="455"/>
      <c r="EVI391" s="104"/>
      <c r="EVJ391" s="104"/>
      <c r="EVK391" s="109"/>
      <c r="EVL391" s="104"/>
      <c r="EVM391" s="104"/>
      <c r="EVN391" s="119"/>
      <c r="EVO391" s="104"/>
      <c r="EVP391" s="455"/>
      <c r="EVQ391" s="104"/>
      <c r="EVR391" s="104"/>
      <c r="EVS391" s="109"/>
      <c r="EVT391" s="104"/>
      <c r="EVU391" s="104"/>
      <c r="EVV391" s="119"/>
      <c r="EVW391" s="104"/>
      <c r="EVX391" s="455"/>
      <c r="EVY391" s="104"/>
      <c r="EVZ391" s="104"/>
      <c r="EWA391" s="109"/>
      <c r="EWB391" s="104"/>
      <c r="EWC391" s="104"/>
      <c r="EWD391" s="119"/>
      <c r="EWE391" s="104"/>
      <c r="EWF391" s="455"/>
      <c r="EWG391" s="104"/>
      <c r="EWH391" s="104"/>
      <c r="EWI391" s="109"/>
      <c r="EWJ391" s="104"/>
      <c r="EWK391" s="104"/>
      <c r="EWL391" s="119"/>
      <c r="EWM391" s="104"/>
      <c r="EWN391" s="455"/>
      <c r="EWO391" s="104"/>
      <c r="EWP391" s="104"/>
      <c r="EWQ391" s="109"/>
      <c r="EWR391" s="104"/>
      <c r="EWS391" s="104"/>
      <c r="EWT391" s="119"/>
      <c r="EWU391" s="104"/>
      <c r="EWV391" s="455"/>
      <c r="EWW391" s="104"/>
      <c r="EWX391" s="104"/>
      <c r="EWY391" s="109"/>
      <c r="EWZ391" s="104"/>
      <c r="EXA391" s="104"/>
      <c r="EXB391" s="119"/>
      <c r="EXC391" s="104"/>
      <c r="EXD391" s="455"/>
      <c r="EXE391" s="104"/>
      <c r="EXF391" s="104"/>
      <c r="EXG391" s="109"/>
      <c r="EXH391" s="104"/>
      <c r="EXI391" s="104"/>
      <c r="EXJ391" s="119"/>
      <c r="EXK391" s="104"/>
      <c r="EXL391" s="455"/>
      <c r="EXM391" s="104"/>
      <c r="EXN391" s="104"/>
      <c r="EXO391" s="109"/>
      <c r="EXP391" s="104"/>
      <c r="EXQ391" s="104"/>
      <c r="EXR391" s="119"/>
      <c r="EXS391" s="104"/>
      <c r="EXT391" s="455"/>
      <c r="EXU391" s="104"/>
      <c r="EXV391" s="104"/>
      <c r="EXW391" s="109"/>
      <c r="EXX391" s="104"/>
      <c r="EXY391" s="104"/>
      <c r="EXZ391" s="119"/>
      <c r="EYA391" s="104"/>
      <c r="EYB391" s="455"/>
      <c r="EYC391" s="104"/>
      <c r="EYD391" s="104"/>
      <c r="EYE391" s="109"/>
      <c r="EYF391" s="104"/>
      <c r="EYG391" s="104"/>
      <c r="EYH391" s="119"/>
      <c r="EYI391" s="104"/>
      <c r="EYJ391" s="455"/>
      <c r="EYK391" s="104"/>
      <c r="EYL391" s="104"/>
      <c r="EYM391" s="109"/>
      <c r="EYN391" s="104"/>
      <c r="EYO391" s="104"/>
      <c r="EYP391" s="119"/>
      <c r="EYQ391" s="104"/>
      <c r="EYR391" s="455"/>
      <c r="EYS391" s="104"/>
      <c r="EYT391" s="104"/>
      <c r="EYU391" s="109"/>
      <c r="EYV391" s="104"/>
      <c r="EYW391" s="104"/>
      <c r="EYX391" s="119"/>
      <c r="EYY391" s="104"/>
      <c r="EYZ391" s="455"/>
      <c r="EZA391" s="104"/>
      <c r="EZB391" s="104"/>
      <c r="EZC391" s="109"/>
      <c r="EZD391" s="104"/>
      <c r="EZE391" s="104"/>
      <c r="EZF391" s="119"/>
      <c r="EZG391" s="104"/>
      <c r="EZH391" s="455"/>
      <c r="EZI391" s="104"/>
      <c r="EZJ391" s="104"/>
      <c r="EZK391" s="109"/>
      <c r="EZL391" s="104"/>
      <c r="EZM391" s="104"/>
      <c r="EZN391" s="119"/>
      <c r="EZO391" s="104"/>
      <c r="EZP391" s="455"/>
      <c r="EZQ391" s="104"/>
      <c r="EZR391" s="104"/>
      <c r="EZS391" s="109"/>
      <c r="EZT391" s="104"/>
      <c r="EZU391" s="104"/>
      <c r="EZV391" s="119"/>
      <c r="EZW391" s="104"/>
      <c r="EZX391" s="455"/>
      <c r="EZY391" s="104"/>
      <c r="EZZ391" s="104"/>
      <c r="FAA391" s="109"/>
      <c r="FAB391" s="104"/>
      <c r="FAC391" s="104"/>
      <c r="FAD391" s="119"/>
      <c r="FAE391" s="104"/>
      <c r="FAF391" s="455"/>
      <c r="FAG391" s="104"/>
      <c r="FAH391" s="104"/>
      <c r="FAI391" s="109"/>
      <c r="FAJ391" s="104"/>
      <c r="FAK391" s="104"/>
      <c r="FAL391" s="119"/>
      <c r="FAM391" s="104"/>
      <c r="FAN391" s="455"/>
      <c r="FAO391" s="104"/>
      <c r="FAP391" s="104"/>
      <c r="FAQ391" s="109"/>
      <c r="FAR391" s="104"/>
      <c r="FAS391" s="104"/>
      <c r="FAT391" s="119"/>
      <c r="FAU391" s="104"/>
      <c r="FAV391" s="455"/>
      <c r="FAW391" s="104"/>
      <c r="FAX391" s="104"/>
      <c r="FAY391" s="109"/>
      <c r="FAZ391" s="104"/>
      <c r="FBA391" s="104"/>
      <c r="FBB391" s="119"/>
      <c r="FBC391" s="104"/>
      <c r="FBD391" s="455"/>
      <c r="FBE391" s="104"/>
      <c r="FBF391" s="104"/>
      <c r="FBG391" s="109"/>
      <c r="FBH391" s="104"/>
      <c r="FBI391" s="104"/>
      <c r="FBJ391" s="119"/>
      <c r="FBK391" s="104"/>
      <c r="FBL391" s="455"/>
      <c r="FBM391" s="104"/>
      <c r="FBN391" s="104"/>
      <c r="FBO391" s="109"/>
      <c r="FBP391" s="104"/>
      <c r="FBQ391" s="104"/>
      <c r="FBR391" s="119"/>
      <c r="FBS391" s="104"/>
      <c r="FBT391" s="455"/>
      <c r="FBU391" s="104"/>
      <c r="FBV391" s="104"/>
      <c r="FBW391" s="109"/>
      <c r="FBX391" s="104"/>
      <c r="FBY391" s="104"/>
      <c r="FBZ391" s="119"/>
      <c r="FCA391" s="104"/>
      <c r="FCB391" s="455"/>
      <c r="FCC391" s="104"/>
      <c r="FCD391" s="104"/>
      <c r="FCE391" s="109"/>
      <c r="FCF391" s="104"/>
      <c r="FCG391" s="104"/>
      <c r="FCH391" s="119"/>
      <c r="FCI391" s="104"/>
      <c r="FCJ391" s="455"/>
      <c r="FCK391" s="104"/>
      <c r="FCL391" s="104"/>
      <c r="FCM391" s="109"/>
      <c r="FCN391" s="104"/>
      <c r="FCO391" s="104"/>
      <c r="FCP391" s="119"/>
      <c r="FCQ391" s="104"/>
      <c r="FCR391" s="455"/>
      <c r="FCS391" s="104"/>
      <c r="FCT391" s="104"/>
      <c r="FCU391" s="109"/>
      <c r="FCV391" s="104"/>
      <c r="FCW391" s="104"/>
      <c r="FCX391" s="119"/>
      <c r="FCY391" s="104"/>
      <c r="FCZ391" s="455"/>
      <c r="FDA391" s="104"/>
      <c r="FDB391" s="104"/>
      <c r="FDC391" s="109"/>
      <c r="FDD391" s="104"/>
      <c r="FDE391" s="104"/>
      <c r="FDF391" s="119"/>
      <c r="FDG391" s="104"/>
      <c r="FDH391" s="455"/>
      <c r="FDI391" s="104"/>
      <c r="FDJ391" s="104"/>
      <c r="FDK391" s="109"/>
      <c r="FDL391" s="104"/>
      <c r="FDM391" s="104"/>
      <c r="FDN391" s="119"/>
      <c r="FDO391" s="104"/>
      <c r="FDP391" s="455"/>
      <c r="FDQ391" s="104"/>
      <c r="FDR391" s="104"/>
      <c r="FDS391" s="109"/>
      <c r="FDT391" s="104"/>
      <c r="FDU391" s="104"/>
      <c r="FDV391" s="119"/>
      <c r="FDW391" s="104"/>
      <c r="FDX391" s="455"/>
      <c r="FDY391" s="104"/>
      <c r="FDZ391" s="104"/>
      <c r="FEA391" s="109"/>
      <c r="FEB391" s="104"/>
      <c r="FEC391" s="104"/>
      <c r="FED391" s="119"/>
      <c r="FEE391" s="104"/>
      <c r="FEF391" s="455"/>
      <c r="FEG391" s="104"/>
      <c r="FEH391" s="104"/>
      <c r="FEI391" s="109"/>
      <c r="FEJ391" s="104"/>
      <c r="FEK391" s="104"/>
      <c r="FEL391" s="119"/>
      <c r="FEM391" s="104"/>
      <c r="FEN391" s="455"/>
      <c r="FEO391" s="104"/>
      <c r="FEP391" s="104"/>
      <c r="FEQ391" s="109"/>
      <c r="FER391" s="104"/>
      <c r="FES391" s="104"/>
      <c r="FET391" s="119"/>
      <c r="FEU391" s="104"/>
      <c r="FEV391" s="455"/>
      <c r="FEW391" s="104"/>
      <c r="FEX391" s="104"/>
      <c r="FEY391" s="109"/>
      <c r="FEZ391" s="104"/>
      <c r="FFA391" s="104"/>
      <c r="FFB391" s="119"/>
      <c r="FFC391" s="104"/>
      <c r="FFD391" s="455"/>
      <c r="FFE391" s="104"/>
      <c r="FFF391" s="104"/>
      <c r="FFG391" s="109"/>
      <c r="FFH391" s="104"/>
      <c r="FFI391" s="104"/>
      <c r="FFJ391" s="119"/>
      <c r="FFK391" s="104"/>
      <c r="FFL391" s="455"/>
      <c r="FFM391" s="104"/>
      <c r="FFN391" s="104"/>
      <c r="FFO391" s="109"/>
      <c r="FFP391" s="104"/>
      <c r="FFQ391" s="104"/>
      <c r="FFR391" s="119"/>
      <c r="FFS391" s="104"/>
      <c r="FFT391" s="455"/>
      <c r="FFU391" s="104"/>
      <c r="FFV391" s="104"/>
      <c r="FFW391" s="109"/>
      <c r="FFX391" s="104"/>
      <c r="FFY391" s="104"/>
      <c r="FFZ391" s="119"/>
      <c r="FGA391" s="104"/>
      <c r="FGB391" s="455"/>
      <c r="FGC391" s="104"/>
      <c r="FGD391" s="104"/>
      <c r="FGE391" s="109"/>
      <c r="FGF391" s="104"/>
      <c r="FGG391" s="104"/>
      <c r="FGH391" s="119"/>
      <c r="FGI391" s="104"/>
      <c r="FGJ391" s="455"/>
      <c r="FGK391" s="104"/>
      <c r="FGL391" s="104"/>
      <c r="FGM391" s="109"/>
      <c r="FGN391" s="104"/>
      <c r="FGO391" s="104"/>
      <c r="FGP391" s="119"/>
      <c r="FGQ391" s="104"/>
      <c r="FGR391" s="455"/>
      <c r="FGS391" s="104"/>
      <c r="FGT391" s="104"/>
      <c r="FGU391" s="109"/>
      <c r="FGV391" s="104"/>
      <c r="FGW391" s="104"/>
      <c r="FGX391" s="119"/>
      <c r="FGY391" s="104"/>
      <c r="FGZ391" s="455"/>
      <c r="FHA391" s="104"/>
      <c r="FHB391" s="104"/>
      <c r="FHC391" s="109"/>
      <c r="FHD391" s="104"/>
      <c r="FHE391" s="104"/>
      <c r="FHF391" s="119"/>
      <c r="FHG391" s="104"/>
      <c r="FHH391" s="455"/>
      <c r="FHI391" s="104"/>
      <c r="FHJ391" s="104"/>
      <c r="FHK391" s="109"/>
      <c r="FHL391" s="104"/>
      <c r="FHM391" s="104"/>
      <c r="FHN391" s="119"/>
      <c r="FHO391" s="104"/>
      <c r="FHP391" s="455"/>
      <c r="FHQ391" s="104"/>
      <c r="FHR391" s="104"/>
      <c r="FHS391" s="109"/>
      <c r="FHT391" s="104"/>
      <c r="FHU391" s="104"/>
      <c r="FHV391" s="119"/>
      <c r="FHW391" s="104"/>
      <c r="FHX391" s="455"/>
      <c r="FHY391" s="104"/>
      <c r="FHZ391" s="104"/>
      <c r="FIA391" s="109"/>
      <c r="FIB391" s="104"/>
      <c r="FIC391" s="104"/>
      <c r="FID391" s="119"/>
      <c r="FIE391" s="104"/>
      <c r="FIF391" s="455"/>
      <c r="FIG391" s="104"/>
      <c r="FIH391" s="104"/>
      <c r="FII391" s="109"/>
      <c r="FIJ391" s="104"/>
      <c r="FIK391" s="104"/>
      <c r="FIL391" s="119"/>
      <c r="FIM391" s="104"/>
      <c r="FIN391" s="455"/>
      <c r="FIO391" s="104"/>
      <c r="FIP391" s="104"/>
      <c r="FIQ391" s="109"/>
      <c r="FIR391" s="104"/>
      <c r="FIS391" s="104"/>
      <c r="FIT391" s="119"/>
      <c r="FIU391" s="104"/>
      <c r="FIV391" s="455"/>
      <c r="FIW391" s="104"/>
      <c r="FIX391" s="104"/>
      <c r="FIY391" s="109"/>
      <c r="FIZ391" s="104"/>
      <c r="FJA391" s="104"/>
      <c r="FJB391" s="119"/>
      <c r="FJC391" s="104"/>
      <c r="FJD391" s="455"/>
      <c r="FJE391" s="104"/>
      <c r="FJF391" s="104"/>
      <c r="FJG391" s="109"/>
      <c r="FJH391" s="104"/>
      <c r="FJI391" s="104"/>
      <c r="FJJ391" s="119"/>
      <c r="FJK391" s="104"/>
      <c r="FJL391" s="455"/>
      <c r="FJM391" s="104"/>
      <c r="FJN391" s="104"/>
      <c r="FJO391" s="109"/>
      <c r="FJP391" s="104"/>
      <c r="FJQ391" s="104"/>
      <c r="FJR391" s="119"/>
      <c r="FJS391" s="104"/>
      <c r="FJT391" s="455"/>
      <c r="FJU391" s="104"/>
      <c r="FJV391" s="104"/>
      <c r="FJW391" s="109"/>
      <c r="FJX391" s="104"/>
      <c r="FJY391" s="104"/>
      <c r="FJZ391" s="119"/>
      <c r="FKA391" s="104"/>
      <c r="FKB391" s="455"/>
      <c r="FKC391" s="104"/>
      <c r="FKD391" s="104"/>
      <c r="FKE391" s="109"/>
      <c r="FKF391" s="104"/>
      <c r="FKG391" s="104"/>
      <c r="FKH391" s="119"/>
      <c r="FKI391" s="104"/>
      <c r="FKJ391" s="455"/>
      <c r="FKK391" s="104"/>
      <c r="FKL391" s="104"/>
      <c r="FKM391" s="109"/>
      <c r="FKN391" s="104"/>
      <c r="FKO391" s="104"/>
      <c r="FKP391" s="119"/>
      <c r="FKQ391" s="104"/>
      <c r="FKR391" s="455"/>
      <c r="FKS391" s="104"/>
      <c r="FKT391" s="104"/>
      <c r="FKU391" s="109"/>
      <c r="FKV391" s="104"/>
      <c r="FKW391" s="104"/>
      <c r="FKX391" s="119"/>
      <c r="FKY391" s="104"/>
      <c r="FKZ391" s="455"/>
      <c r="FLA391" s="104"/>
      <c r="FLB391" s="104"/>
      <c r="FLC391" s="109"/>
      <c r="FLD391" s="104"/>
      <c r="FLE391" s="104"/>
      <c r="FLF391" s="119"/>
      <c r="FLG391" s="104"/>
      <c r="FLH391" s="455"/>
      <c r="FLI391" s="104"/>
      <c r="FLJ391" s="104"/>
      <c r="FLK391" s="109"/>
      <c r="FLL391" s="104"/>
      <c r="FLM391" s="104"/>
      <c r="FLN391" s="119"/>
      <c r="FLO391" s="104"/>
      <c r="FLP391" s="455"/>
      <c r="FLQ391" s="104"/>
      <c r="FLR391" s="104"/>
      <c r="FLS391" s="109"/>
      <c r="FLT391" s="104"/>
      <c r="FLU391" s="104"/>
      <c r="FLV391" s="119"/>
      <c r="FLW391" s="104"/>
      <c r="FLX391" s="455"/>
      <c r="FLY391" s="104"/>
      <c r="FLZ391" s="104"/>
      <c r="FMA391" s="109"/>
      <c r="FMB391" s="104"/>
      <c r="FMC391" s="104"/>
      <c r="FMD391" s="119"/>
      <c r="FME391" s="104"/>
      <c r="FMF391" s="455"/>
      <c r="FMG391" s="104"/>
      <c r="FMH391" s="104"/>
      <c r="FMI391" s="109"/>
      <c r="FMJ391" s="104"/>
      <c r="FMK391" s="104"/>
      <c r="FML391" s="119"/>
      <c r="FMM391" s="104"/>
      <c r="FMN391" s="455"/>
      <c r="FMO391" s="104"/>
      <c r="FMP391" s="104"/>
      <c r="FMQ391" s="109"/>
      <c r="FMR391" s="104"/>
      <c r="FMS391" s="104"/>
      <c r="FMT391" s="119"/>
      <c r="FMU391" s="104"/>
      <c r="FMV391" s="455"/>
      <c r="FMW391" s="104"/>
      <c r="FMX391" s="104"/>
      <c r="FMY391" s="109"/>
      <c r="FMZ391" s="104"/>
      <c r="FNA391" s="104"/>
      <c r="FNB391" s="119"/>
      <c r="FNC391" s="104"/>
      <c r="FND391" s="455"/>
      <c r="FNE391" s="104"/>
      <c r="FNF391" s="104"/>
      <c r="FNG391" s="109"/>
      <c r="FNH391" s="104"/>
      <c r="FNI391" s="104"/>
      <c r="FNJ391" s="119"/>
      <c r="FNK391" s="104"/>
      <c r="FNL391" s="455"/>
      <c r="FNM391" s="104"/>
      <c r="FNN391" s="104"/>
      <c r="FNO391" s="109"/>
      <c r="FNP391" s="104"/>
      <c r="FNQ391" s="104"/>
      <c r="FNR391" s="119"/>
      <c r="FNS391" s="104"/>
      <c r="FNT391" s="455"/>
      <c r="FNU391" s="104"/>
      <c r="FNV391" s="104"/>
      <c r="FNW391" s="109"/>
      <c r="FNX391" s="104"/>
      <c r="FNY391" s="104"/>
      <c r="FNZ391" s="119"/>
      <c r="FOA391" s="104"/>
      <c r="FOB391" s="455"/>
      <c r="FOC391" s="104"/>
      <c r="FOD391" s="104"/>
      <c r="FOE391" s="109"/>
      <c r="FOF391" s="104"/>
      <c r="FOG391" s="104"/>
      <c r="FOH391" s="119"/>
      <c r="FOI391" s="104"/>
      <c r="FOJ391" s="455"/>
      <c r="FOK391" s="104"/>
      <c r="FOL391" s="104"/>
      <c r="FOM391" s="109"/>
      <c r="FON391" s="104"/>
      <c r="FOO391" s="104"/>
      <c r="FOP391" s="119"/>
      <c r="FOQ391" s="104"/>
      <c r="FOR391" s="455"/>
      <c r="FOS391" s="104"/>
      <c r="FOT391" s="104"/>
      <c r="FOU391" s="109"/>
      <c r="FOV391" s="104"/>
      <c r="FOW391" s="104"/>
      <c r="FOX391" s="119"/>
      <c r="FOY391" s="104"/>
      <c r="FOZ391" s="455"/>
      <c r="FPA391" s="104"/>
      <c r="FPB391" s="104"/>
      <c r="FPC391" s="109"/>
      <c r="FPD391" s="104"/>
      <c r="FPE391" s="104"/>
      <c r="FPF391" s="119"/>
      <c r="FPG391" s="104"/>
      <c r="FPH391" s="455"/>
      <c r="FPI391" s="104"/>
      <c r="FPJ391" s="104"/>
      <c r="FPK391" s="109"/>
      <c r="FPL391" s="104"/>
      <c r="FPM391" s="104"/>
      <c r="FPN391" s="119"/>
      <c r="FPO391" s="104"/>
      <c r="FPP391" s="455"/>
      <c r="FPQ391" s="104"/>
      <c r="FPR391" s="104"/>
      <c r="FPS391" s="109"/>
      <c r="FPT391" s="104"/>
      <c r="FPU391" s="104"/>
      <c r="FPV391" s="119"/>
      <c r="FPW391" s="104"/>
      <c r="FPX391" s="455"/>
      <c r="FPY391" s="104"/>
      <c r="FPZ391" s="104"/>
      <c r="FQA391" s="109"/>
      <c r="FQB391" s="104"/>
      <c r="FQC391" s="104"/>
      <c r="FQD391" s="119"/>
      <c r="FQE391" s="104"/>
      <c r="FQF391" s="455"/>
      <c r="FQG391" s="104"/>
      <c r="FQH391" s="104"/>
      <c r="FQI391" s="109"/>
      <c r="FQJ391" s="104"/>
      <c r="FQK391" s="104"/>
      <c r="FQL391" s="119"/>
      <c r="FQM391" s="104"/>
      <c r="FQN391" s="455"/>
      <c r="FQO391" s="104"/>
      <c r="FQP391" s="104"/>
      <c r="FQQ391" s="109"/>
      <c r="FQR391" s="104"/>
      <c r="FQS391" s="104"/>
      <c r="FQT391" s="119"/>
      <c r="FQU391" s="104"/>
      <c r="FQV391" s="455"/>
      <c r="FQW391" s="104"/>
      <c r="FQX391" s="104"/>
      <c r="FQY391" s="109"/>
      <c r="FQZ391" s="104"/>
      <c r="FRA391" s="104"/>
      <c r="FRB391" s="119"/>
      <c r="FRC391" s="104"/>
      <c r="FRD391" s="455"/>
      <c r="FRE391" s="104"/>
      <c r="FRF391" s="104"/>
      <c r="FRG391" s="109"/>
      <c r="FRH391" s="104"/>
      <c r="FRI391" s="104"/>
      <c r="FRJ391" s="119"/>
      <c r="FRK391" s="104"/>
      <c r="FRL391" s="455"/>
      <c r="FRM391" s="104"/>
      <c r="FRN391" s="104"/>
      <c r="FRO391" s="109"/>
      <c r="FRP391" s="104"/>
      <c r="FRQ391" s="104"/>
      <c r="FRR391" s="119"/>
      <c r="FRS391" s="104"/>
      <c r="FRT391" s="455"/>
      <c r="FRU391" s="104"/>
      <c r="FRV391" s="104"/>
      <c r="FRW391" s="109"/>
      <c r="FRX391" s="104"/>
      <c r="FRY391" s="104"/>
      <c r="FRZ391" s="119"/>
      <c r="FSA391" s="104"/>
      <c r="FSB391" s="455"/>
      <c r="FSC391" s="104"/>
      <c r="FSD391" s="104"/>
      <c r="FSE391" s="109"/>
      <c r="FSF391" s="104"/>
      <c r="FSG391" s="104"/>
      <c r="FSH391" s="119"/>
      <c r="FSI391" s="104"/>
      <c r="FSJ391" s="455"/>
      <c r="FSK391" s="104"/>
      <c r="FSL391" s="104"/>
      <c r="FSM391" s="109"/>
      <c r="FSN391" s="104"/>
      <c r="FSO391" s="104"/>
      <c r="FSP391" s="119"/>
      <c r="FSQ391" s="104"/>
      <c r="FSR391" s="455"/>
      <c r="FSS391" s="104"/>
      <c r="FST391" s="104"/>
      <c r="FSU391" s="109"/>
      <c r="FSV391" s="104"/>
      <c r="FSW391" s="104"/>
      <c r="FSX391" s="119"/>
      <c r="FSY391" s="104"/>
      <c r="FSZ391" s="455"/>
      <c r="FTA391" s="104"/>
      <c r="FTB391" s="104"/>
      <c r="FTC391" s="109"/>
      <c r="FTD391" s="104"/>
      <c r="FTE391" s="104"/>
      <c r="FTF391" s="119"/>
      <c r="FTG391" s="104"/>
      <c r="FTH391" s="455"/>
      <c r="FTI391" s="104"/>
      <c r="FTJ391" s="104"/>
      <c r="FTK391" s="109"/>
      <c r="FTL391" s="104"/>
      <c r="FTM391" s="104"/>
      <c r="FTN391" s="119"/>
      <c r="FTO391" s="104"/>
      <c r="FTP391" s="455"/>
      <c r="FTQ391" s="104"/>
      <c r="FTR391" s="104"/>
      <c r="FTS391" s="109"/>
      <c r="FTT391" s="104"/>
      <c r="FTU391" s="104"/>
      <c r="FTV391" s="119"/>
      <c r="FTW391" s="104"/>
      <c r="FTX391" s="455"/>
      <c r="FTY391" s="104"/>
      <c r="FTZ391" s="104"/>
      <c r="FUA391" s="109"/>
      <c r="FUB391" s="104"/>
      <c r="FUC391" s="104"/>
      <c r="FUD391" s="119"/>
      <c r="FUE391" s="104"/>
      <c r="FUF391" s="455"/>
      <c r="FUG391" s="104"/>
      <c r="FUH391" s="104"/>
      <c r="FUI391" s="109"/>
      <c r="FUJ391" s="104"/>
      <c r="FUK391" s="104"/>
      <c r="FUL391" s="119"/>
      <c r="FUM391" s="104"/>
      <c r="FUN391" s="455"/>
      <c r="FUO391" s="104"/>
      <c r="FUP391" s="104"/>
      <c r="FUQ391" s="109"/>
      <c r="FUR391" s="104"/>
      <c r="FUS391" s="104"/>
      <c r="FUT391" s="119"/>
      <c r="FUU391" s="104"/>
      <c r="FUV391" s="455"/>
      <c r="FUW391" s="104"/>
      <c r="FUX391" s="104"/>
      <c r="FUY391" s="109"/>
      <c r="FUZ391" s="104"/>
      <c r="FVA391" s="104"/>
      <c r="FVB391" s="119"/>
      <c r="FVC391" s="104"/>
      <c r="FVD391" s="455"/>
      <c r="FVE391" s="104"/>
      <c r="FVF391" s="104"/>
      <c r="FVG391" s="109"/>
      <c r="FVH391" s="104"/>
      <c r="FVI391" s="104"/>
      <c r="FVJ391" s="119"/>
      <c r="FVK391" s="104"/>
      <c r="FVL391" s="455"/>
      <c r="FVM391" s="104"/>
      <c r="FVN391" s="104"/>
      <c r="FVO391" s="109"/>
      <c r="FVP391" s="104"/>
      <c r="FVQ391" s="104"/>
      <c r="FVR391" s="119"/>
      <c r="FVS391" s="104"/>
      <c r="FVT391" s="455"/>
      <c r="FVU391" s="104"/>
      <c r="FVV391" s="104"/>
      <c r="FVW391" s="109"/>
      <c r="FVX391" s="104"/>
      <c r="FVY391" s="104"/>
      <c r="FVZ391" s="119"/>
      <c r="FWA391" s="104"/>
      <c r="FWB391" s="455"/>
      <c r="FWC391" s="104"/>
      <c r="FWD391" s="104"/>
      <c r="FWE391" s="109"/>
      <c r="FWF391" s="104"/>
      <c r="FWG391" s="104"/>
      <c r="FWH391" s="119"/>
      <c r="FWI391" s="104"/>
      <c r="FWJ391" s="455"/>
      <c r="FWK391" s="104"/>
      <c r="FWL391" s="104"/>
      <c r="FWM391" s="109"/>
      <c r="FWN391" s="104"/>
      <c r="FWO391" s="104"/>
      <c r="FWP391" s="119"/>
      <c r="FWQ391" s="104"/>
      <c r="FWR391" s="455"/>
      <c r="FWS391" s="104"/>
      <c r="FWT391" s="104"/>
      <c r="FWU391" s="109"/>
      <c r="FWV391" s="104"/>
      <c r="FWW391" s="104"/>
      <c r="FWX391" s="119"/>
      <c r="FWY391" s="104"/>
      <c r="FWZ391" s="455"/>
      <c r="FXA391" s="104"/>
      <c r="FXB391" s="104"/>
      <c r="FXC391" s="109"/>
      <c r="FXD391" s="104"/>
      <c r="FXE391" s="104"/>
      <c r="FXF391" s="119"/>
      <c r="FXG391" s="104"/>
      <c r="FXH391" s="455"/>
      <c r="FXI391" s="104"/>
      <c r="FXJ391" s="104"/>
      <c r="FXK391" s="109"/>
      <c r="FXL391" s="104"/>
      <c r="FXM391" s="104"/>
      <c r="FXN391" s="119"/>
      <c r="FXO391" s="104"/>
      <c r="FXP391" s="455"/>
      <c r="FXQ391" s="104"/>
      <c r="FXR391" s="104"/>
      <c r="FXS391" s="109"/>
      <c r="FXT391" s="104"/>
      <c r="FXU391" s="104"/>
      <c r="FXV391" s="119"/>
      <c r="FXW391" s="104"/>
      <c r="FXX391" s="455"/>
      <c r="FXY391" s="104"/>
      <c r="FXZ391" s="104"/>
      <c r="FYA391" s="109"/>
      <c r="FYB391" s="104"/>
      <c r="FYC391" s="104"/>
      <c r="FYD391" s="119"/>
      <c r="FYE391" s="104"/>
      <c r="FYF391" s="455"/>
      <c r="FYG391" s="104"/>
      <c r="FYH391" s="104"/>
      <c r="FYI391" s="109"/>
      <c r="FYJ391" s="104"/>
      <c r="FYK391" s="104"/>
      <c r="FYL391" s="119"/>
      <c r="FYM391" s="104"/>
      <c r="FYN391" s="455"/>
      <c r="FYO391" s="104"/>
      <c r="FYP391" s="104"/>
      <c r="FYQ391" s="109"/>
      <c r="FYR391" s="104"/>
      <c r="FYS391" s="104"/>
      <c r="FYT391" s="119"/>
      <c r="FYU391" s="104"/>
      <c r="FYV391" s="455"/>
      <c r="FYW391" s="104"/>
      <c r="FYX391" s="104"/>
      <c r="FYY391" s="109"/>
      <c r="FYZ391" s="104"/>
      <c r="FZA391" s="104"/>
      <c r="FZB391" s="119"/>
      <c r="FZC391" s="104"/>
      <c r="FZD391" s="455"/>
      <c r="FZE391" s="104"/>
      <c r="FZF391" s="104"/>
      <c r="FZG391" s="109"/>
      <c r="FZH391" s="104"/>
      <c r="FZI391" s="104"/>
      <c r="FZJ391" s="119"/>
      <c r="FZK391" s="104"/>
      <c r="FZL391" s="455"/>
      <c r="FZM391" s="104"/>
      <c r="FZN391" s="104"/>
      <c r="FZO391" s="109"/>
      <c r="FZP391" s="104"/>
      <c r="FZQ391" s="104"/>
      <c r="FZR391" s="119"/>
      <c r="FZS391" s="104"/>
      <c r="FZT391" s="455"/>
      <c r="FZU391" s="104"/>
      <c r="FZV391" s="104"/>
      <c r="FZW391" s="109"/>
      <c r="FZX391" s="104"/>
      <c r="FZY391" s="104"/>
      <c r="FZZ391" s="119"/>
      <c r="GAA391" s="104"/>
      <c r="GAB391" s="455"/>
      <c r="GAC391" s="104"/>
      <c r="GAD391" s="104"/>
      <c r="GAE391" s="109"/>
      <c r="GAF391" s="104"/>
      <c r="GAG391" s="104"/>
      <c r="GAH391" s="119"/>
      <c r="GAI391" s="104"/>
      <c r="GAJ391" s="455"/>
      <c r="GAK391" s="104"/>
      <c r="GAL391" s="104"/>
      <c r="GAM391" s="109"/>
      <c r="GAN391" s="104"/>
      <c r="GAO391" s="104"/>
      <c r="GAP391" s="119"/>
      <c r="GAQ391" s="104"/>
      <c r="GAR391" s="455"/>
      <c r="GAS391" s="104"/>
      <c r="GAT391" s="104"/>
      <c r="GAU391" s="109"/>
      <c r="GAV391" s="104"/>
      <c r="GAW391" s="104"/>
      <c r="GAX391" s="119"/>
      <c r="GAY391" s="104"/>
      <c r="GAZ391" s="455"/>
      <c r="GBA391" s="104"/>
      <c r="GBB391" s="104"/>
      <c r="GBC391" s="109"/>
      <c r="GBD391" s="104"/>
      <c r="GBE391" s="104"/>
      <c r="GBF391" s="119"/>
      <c r="GBG391" s="104"/>
      <c r="GBH391" s="455"/>
      <c r="GBI391" s="104"/>
      <c r="GBJ391" s="104"/>
      <c r="GBK391" s="109"/>
      <c r="GBL391" s="104"/>
      <c r="GBM391" s="104"/>
      <c r="GBN391" s="119"/>
      <c r="GBO391" s="104"/>
      <c r="GBP391" s="455"/>
      <c r="GBQ391" s="104"/>
      <c r="GBR391" s="104"/>
      <c r="GBS391" s="109"/>
      <c r="GBT391" s="104"/>
      <c r="GBU391" s="104"/>
      <c r="GBV391" s="119"/>
      <c r="GBW391" s="104"/>
      <c r="GBX391" s="455"/>
      <c r="GBY391" s="104"/>
      <c r="GBZ391" s="104"/>
      <c r="GCA391" s="109"/>
      <c r="GCB391" s="104"/>
      <c r="GCC391" s="104"/>
      <c r="GCD391" s="119"/>
      <c r="GCE391" s="104"/>
      <c r="GCF391" s="455"/>
      <c r="GCG391" s="104"/>
      <c r="GCH391" s="104"/>
      <c r="GCI391" s="109"/>
      <c r="GCJ391" s="104"/>
      <c r="GCK391" s="104"/>
      <c r="GCL391" s="119"/>
      <c r="GCM391" s="104"/>
      <c r="GCN391" s="455"/>
      <c r="GCO391" s="104"/>
      <c r="GCP391" s="104"/>
      <c r="GCQ391" s="109"/>
      <c r="GCR391" s="104"/>
      <c r="GCS391" s="104"/>
      <c r="GCT391" s="119"/>
      <c r="GCU391" s="104"/>
      <c r="GCV391" s="455"/>
      <c r="GCW391" s="104"/>
      <c r="GCX391" s="104"/>
      <c r="GCY391" s="109"/>
      <c r="GCZ391" s="104"/>
      <c r="GDA391" s="104"/>
      <c r="GDB391" s="119"/>
      <c r="GDC391" s="104"/>
      <c r="GDD391" s="455"/>
      <c r="GDE391" s="104"/>
      <c r="GDF391" s="104"/>
      <c r="GDG391" s="109"/>
      <c r="GDH391" s="104"/>
      <c r="GDI391" s="104"/>
      <c r="GDJ391" s="119"/>
      <c r="GDK391" s="104"/>
      <c r="GDL391" s="455"/>
      <c r="GDM391" s="104"/>
      <c r="GDN391" s="104"/>
      <c r="GDO391" s="109"/>
      <c r="GDP391" s="104"/>
      <c r="GDQ391" s="104"/>
      <c r="GDR391" s="119"/>
      <c r="GDS391" s="104"/>
      <c r="GDT391" s="455"/>
      <c r="GDU391" s="104"/>
      <c r="GDV391" s="104"/>
      <c r="GDW391" s="109"/>
      <c r="GDX391" s="104"/>
      <c r="GDY391" s="104"/>
      <c r="GDZ391" s="119"/>
      <c r="GEA391" s="104"/>
      <c r="GEB391" s="455"/>
      <c r="GEC391" s="104"/>
      <c r="GED391" s="104"/>
      <c r="GEE391" s="109"/>
      <c r="GEF391" s="104"/>
      <c r="GEG391" s="104"/>
      <c r="GEH391" s="119"/>
      <c r="GEI391" s="104"/>
      <c r="GEJ391" s="455"/>
      <c r="GEK391" s="104"/>
      <c r="GEL391" s="104"/>
      <c r="GEM391" s="109"/>
      <c r="GEN391" s="104"/>
      <c r="GEO391" s="104"/>
      <c r="GEP391" s="119"/>
      <c r="GEQ391" s="104"/>
      <c r="GER391" s="455"/>
      <c r="GES391" s="104"/>
      <c r="GET391" s="104"/>
      <c r="GEU391" s="109"/>
      <c r="GEV391" s="104"/>
      <c r="GEW391" s="104"/>
      <c r="GEX391" s="119"/>
      <c r="GEY391" s="104"/>
      <c r="GEZ391" s="455"/>
      <c r="GFA391" s="104"/>
      <c r="GFB391" s="104"/>
      <c r="GFC391" s="109"/>
      <c r="GFD391" s="104"/>
      <c r="GFE391" s="104"/>
      <c r="GFF391" s="119"/>
      <c r="GFG391" s="104"/>
      <c r="GFH391" s="455"/>
      <c r="GFI391" s="104"/>
      <c r="GFJ391" s="104"/>
      <c r="GFK391" s="109"/>
      <c r="GFL391" s="104"/>
      <c r="GFM391" s="104"/>
      <c r="GFN391" s="119"/>
      <c r="GFO391" s="104"/>
      <c r="GFP391" s="455"/>
      <c r="GFQ391" s="104"/>
      <c r="GFR391" s="104"/>
      <c r="GFS391" s="109"/>
      <c r="GFT391" s="104"/>
      <c r="GFU391" s="104"/>
      <c r="GFV391" s="119"/>
      <c r="GFW391" s="104"/>
      <c r="GFX391" s="455"/>
      <c r="GFY391" s="104"/>
      <c r="GFZ391" s="104"/>
      <c r="GGA391" s="109"/>
      <c r="GGB391" s="104"/>
      <c r="GGC391" s="104"/>
      <c r="GGD391" s="119"/>
      <c r="GGE391" s="104"/>
      <c r="GGF391" s="455"/>
      <c r="GGG391" s="104"/>
      <c r="GGH391" s="104"/>
      <c r="GGI391" s="109"/>
      <c r="GGJ391" s="104"/>
      <c r="GGK391" s="104"/>
      <c r="GGL391" s="119"/>
      <c r="GGM391" s="104"/>
      <c r="GGN391" s="455"/>
      <c r="GGO391" s="104"/>
      <c r="GGP391" s="104"/>
      <c r="GGQ391" s="109"/>
      <c r="GGR391" s="104"/>
      <c r="GGS391" s="104"/>
      <c r="GGT391" s="119"/>
      <c r="GGU391" s="104"/>
      <c r="GGV391" s="455"/>
      <c r="GGW391" s="104"/>
      <c r="GGX391" s="104"/>
      <c r="GGY391" s="109"/>
      <c r="GGZ391" s="104"/>
      <c r="GHA391" s="104"/>
      <c r="GHB391" s="119"/>
      <c r="GHC391" s="104"/>
      <c r="GHD391" s="455"/>
      <c r="GHE391" s="104"/>
      <c r="GHF391" s="104"/>
      <c r="GHG391" s="109"/>
      <c r="GHH391" s="104"/>
      <c r="GHI391" s="104"/>
      <c r="GHJ391" s="119"/>
      <c r="GHK391" s="104"/>
      <c r="GHL391" s="455"/>
      <c r="GHM391" s="104"/>
      <c r="GHN391" s="104"/>
      <c r="GHO391" s="109"/>
      <c r="GHP391" s="104"/>
      <c r="GHQ391" s="104"/>
      <c r="GHR391" s="119"/>
      <c r="GHS391" s="104"/>
      <c r="GHT391" s="455"/>
      <c r="GHU391" s="104"/>
      <c r="GHV391" s="104"/>
      <c r="GHW391" s="109"/>
      <c r="GHX391" s="104"/>
      <c r="GHY391" s="104"/>
      <c r="GHZ391" s="119"/>
      <c r="GIA391" s="104"/>
      <c r="GIB391" s="455"/>
      <c r="GIC391" s="104"/>
      <c r="GID391" s="104"/>
      <c r="GIE391" s="109"/>
      <c r="GIF391" s="104"/>
      <c r="GIG391" s="104"/>
      <c r="GIH391" s="119"/>
      <c r="GII391" s="104"/>
      <c r="GIJ391" s="455"/>
      <c r="GIK391" s="104"/>
      <c r="GIL391" s="104"/>
      <c r="GIM391" s="109"/>
      <c r="GIN391" s="104"/>
      <c r="GIO391" s="104"/>
      <c r="GIP391" s="119"/>
      <c r="GIQ391" s="104"/>
      <c r="GIR391" s="455"/>
      <c r="GIS391" s="104"/>
      <c r="GIT391" s="104"/>
      <c r="GIU391" s="109"/>
      <c r="GIV391" s="104"/>
      <c r="GIW391" s="104"/>
      <c r="GIX391" s="119"/>
      <c r="GIY391" s="104"/>
      <c r="GIZ391" s="455"/>
      <c r="GJA391" s="104"/>
      <c r="GJB391" s="104"/>
      <c r="GJC391" s="109"/>
      <c r="GJD391" s="104"/>
      <c r="GJE391" s="104"/>
      <c r="GJF391" s="119"/>
      <c r="GJG391" s="104"/>
      <c r="GJH391" s="455"/>
      <c r="GJI391" s="104"/>
      <c r="GJJ391" s="104"/>
      <c r="GJK391" s="109"/>
      <c r="GJL391" s="104"/>
      <c r="GJM391" s="104"/>
      <c r="GJN391" s="119"/>
      <c r="GJO391" s="104"/>
      <c r="GJP391" s="455"/>
      <c r="GJQ391" s="104"/>
      <c r="GJR391" s="104"/>
      <c r="GJS391" s="109"/>
      <c r="GJT391" s="104"/>
      <c r="GJU391" s="104"/>
      <c r="GJV391" s="119"/>
      <c r="GJW391" s="104"/>
      <c r="GJX391" s="455"/>
      <c r="GJY391" s="104"/>
      <c r="GJZ391" s="104"/>
      <c r="GKA391" s="109"/>
      <c r="GKB391" s="104"/>
      <c r="GKC391" s="104"/>
      <c r="GKD391" s="119"/>
      <c r="GKE391" s="104"/>
      <c r="GKF391" s="455"/>
      <c r="GKG391" s="104"/>
      <c r="GKH391" s="104"/>
      <c r="GKI391" s="109"/>
      <c r="GKJ391" s="104"/>
      <c r="GKK391" s="104"/>
      <c r="GKL391" s="119"/>
      <c r="GKM391" s="104"/>
      <c r="GKN391" s="455"/>
      <c r="GKO391" s="104"/>
      <c r="GKP391" s="104"/>
      <c r="GKQ391" s="109"/>
      <c r="GKR391" s="104"/>
      <c r="GKS391" s="104"/>
      <c r="GKT391" s="119"/>
      <c r="GKU391" s="104"/>
      <c r="GKV391" s="455"/>
      <c r="GKW391" s="104"/>
      <c r="GKX391" s="104"/>
      <c r="GKY391" s="109"/>
      <c r="GKZ391" s="104"/>
      <c r="GLA391" s="104"/>
      <c r="GLB391" s="119"/>
      <c r="GLC391" s="104"/>
      <c r="GLD391" s="455"/>
      <c r="GLE391" s="104"/>
      <c r="GLF391" s="104"/>
      <c r="GLG391" s="109"/>
      <c r="GLH391" s="104"/>
      <c r="GLI391" s="104"/>
      <c r="GLJ391" s="119"/>
      <c r="GLK391" s="104"/>
      <c r="GLL391" s="455"/>
      <c r="GLM391" s="104"/>
      <c r="GLN391" s="104"/>
      <c r="GLO391" s="109"/>
      <c r="GLP391" s="104"/>
      <c r="GLQ391" s="104"/>
      <c r="GLR391" s="119"/>
      <c r="GLS391" s="104"/>
      <c r="GLT391" s="455"/>
      <c r="GLU391" s="104"/>
      <c r="GLV391" s="104"/>
      <c r="GLW391" s="109"/>
      <c r="GLX391" s="104"/>
      <c r="GLY391" s="104"/>
      <c r="GLZ391" s="119"/>
      <c r="GMA391" s="104"/>
      <c r="GMB391" s="455"/>
      <c r="GMC391" s="104"/>
      <c r="GMD391" s="104"/>
      <c r="GME391" s="109"/>
      <c r="GMF391" s="104"/>
      <c r="GMG391" s="104"/>
      <c r="GMH391" s="119"/>
      <c r="GMI391" s="104"/>
      <c r="GMJ391" s="455"/>
      <c r="GMK391" s="104"/>
      <c r="GML391" s="104"/>
      <c r="GMM391" s="109"/>
      <c r="GMN391" s="104"/>
      <c r="GMO391" s="104"/>
      <c r="GMP391" s="119"/>
      <c r="GMQ391" s="104"/>
      <c r="GMR391" s="455"/>
      <c r="GMS391" s="104"/>
      <c r="GMT391" s="104"/>
      <c r="GMU391" s="109"/>
      <c r="GMV391" s="104"/>
      <c r="GMW391" s="104"/>
      <c r="GMX391" s="119"/>
      <c r="GMY391" s="104"/>
      <c r="GMZ391" s="455"/>
      <c r="GNA391" s="104"/>
      <c r="GNB391" s="104"/>
      <c r="GNC391" s="109"/>
      <c r="GND391" s="104"/>
      <c r="GNE391" s="104"/>
      <c r="GNF391" s="119"/>
      <c r="GNG391" s="104"/>
      <c r="GNH391" s="455"/>
      <c r="GNI391" s="104"/>
      <c r="GNJ391" s="104"/>
      <c r="GNK391" s="109"/>
      <c r="GNL391" s="104"/>
      <c r="GNM391" s="104"/>
      <c r="GNN391" s="119"/>
      <c r="GNO391" s="104"/>
      <c r="GNP391" s="455"/>
      <c r="GNQ391" s="104"/>
      <c r="GNR391" s="104"/>
      <c r="GNS391" s="109"/>
      <c r="GNT391" s="104"/>
      <c r="GNU391" s="104"/>
      <c r="GNV391" s="119"/>
      <c r="GNW391" s="104"/>
      <c r="GNX391" s="455"/>
      <c r="GNY391" s="104"/>
      <c r="GNZ391" s="104"/>
      <c r="GOA391" s="109"/>
      <c r="GOB391" s="104"/>
      <c r="GOC391" s="104"/>
      <c r="GOD391" s="119"/>
      <c r="GOE391" s="104"/>
      <c r="GOF391" s="455"/>
      <c r="GOG391" s="104"/>
      <c r="GOH391" s="104"/>
      <c r="GOI391" s="109"/>
      <c r="GOJ391" s="104"/>
      <c r="GOK391" s="104"/>
      <c r="GOL391" s="119"/>
      <c r="GOM391" s="104"/>
      <c r="GON391" s="455"/>
      <c r="GOO391" s="104"/>
      <c r="GOP391" s="104"/>
      <c r="GOQ391" s="109"/>
      <c r="GOR391" s="104"/>
      <c r="GOS391" s="104"/>
      <c r="GOT391" s="119"/>
      <c r="GOU391" s="104"/>
      <c r="GOV391" s="455"/>
      <c r="GOW391" s="104"/>
      <c r="GOX391" s="104"/>
      <c r="GOY391" s="109"/>
      <c r="GOZ391" s="104"/>
      <c r="GPA391" s="104"/>
      <c r="GPB391" s="119"/>
      <c r="GPC391" s="104"/>
      <c r="GPD391" s="455"/>
      <c r="GPE391" s="104"/>
      <c r="GPF391" s="104"/>
      <c r="GPG391" s="109"/>
      <c r="GPH391" s="104"/>
      <c r="GPI391" s="104"/>
      <c r="GPJ391" s="119"/>
      <c r="GPK391" s="104"/>
      <c r="GPL391" s="455"/>
      <c r="GPM391" s="104"/>
      <c r="GPN391" s="104"/>
      <c r="GPO391" s="109"/>
      <c r="GPP391" s="104"/>
      <c r="GPQ391" s="104"/>
      <c r="GPR391" s="119"/>
      <c r="GPS391" s="104"/>
      <c r="GPT391" s="455"/>
      <c r="GPU391" s="104"/>
      <c r="GPV391" s="104"/>
      <c r="GPW391" s="109"/>
      <c r="GPX391" s="104"/>
      <c r="GPY391" s="104"/>
      <c r="GPZ391" s="119"/>
      <c r="GQA391" s="104"/>
      <c r="GQB391" s="455"/>
      <c r="GQC391" s="104"/>
      <c r="GQD391" s="104"/>
      <c r="GQE391" s="109"/>
      <c r="GQF391" s="104"/>
      <c r="GQG391" s="104"/>
      <c r="GQH391" s="119"/>
      <c r="GQI391" s="104"/>
      <c r="GQJ391" s="455"/>
      <c r="GQK391" s="104"/>
      <c r="GQL391" s="104"/>
      <c r="GQM391" s="109"/>
      <c r="GQN391" s="104"/>
      <c r="GQO391" s="104"/>
      <c r="GQP391" s="119"/>
      <c r="GQQ391" s="104"/>
      <c r="GQR391" s="455"/>
      <c r="GQS391" s="104"/>
      <c r="GQT391" s="104"/>
      <c r="GQU391" s="109"/>
      <c r="GQV391" s="104"/>
      <c r="GQW391" s="104"/>
      <c r="GQX391" s="119"/>
      <c r="GQY391" s="104"/>
      <c r="GQZ391" s="455"/>
      <c r="GRA391" s="104"/>
      <c r="GRB391" s="104"/>
      <c r="GRC391" s="109"/>
      <c r="GRD391" s="104"/>
      <c r="GRE391" s="104"/>
      <c r="GRF391" s="119"/>
      <c r="GRG391" s="104"/>
      <c r="GRH391" s="455"/>
      <c r="GRI391" s="104"/>
      <c r="GRJ391" s="104"/>
      <c r="GRK391" s="109"/>
      <c r="GRL391" s="104"/>
      <c r="GRM391" s="104"/>
      <c r="GRN391" s="119"/>
      <c r="GRO391" s="104"/>
      <c r="GRP391" s="455"/>
      <c r="GRQ391" s="104"/>
      <c r="GRR391" s="104"/>
      <c r="GRS391" s="109"/>
      <c r="GRT391" s="104"/>
      <c r="GRU391" s="104"/>
      <c r="GRV391" s="119"/>
      <c r="GRW391" s="104"/>
      <c r="GRX391" s="455"/>
      <c r="GRY391" s="104"/>
      <c r="GRZ391" s="104"/>
      <c r="GSA391" s="109"/>
      <c r="GSB391" s="104"/>
      <c r="GSC391" s="104"/>
      <c r="GSD391" s="119"/>
      <c r="GSE391" s="104"/>
      <c r="GSF391" s="455"/>
      <c r="GSG391" s="104"/>
      <c r="GSH391" s="104"/>
      <c r="GSI391" s="109"/>
      <c r="GSJ391" s="104"/>
      <c r="GSK391" s="104"/>
      <c r="GSL391" s="119"/>
      <c r="GSM391" s="104"/>
      <c r="GSN391" s="455"/>
      <c r="GSO391" s="104"/>
      <c r="GSP391" s="104"/>
      <c r="GSQ391" s="109"/>
      <c r="GSR391" s="104"/>
      <c r="GSS391" s="104"/>
      <c r="GST391" s="119"/>
      <c r="GSU391" s="104"/>
      <c r="GSV391" s="455"/>
      <c r="GSW391" s="104"/>
      <c r="GSX391" s="104"/>
      <c r="GSY391" s="109"/>
      <c r="GSZ391" s="104"/>
      <c r="GTA391" s="104"/>
      <c r="GTB391" s="119"/>
      <c r="GTC391" s="104"/>
      <c r="GTD391" s="455"/>
      <c r="GTE391" s="104"/>
      <c r="GTF391" s="104"/>
      <c r="GTG391" s="109"/>
      <c r="GTH391" s="104"/>
      <c r="GTI391" s="104"/>
      <c r="GTJ391" s="119"/>
      <c r="GTK391" s="104"/>
      <c r="GTL391" s="455"/>
      <c r="GTM391" s="104"/>
      <c r="GTN391" s="104"/>
      <c r="GTO391" s="109"/>
      <c r="GTP391" s="104"/>
      <c r="GTQ391" s="104"/>
      <c r="GTR391" s="119"/>
      <c r="GTS391" s="104"/>
      <c r="GTT391" s="455"/>
      <c r="GTU391" s="104"/>
      <c r="GTV391" s="104"/>
      <c r="GTW391" s="109"/>
      <c r="GTX391" s="104"/>
      <c r="GTY391" s="104"/>
      <c r="GTZ391" s="119"/>
      <c r="GUA391" s="104"/>
      <c r="GUB391" s="455"/>
      <c r="GUC391" s="104"/>
      <c r="GUD391" s="104"/>
      <c r="GUE391" s="109"/>
      <c r="GUF391" s="104"/>
      <c r="GUG391" s="104"/>
      <c r="GUH391" s="119"/>
      <c r="GUI391" s="104"/>
      <c r="GUJ391" s="455"/>
      <c r="GUK391" s="104"/>
      <c r="GUL391" s="104"/>
      <c r="GUM391" s="109"/>
      <c r="GUN391" s="104"/>
      <c r="GUO391" s="104"/>
      <c r="GUP391" s="119"/>
      <c r="GUQ391" s="104"/>
      <c r="GUR391" s="455"/>
      <c r="GUS391" s="104"/>
      <c r="GUT391" s="104"/>
      <c r="GUU391" s="109"/>
      <c r="GUV391" s="104"/>
      <c r="GUW391" s="104"/>
      <c r="GUX391" s="119"/>
      <c r="GUY391" s="104"/>
      <c r="GUZ391" s="455"/>
      <c r="GVA391" s="104"/>
      <c r="GVB391" s="104"/>
      <c r="GVC391" s="109"/>
      <c r="GVD391" s="104"/>
      <c r="GVE391" s="104"/>
      <c r="GVF391" s="119"/>
      <c r="GVG391" s="104"/>
      <c r="GVH391" s="455"/>
      <c r="GVI391" s="104"/>
      <c r="GVJ391" s="104"/>
      <c r="GVK391" s="109"/>
      <c r="GVL391" s="104"/>
      <c r="GVM391" s="104"/>
      <c r="GVN391" s="119"/>
      <c r="GVO391" s="104"/>
      <c r="GVP391" s="455"/>
      <c r="GVQ391" s="104"/>
      <c r="GVR391" s="104"/>
      <c r="GVS391" s="109"/>
      <c r="GVT391" s="104"/>
      <c r="GVU391" s="104"/>
      <c r="GVV391" s="119"/>
      <c r="GVW391" s="104"/>
      <c r="GVX391" s="455"/>
      <c r="GVY391" s="104"/>
      <c r="GVZ391" s="104"/>
      <c r="GWA391" s="109"/>
      <c r="GWB391" s="104"/>
      <c r="GWC391" s="104"/>
      <c r="GWD391" s="119"/>
      <c r="GWE391" s="104"/>
      <c r="GWF391" s="455"/>
      <c r="GWG391" s="104"/>
      <c r="GWH391" s="104"/>
      <c r="GWI391" s="109"/>
      <c r="GWJ391" s="104"/>
      <c r="GWK391" s="104"/>
      <c r="GWL391" s="119"/>
      <c r="GWM391" s="104"/>
      <c r="GWN391" s="455"/>
      <c r="GWO391" s="104"/>
      <c r="GWP391" s="104"/>
      <c r="GWQ391" s="109"/>
      <c r="GWR391" s="104"/>
      <c r="GWS391" s="104"/>
      <c r="GWT391" s="119"/>
      <c r="GWU391" s="104"/>
      <c r="GWV391" s="455"/>
      <c r="GWW391" s="104"/>
      <c r="GWX391" s="104"/>
      <c r="GWY391" s="109"/>
      <c r="GWZ391" s="104"/>
      <c r="GXA391" s="104"/>
      <c r="GXB391" s="119"/>
      <c r="GXC391" s="104"/>
      <c r="GXD391" s="455"/>
      <c r="GXE391" s="104"/>
      <c r="GXF391" s="104"/>
      <c r="GXG391" s="109"/>
      <c r="GXH391" s="104"/>
      <c r="GXI391" s="104"/>
      <c r="GXJ391" s="119"/>
      <c r="GXK391" s="104"/>
      <c r="GXL391" s="455"/>
      <c r="GXM391" s="104"/>
      <c r="GXN391" s="104"/>
      <c r="GXO391" s="109"/>
      <c r="GXP391" s="104"/>
      <c r="GXQ391" s="104"/>
      <c r="GXR391" s="119"/>
      <c r="GXS391" s="104"/>
      <c r="GXT391" s="455"/>
      <c r="GXU391" s="104"/>
      <c r="GXV391" s="104"/>
      <c r="GXW391" s="109"/>
      <c r="GXX391" s="104"/>
      <c r="GXY391" s="104"/>
      <c r="GXZ391" s="119"/>
      <c r="GYA391" s="104"/>
      <c r="GYB391" s="455"/>
      <c r="GYC391" s="104"/>
      <c r="GYD391" s="104"/>
      <c r="GYE391" s="109"/>
      <c r="GYF391" s="104"/>
      <c r="GYG391" s="104"/>
      <c r="GYH391" s="119"/>
      <c r="GYI391" s="104"/>
      <c r="GYJ391" s="455"/>
      <c r="GYK391" s="104"/>
      <c r="GYL391" s="104"/>
      <c r="GYM391" s="109"/>
      <c r="GYN391" s="104"/>
      <c r="GYO391" s="104"/>
      <c r="GYP391" s="119"/>
      <c r="GYQ391" s="104"/>
      <c r="GYR391" s="455"/>
      <c r="GYS391" s="104"/>
      <c r="GYT391" s="104"/>
      <c r="GYU391" s="109"/>
      <c r="GYV391" s="104"/>
      <c r="GYW391" s="104"/>
      <c r="GYX391" s="119"/>
      <c r="GYY391" s="104"/>
      <c r="GYZ391" s="455"/>
      <c r="GZA391" s="104"/>
      <c r="GZB391" s="104"/>
      <c r="GZC391" s="109"/>
      <c r="GZD391" s="104"/>
      <c r="GZE391" s="104"/>
      <c r="GZF391" s="119"/>
      <c r="GZG391" s="104"/>
      <c r="GZH391" s="455"/>
      <c r="GZI391" s="104"/>
      <c r="GZJ391" s="104"/>
      <c r="GZK391" s="109"/>
      <c r="GZL391" s="104"/>
      <c r="GZM391" s="104"/>
      <c r="GZN391" s="119"/>
      <c r="GZO391" s="104"/>
      <c r="GZP391" s="455"/>
      <c r="GZQ391" s="104"/>
      <c r="GZR391" s="104"/>
      <c r="GZS391" s="109"/>
      <c r="GZT391" s="104"/>
      <c r="GZU391" s="104"/>
      <c r="GZV391" s="119"/>
      <c r="GZW391" s="104"/>
      <c r="GZX391" s="455"/>
      <c r="GZY391" s="104"/>
      <c r="GZZ391" s="104"/>
      <c r="HAA391" s="109"/>
      <c r="HAB391" s="104"/>
      <c r="HAC391" s="104"/>
      <c r="HAD391" s="119"/>
      <c r="HAE391" s="104"/>
      <c r="HAF391" s="455"/>
      <c r="HAG391" s="104"/>
      <c r="HAH391" s="104"/>
      <c r="HAI391" s="109"/>
      <c r="HAJ391" s="104"/>
      <c r="HAK391" s="104"/>
      <c r="HAL391" s="119"/>
      <c r="HAM391" s="104"/>
      <c r="HAN391" s="455"/>
      <c r="HAO391" s="104"/>
      <c r="HAP391" s="104"/>
      <c r="HAQ391" s="109"/>
      <c r="HAR391" s="104"/>
      <c r="HAS391" s="104"/>
      <c r="HAT391" s="119"/>
      <c r="HAU391" s="104"/>
      <c r="HAV391" s="455"/>
      <c r="HAW391" s="104"/>
      <c r="HAX391" s="104"/>
      <c r="HAY391" s="109"/>
      <c r="HAZ391" s="104"/>
      <c r="HBA391" s="104"/>
      <c r="HBB391" s="119"/>
      <c r="HBC391" s="104"/>
      <c r="HBD391" s="455"/>
      <c r="HBE391" s="104"/>
      <c r="HBF391" s="104"/>
      <c r="HBG391" s="109"/>
      <c r="HBH391" s="104"/>
      <c r="HBI391" s="104"/>
      <c r="HBJ391" s="119"/>
      <c r="HBK391" s="104"/>
      <c r="HBL391" s="455"/>
      <c r="HBM391" s="104"/>
      <c r="HBN391" s="104"/>
      <c r="HBO391" s="109"/>
      <c r="HBP391" s="104"/>
      <c r="HBQ391" s="104"/>
      <c r="HBR391" s="119"/>
      <c r="HBS391" s="104"/>
      <c r="HBT391" s="455"/>
      <c r="HBU391" s="104"/>
      <c r="HBV391" s="104"/>
      <c r="HBW391" s="109"/>
      <c r="HBX391" s="104"/>
      <c r="HBY391" s="104"/>
      <c r="HBZ391" s="119"/>
      <c r="HCA391" s="104"/>
      <c r="HCB391" s="455"/>
      <c r="HCC391" s="104"/>
      <c r="HCD391" s="104"/>
      <c r="HCE391" s="109"/>
      <c r="HCF391" s="104"/>
      <c r="HCG391" s="104"/>
      <c r="HCH391" s="119"/>
      <c r="HCI391" s="104"/>
      <c r="HCJ391" s="455"/>
      <c r="HCK391" s="104"/>
      <c r="HCL391" s="104"/>
      <c r="HCM391" s="109"/>
      <c r="HCN391" s="104"/>
      <c r="HCO391" s="104"/>
      <c r="HCP391" s="119"/>
      <c r="HCQ391" s="104"/>
      <c r="HCR391" s="455"/>
      <c r="HCS391" s="104"/>
      <c r="HCT391" s="104"/>
      <c r="HCU391" s="109"/>
      <c r="HCV391" s="104"/>
      <c r="HCW391" s="104"/>
      <c r="HCX391" s="119"/>
      <c r="HCY391" s="104"/>
      <c r="HCZ391" s="455"/>
      <c r="HDA391" s="104"/>
      <c r="HDB391" s="104"/>
      <c r="HDC391" s="109"/>
      <c r="HDD391" s="104"/>
      <c r="HDE391" s="104"/>
      <c r="HDF391" s="119"/>
      <c r="HDG391" s="104"/>
      <c r="HDH391" s="455"/>
      <c r="HDI391" s="104"/>
      <c r="HDJ391" s="104"/>
      <c r="HDK391" s="109"/>
      <c r="HDL391" s="104"/>
      <c r="HDM391" s="104"/>
      <c r="HDN391" s="119"/>
      <c r="HDO391" s="104"/>
      <c r="HDP391" s="455"/>
      <c r="HDQ391" s="104"/>
      <c r="HDR391" s="104"/>
      <c r="HDS391" s="109"/>
      <c r="HDT391" s="104"/>
      <c r="HDU391" s="104"/>
      <c r="HDV391" s="119"/>
      <c r="HDW391" s="104"/>
      <c r="HDX391" s="455"/>
      <c r="HDY391" s="104"/>
      <c r="HDZ391" s="104"/>
      <c r="HEA391" s="109"/>
      <c r="HEB391" s="104"/>
      <c r="HEC391" s="104"/>
      <c r="HED391" s="119"/>
      <c r="HEE391" s="104"/>
      <c r="HEF391" s="455"/>
      <c r="HEG391" s="104"/>
      <c r="HEH391" s="104"/>
      <c r="HEI391" s="109"/>
      <c r="HEJ391" s="104"/>
      <c r="HEK391" s="104"/>
      <c r="HEL391" s="119"/>
      <c r="HEM391" s="104"/>
      <c r="HEN391" s="455"/>
      <c r="HEO391" s="104"/>
      <c r="HEP391" s="104"/>
      <c r="HEQ391" s="109"/>
      <c r="HER391" s="104"/>
      <c r="HES391" s="104"/>
      <c r="HET391" s="119"/>
      <c r="HEU391" s="104"/>
      <c r="HEV391" s="455"/>
      <c r="HEW391" s="104"/>
      <c r="HEX391" s="104"/>
      <c r="HEY391" s="109"/>
      <c r="HEZ391" s="104"/>
      <c r="HFA391" s="104"/>
      <c r="HFB391" s="119"/>
      <c r="HFC391" s="104"/>
      <c r="HFD391" s="455"/>
      <c r="HFE391" s="104"/>
      <c r="HFF391" s="104"/>
      <c r="HFG391" s="109"/>
      <c r="HFH391" s="104"/>
      <c r="HFI391" s="104"/>
      <c r="HFJ391" s="119"/>
      <c r="HFK391" s="104"/>
      <c r="HFL391" s="455"/>
      <c r="HFM391" s="104"/>
      <c r="HFN391" s="104"/>
      <c r="HFO391" s="109"/>
      <c r="HFP391" s="104"/>
      <c r="HFQ391" s="104"/>
      <c r="HFR391" s="119"/>
      <c r="HFS391" s="104"/>
      <c r="HFT391" s="455"/>
      <c r="HFU391" s="104"/>
      <c r="HFV391" s="104"/>
      <c r="HFW391" s="109"/>
      <c r="HFX391" s="104"/>
      <c r="HFY391" s="104"/>
      <c r="HFZ391" s="119"/>
      <c r="HGA391" s="104"/>
      <c r="HGB391" s="455"/>
      <c r="HGC391" s="104"/>
      <c r="HGD391" s="104"/>
      <c r="HGE391" s="109"/>
      <c r="HGF391" s="104"/>
      <c r="HGG391" s="104"/>
      <c r="HGH391" s="119"/>
      <c r="HGI391" s="104"/>
      <c r="HGJ391" s="455"/>
      <c r="HGK391" s="104"/>
      <c r="HGL391" s="104"/>
      <c r="HGM391" s="109"/>
      <c r="HGN391" s="104"/>
      <c r="HGO391" s="104"/>
      <c r="HGP391" s="119"/>
      <c r="HGQ391" s="104"/>
      <c r="HGR391" s="455"/>
      <c r="HGS391" s="104"/>
      <c r="HGT391" s="104"/>
      <c r="HGU391" s="109"/>
      <c r="HGV391" s="104"/>
      <c r="HGW391" s="104"/>
      <c r="HGX391" s="119"/>
      <c r="HGY391" s="104"/>
      <c r="HGZ391" s="455"/>
      <c r="HHA391" s="104"/>
      <c r="HHB391" s="104"/>
      <c r="HHC391" s="109"/>
      <c r="HHD391" s="104"/>
      <c r="HHE391" s="104"/>
      <c r="HHF391" s="119"/>
      <c r="HHG391" s="104"/>
      <c r="HHH391" s="455"/>
      <c r="HHI391" s="104"/>
      <c r="HHJ391" s="104"/>
      <c r="HHK391" s="109"/>
      <c r="HHL391" s="104"/>
      <c r="HHM391" s="104"/>
      <c r="HHN391" s="119"/>
      <c r="HHO391" s="104"/>
      <c r="HHP391" s="455"/>
      <c r="HHQ391" s="104"/>
      <c r="HHR391" s="104"/>
      <c r="HHS391" s="109"/>
      <c r="HHT391" s="104"/>
      <c r="HHU391" s="104"/>
      <c r="HHV391" s="119"/>
      <c r="HHW391" s="104"/>
      <c r="HHX391" s="455"/>
      <c r="HHY391" s="104"/>
      <c r="HHZ391" s="104"/>
      <c r="HIA391" s="109"/>
      <c r="HIB391" s="104"/>
      <c r="HIC391" s="104"/>
      <c r="HID391" s="119"/>
      <c r="HIE391" s="104"/>
      <c r="HIF391" s="455"/>
      <c r="HIG391" s="104"/>
      <c r="HIH391" s="104"/>
      <c r="HII391" s="109"/>
      <c r="HIJ391" s="104"/>
      <c r="HIK391" s="104"/>
      <c r="HIL391" s="119"/>
      <c r="HIM391" s="104"/>
      <c r="HIN391" s="455"/>
      <c r="HIO391" s="104"/>
      <c r="HIP391" s="104"/>
      <c r="HIQ391" s="109"/>
      <c r="HIR391" s="104"/>
      <c r="HIS391" s="104"/>
      <c r="HIT391" s="119"/>
      <c r="HIU391" s="104"/>
      <c r="HIV391" s="455"/>
      <c r="HIW391" s="104"/>
      <c r="HIX391" s="104"/>
      <c r="HIY391" s="109"/>
      <c r="HIZ391" s="104"/>
      <c r="HJA391" s="104"/>
      <c r="HJB391" s="119"/>
      <c r="HJC391" s="104"/>
      <c r="HJD391" s="455"/>
      <c r="HJE391" s="104"/>
      <c r="HJF391" s="104"/>
      <c r="HJG391" s="109"/>
      <c r="HJH391" s="104"/>
      <c r="HJI391" s="104"/>
      <c r="HJJ391" s="119"/>
      <c r="HJK391" s="104"/>
      <c r="HJL391" s="455"/>
      <c r="HJM391" s="104"/>
      <c r="HJN391" s="104"/>
      <c r="HJO391" s="109"/>
      <c r="HJP391" s="104"/>
      <c r="HJQ391" s="104"/>
      <c r="HJR391" s="119"/>
      <c r="HJS391" s="104"/>
      <c r="HJT391" s="455"/>
      <c r="HJU391" s="104"/>
      <c r="HJV391" s="104"/>
      <c r="HJW391" s="109"/>
      <c r="HJX391" s="104"/>
      <c r="HJY391" s="104"/>
      <c r="HJZ391" s="119"/>
      <c r="HKA391" s="104"/>
      <c r="HKB391" s="455"/>
      <c r="HKC391" s="104"/>
      <c r="HKD391" s="104"/>
      <c r="HKE391" s="109"/>
      <c r="HKF391" s="104"/>
      <c r="HKG391" s="104"/>
      <c r="HKH391" s="119"/>
      <c r="HKI391" s="104"/>
      <c r="HKJ391" s="455"/>
      <c r="HKK391" s="104"/>
      <c r="HKL391" s="104"/>
      <c r="HKM391" s="109"/>
      <c r="HKN391" s="104"/>
      <c r="HKO391" s="104"/>
      <c r="HKP391" s="119"/>
      <c r="HKQ391" s="104"/>
      <c r="HKR391" s="455"/>
      <c r="HKS391" s="104"/>
      <c r="HKT391" s="104"/>
      <c r="HKU391" s="109"/>
      <c r="HKV391" s="104"/>
      <c r="HKW391" s="104"/>
      <c r="HKX391" s="119"/>
      <c r="HKY391" s="104"/>
      <c r="HKZ391" s="455"/>
      <c r="HLA391" s="104"/>
      <c r="HLB391" s="104"/>
      <c r="HLC391" s="109"/>
      <c r="HLD391" s="104"/>
      <c r="HLE391" s="104"/>
      <c r="HLF391" s="119"/>
      <c r="HLG391" s="104"/>
      <c r="HLH391" s="455"/>
      <c r="HLI391" s="104"/>
      <c r="HLJ391" s="104"/>
      <c r="HLK391" s="109"/>
      <c r="HLL391" s="104"/>
      <c r="HLM391" s="104"/>
      <c r="HLN391" s="119"/>
      <c r="HLO391" s="104"/>
      <c r="HLP391" s="455"/>
      <c r="HLQ391" s="104"/>
      <c r="HLR391" s="104"/>
      <c r="HLS391" s="109"/>
      <c r="HLT391" s="104"/>
      <c r="HLU391" s="104"/>
      <c r="HLV391" s="119"/>
      <c r="HLW391" s="104"/>
      <c r="HLX391" s="455"/>
      <c r="HLY391" s="104"/>
      <c r="HLZ391" s="104"/>
      <c r="HMA391" s="109"/>
      <c r="HMB391" s="104"/>
      <c r="HMC391" s="104"/>
      <c r="HMD391" s="119"/>
      <c r="HME391" s="104"/>
      <c r="HMF391" s="455"/>
      <c r="HMG391" s="104"/>
      <c r="HMH391" s="104"/>
      <c r="HMI391" s="109"/>
      <c r="HMJ391" s="104"/>
      <c r="HMK391" s="104"/>
      <c r="HML391" s="119"/>
      <c r="HMM391" s="104"/>
      <c r="HMN391" s="455"/>
      <c r="HMO391" s="104"/>
      <c r="HMP391" s="104"/>
      <c r="HMQ391" s="109"/>
      <c r="HMR391" s="104"/>
      <c r="HMS391" s="104"/>
      <c r="HMT391" s="119"/>
      <c r="HMU391" s="104"/>
      <c r="HMV391" s="455"/>
      <c r="HMW391" s="104"/>
      <c r="HMX391" s="104"/>
      <c r="HMY391" s="109"/>
      <c r="HMZ391" s="104"/>
      <c r="HNA391" s="104"/>
      <c r="HNB391" s="119"/>
      <c r="HNC391" s="104"/>
      <c r="HND391" s="455"/>
      <c r="HNE391" s="104"/>
      <c r="HNF391" s="104"/>
      <c r="HNG391" s="109"/>
      <c r="HNH391" s="104"/>
      <c r="HNI391" s="104"/>
      <c r="HNJ391" s="119"/>
      <c r="HNK391" s="104"/>
      <c r="HNL391" s="455"/>
      <c r="HNM391" s="104"/>
      <c r="HNN391" s="104"/>
      <c r="HNO391" s="109"/>
      <c r="HNP391" s="104"/>
      <c r="HNQ391" s="104"/>
      <c r="HNR391" s="119"/>
      <c r="HNS391" s="104"/>
      <c r="HNT391" s="455"/>
      <c r="HNU391" s="104"/>
      <c r="HNV391" s="104"/>
      <c r="HNW391" s="109"/>
      <c r="HNX391" s="104"/>
      <c r="HNY391" s="104"/>
      <c r="HNZ391" s="119"/>
      <c r="HOA391" s="104"/>
      <c r="HOB391" s="455"/>
      <c r="HOC391" s="104"/>
      <c r="HOD391" s="104"/>
      <c r="HOE391" s="109"/>
      <c r="HOF391" s="104"/>
      <c r="HOG391" s="104"/>
      <c r="HOH391" s="119"/>
      <c r="HOI391" s="104"/>
      <c r="HOJ391" s="455"/>
      <c r="HOK391" s="104"/>
      <c r="HOL391" s="104"/>
      <c r="HOM391" s="109"/>
      <c r="HON391" s="104"/>
      <c r="HOO391" s="104"/>
      <c r="HOP391" s="119"/>
      <c r="HOQ391" s="104"/>
      <c r="HOR391" s="455"/>
      <c r="HOS391" s="104"/>
      <c r="HOT391" s="104"/>
      <c r="HOU391" s="109"/>
      <c r="HOV391" s="104"/>
      <c r="HOW391" s="104"/>
      <c r="HOX391" s="119"/>
      <c r="HOY391" s="104"/>
      <c r="HOZ391" s="455"/>
      <c r="HPA391" s="104"/>
      <c r="HPB391" s="104"/>
      <c r="HPC391" s="109"/>
      <c r="HPD391" s="104"/>
      <c r="HPE391" s="104"/>
      <c r="HPF391" s="119"/>
      <c r="HPG391" s="104"/>
      <c r="HPH391" s="455"/>
      <c r="HPI391" s="104"/>
      <c r="HPJ391" s="104"/>
      <c r="HPK391" s="109"/>
      <c r="HPL391" s="104"/>
      <c r="HPM391" s="104"/>
      <c r="HPN391" s="119"/>
      <c r="HPO391" s="104"/>
      <c r="HPP391" s="455"/>
      <c r="HPQ391" s="104"/>
      <c r="HPR391" s="104"/>
      <c r="HPS391" s="109"/>
      <c r="HPT391" s="104"/>
      <c r="HPU391" s="104"/>
      <c r="HPV391" s="119"/>
      <c r="HPW391" s="104"/>
      <c r="HPX391" s="455"/>
      <c r="HPY391" s="104"/>
      <c r="HPZ391" s="104"/>
      <c r="HQA391" s="109"/>
      <c r="HQB391" s="104"/>
      <c r="HQC391" s="104"/>
      <c r="HQD391" s="119"/>
      <c r="HQE391" s="104"/>
      <c r="HQF391" s="455"/>
      <c r="HQG391" s="104"/>
      <c r="HQH391" s="104"/>
      <c r="HQI391" s="109"/>
      <c r="HQJ391" s="104"/>
      <c r="HQK391" s="104"/>
      <c r="HQL391" s="119"/>
      <c r="HQM391" s="104"/>
      <c r="HQN391" s="455"/>
      <c r="HQO391" s="104"/>
      <c r="HQP391" s="104"/>
      <c r="HQQ391" s="109"/>
      <c r="HQR391" s="104"/>
      <c r="HQS391" s="104"/>
      <c r="HQT391" s="119"/>
      <c r="HQU391" s="104"/>
      <c r="HQV391" s="455"/>
      <c r="HQW391" s="104"/>
      <c r="HQX391" s="104"/>
      <c r="HQY391" s="109"/>
      <c r="HQZ391" s="104"/>
      <c r="HRA391" s="104"/>
      <c r="HRB391" s="119"/>
      <c r="HRC391" s="104"/>
      <c r="HRD391" s="455"/>
      <c r="HRE391" s="104"/>
      <c r="HRF391" s="104"/>
      <c r="HRG391" s="109"/>
      <c r="HRH391" s="104"/>
      <c r="HRI391" s="104"/>
      <c r="HRJ391" s="119"/>
      <c r="HRK391" s="104"/>
      <c r="HRL391" s="455"/>
      <c r="HRM391" s="104"/>
      <c r="HRN391" s="104"/>
      <c r="HRO391" s="109"/>
      <c r="HRP391" s="104"/>
      <c r="HRQ391" s="104"/>
      <c r="HRR391" s="119"/>
      <c r="HRS391" s="104"/>
      <c r="HRT391" s="455"/>
      <c r="HRU391" s="104"/>
      <c r="HRV391" s="104"/>
      <c r="HRW391" s="109"/>
      <c r="HRX391" s="104"/>
      <c r="HRY391" s="104"/>
      <c r="HRZ391" s="119"/>
      <c r="HSA391" s="104"/>
      <c r="HSB391" s="455"/>
      <c r="HSC391" s="104"/>
      <c r="HSD391" s="104"/>
      <c r="HSE391" s="109"/>
      <c r="HSF391" s="104"/>
      <c r="HSG391" s="104"/>
      <c r="HSH391" s="119"/>
      <c r="HSI391" s="104"/>
      <c r="HSJ391" s="455"/>
      <c r="HSK391" s="104"/>
      <c r="HSL391" s="104"/>
      <c r="HSM391" s="109"/>
      <c r="HSN391" s="104"/>
      <c r="HSO391" s="104"/>
      <c r="HSP391" s="119"/>
      <c r="HSQ391" s="104"/>
      <c r="HSR391" s="455"/>
      <c r="HSS391" s="104"/>
      <c r="HST391" s="104"/>
      <c r="HSU391" s="109"/>
      <c r="HSV391" s="104"/>
      <c r="HSW391" s="104"/>
      <c r="HSX391" s="119"/>
      <c r="HSY391" s="104"/>
      <c r="HSZ391" s="455"/>
      <c r="HTA391" s="104"/>
      <c r="HTB391" s="104"/>
      <c r="HTC391" s="109"/>
      <c r="HTD391" s="104"/>
      <c r="HTE391" s="104"/>
      <c r="HTF391" s="119"/>
      <c r="HTG391" s="104"/>
      <c r="HTH391" s="455"/>
      <c r="HTI391" s="104"/>
      <c r="HTJ391" s="104"/>
      <c r="HTK391" s="109"/>
      <c r="HTL391" s="104"/>
      <c r="HTM391" s="104"/>
      <c r="HTN391" s="119"/>
      <c r="HTO391" s="104"/>
      <c r="HTP391" s="455"/>
      <c r="HTQ391" s="104"/>
      <c r="HTR391" s="104"/>
      <c r="HTS391" s="109"/>
      <c r="HTT391" s="104"/>
      <c r="HTU391" s="104"/>
      <c r="HTV391" s="119"/>
      <c r="HTW391" s="104"/>
      <c r="HTX391" s="455"/>
      <c r="HTY391" s="104"/>
      <c r="HTZ391" s="104"/>
      <c r="HUA391" s="109"/>
      <c r="HUB391" s="104"/>
      <c r="HUC391" s="104"/>
      <c r="HUD391" s="119"/>
      <c r="HUE391" s="104"/>
      <c r="HUF391" s="455"/>
      <c r="HUG391" s="104"/>
      <c r="HUH391" s="104"/>
      <c r="HUI391" s="109"/>
      <c r="HUJ391" s="104"/>
      <c r="HUK391" s="104"/>
      <c r="HUL391" s="119"/>
      <c r="HUM391" s="104"/>
      <c r="HUN391" s="455"/>
      <c r="HUO391" s="104"/>
      <c r="HUP391" s="104"/>
      <c r="HUQ391" s="109"/>
      <c r="HUR391" s="104"/>
      <c r="HUS391" s="104"/>
      <c r="HUT391" s="119"/>
      <c r="HUU391" s="104"/>
      <c r="HUV391" s="455"/>
      <c r="HUW391" s="104"/>
      <c r="HUX391" s="104"/>
      <c r="HUY391" s="109"/>
      <c r="HUZ391" s="104"/>
      <c r="HVA391" s="104"/>
      <c r="HVB391" s="119"/>
      <c r="HVC391" s="104"/>
      <c r="HVD391" s="455"/>
      <c r="HVE391" s="104"/>
      <c r="HVF391" s="104"/>
      <c r="HVG391" s="109"/>
      <c r="HVH391" s="104"/>
      <c r="HVI391" s="104"/>
      <c r="HVJ391" s="119"/>
      <c r="HVK391" s="104"/>
      <c r="HVL391" s="455"/>
      <c r="HVM391" s="104"/>
      <c r="HVN391" s="104"/>
      <c r="HVO391" s="109"/>
      <c r="HVP391" s="104"/>
      <c r="HVQ391" s="104"/>
      <c r="HVR391" s="119"/>
      <c r="HVS391" s="104"/>
      <c r="HVT391" s="455"/>
      <c r="HVU391" s="104"/>
      <c r="HVV391" s="104"/>
      <c r="HVW391" s="109"/>
      <c r="HVX391" s="104"/>
      <c r="HVY391" s="104"/>
      <c r="HVZ391" s="119"/>
      <c r="HWA391" s="104"/>
      <c r="HWB391" s="455"/>
      <c r="HWC391" s="104"/>
      <c r="HWD391" s="104"/>
      <c r="HWE391" s="109"/>
      <c r="HWF391" s="104"/>
      <c r="HWG391" s="104"/>
      <c r="HWH391" s="119"/>
      <c r="HWI391" s="104"/>
      <c r="HWJ391" s="455"/>
      <c r="HWK391" s="104"/>
      <c r="HWL391" s="104"/>
      <c r="HWM391" s="109"/>
      <c r="HWN391" s="104"/>
      <c r="HWO391" s="104"/>
      <c r="HWP391" s="119"/>
      <c r="HWQ391" s="104"/>
      <c r="HWR391" s="455"/>
      <c r="HWS391" s="104"/>
      <c r="HWT391" s="104"/>
      <c r="HWU391" s="109"/>
      <c r="HWV391" s="104"/>
      <c r="HWW391" s="104"/>
      <c r="HWX391" s="119"/>
      <c r="HWY391" s="104"/>
      <c r="HWZ391" s="455"/>
      <c r="HXA391" s="104"/>
      <c r="HXB391" s="104"/>
      <c r="HXC391" s="109"/>
      <c r="HXD391" s="104"/>
      <c r="HXE391" s="104"/>
      <c r="HXF391" s="119"/>
      <c r="HXG391" s="104"/>
      <c r="HXH391" s="455"/>
      <c r="HXI391" s="104"/>
      <c r="HXJ391" s="104"/>
      <c r="HXK391" s="109"/>
      <c r="HXL391" s="104"/>
      <c r="HXM391" s="104"/>
      <c r="HXN391" s="119"/>
      <c r="HXO391" s="104"/>
      <c r="HXP391" s="455"/>
      <c r="HXQ391" s="104"/>
      <c r="HXR391" s="104"/>
      <c r="HXS391" s="109"/>
      <c r="HXT391" s="104"/>
      <c r="HXU391" s="104"/>
      <c r="HXV391" s="119"/>
      <c r="HXW391" s="104"/>
      <c r="HXX391" s="455"/>
      <c r="HXY391" s="104"/>
      <c r="HXZ391" s="104"/>
      <c r="HYA391" s="109"/>
      <c r="HYB391" s="104"/>
      <c r="HYC391" s="104"/>
      <c r="HYD391" s="119"/>
      <c r="HYE391" s="104"/>
      <c r="HYF391" s="455"/>
      <c r="HYG391" s="104"/>
      <c r="HYH391" s="104"/>
      <c r="HYI391" s="109"/>
      <c r="HYJ391" s="104"/>
      <c r="HYK391" s="104"/>
      <c r="HYL391" s="119"/>
      <c r="HYM391" s="104"/>
      <c r="HYN391" s="455"/>
      <c r="HYO391" s="104"/>
      <c r="HYP391" s="104"/>
      <c r="HYQ391" s="109"/>
      <c r="HYR391" s="104"/>
      <c r="HYS391" s="104"/>
      <c r="HYT391" s="119"/>
      <c r="HYU391" s="104"/>
      <c r="HYV391" s="455"/>
      <c r="HYW391" s="104"/>
      <c r="HYX391" s="104"/>
      <c r="HYY391" s="109"/>
      <c r="HYZ391" s="104"/>
      <c r="HZA391" s="104"/>
      <c r="HZB391" s="119"/>
      <c r="HZC391" s="104"/>
      <c r="HZD391" s="455"/>
      <c r="HZE391" s="104"/>
      <c r="HZF391" s="104"/>
      <c r="HZG391" s="109"/>
      <c r="HZH391" s="104"/>
      <c r="HZI391" s="104"/>
      <c r="HZJ391" s="119"/>
      <c r="HZK391" s="104"/>
      <c r="HZL391" s="455"/>
      <c r="HZM391" s="104"/>
      <c r="HZN391" s="104"/>
      <c r="HZO391" s="109"/>
      <c r="HZP391" s="104"/>
      <c r="HZQ391" s="104"/>
      <c r="HZR391" s="119"/>
      <c r="HZS391" s="104"/>
      <c r="HZT391" s="455"/>
      <c r="HZU391" s="104"/>
      <c r="HZV391" s="104"/>
      <c r="HZW391" s="109"/>
      <c r="HZX391" s="104"/>
      <c r="HZY391" s="104"/>
      <c r="HZZ391" s="119"/>
      <c r="IAA391" s="104"/>
      <c r="IAB391" s="455"/>
      <c r="IAC391" s="104"/>
      <c r="IAD391" s="104"/>
      <c r="IAE391" s="109"/>
      <c r="IAF391" s="104"/>
      <c r="IAG391" s="104"/>
      <c r="IAH391" s="119"/>
      <c r="IAI391" s="104"/>
      <c r="IAJ391" s="455"/>
      <c r="IAK391" s="104"/>
      <c r="IAL391" s="104"/>
      <c r="IAM391" s="109"/>
      <c r="IAN391" s="104"/>
      <c r="IAO391" s="104"/>
      <c r="IAP391" s="119"/>
      <c r="IAQ391" s="104"/>
      <c r="IAR391" s="455"/>
      <c r="IAS391" s="104"/>
      <c r="IAT391" s="104"/>
      <c r="IAU391" s="109"/>
      <c r="IAV391" s="104"/>
      <c r="IAW391" s="104"/>
      <c r="IAX391" s="119"/>
      <c r="IAY391" s="104"/>
      <c r="IAZ391" s="455"/>
      <c r="IBA391" s="104"/>
      <c r="IBB391" s="104"/>
      <c r="IBC391" s="109"/>
      <c r="IBD391" s="104"/>
      <c r="IBE391" s="104"/>
      <c r="IBF391" s="119"/>
      <c r="IBG391" s="104"/>
      <c r="IBH391" s="455"/>
      <c r="IBI391" s="104"/>
      <c r="IBJ391" s="104"/>
      <c r="IBK391" s="109"/>
      <c r="IBL391" s="104"/>
      <c r="IBM391" s="104"/>
      <c r="IBN391" s="119"/>
      <c r="IBO391" s="104"/>
      <c r="IBP391" s="455"/>
      <c r="IBQ391" s="104"/>
      <c r="IBR391" s="104"/>
      <c r="IBS391" s="109"/>
      <c r="IBT391" s="104"/>
      <c r="IBU391" s="104"/>
      <c r="IBV391" s="119"/>
      <c r="IBW391" s="104"/>
      <c r="IBX391" s="455"/>
      <c r="IBY391" s="104"/>
      <c r="IBZ391" s="104"/>
      <c r="ICA391" s="109"/>
      <c r="ICB391" s="104"/>
      <c r="ICC391" s="104"/>
      <c r="ICD391" s="119"/>
      <c r="ICE391" s="104"/>
      <c r="ICF391" s="455"/>
      <c r="ICG391" s="104"/>
      <c r="ICH391" s="104"/>
      <c r="ICI391" s="109"/>
      <c r="ICJ391" s="104"/>
      <c r="ICK391" s="104"/>
      <c r="ICL391" s="119"/>
      <c r="ICM391" s="104"/>
      <c r="ICN391" s="455"/>
      <c r="ICO391" s="104"/>
      <c r="ICP391" s="104"/>
      <c r="ICQ391" s="109"/>
      <c r="ICR391" s="104"/>
      <c r="ICS391" s="104"/>
      <c r="ICT391" s="119"/>
      <c r="ICU391" s="104"/>
      <c r="ICV391" s="455"/>
      <c r="ICW391" s="104"/>
      <c r="ICX391" s="104"/>
      <c r="ICY391" s="109"/>
      <c r="ICZ391" s="104"/>
      <c r="IDA391" s="104"/>
      <c r="IDB391" s="119"/>
      <c r="IDC391" s="104"/>
      <c r="IDD391" s="455"/>
      <c r="IDE391" s="104"/>
      <c r="IDF391" s="104"/>
      <c r="IDG391" s="109"/>
      <c r="IDH391" s="104"/>
      <c r="IDI391" s="104"/>
      <c r="IDJ391" s="119"/>
      <c r="IDK391" s="104"/>
      <c r="IDL391" s="455"/>
      <c r="IDM391" s="104"/>
      <c r="IDN391" s="104"/>
      <c r="IDO391" s="109"/>
      <c r="IDP391" s="104"/>
      <c r="IDQ391" s="104"/>
      <c r="IDR391" s="119"/>
      <c r="IDS391" s="104"/>
      <c r="IDT391" s="455"/>
      <c r="IDU391" s="104"/>
      <c r="IDV391" s="104"/>
      <c r="IDW391" s="109"/>
      <c r="IDX391" s="104"/>
      <c r="IDY391" s="104"/>
      <c r="IDZ391" s="119"/>
      <c r="IEA391" s="104"/>
      <c r="IEB391" s="455"/>
      <c r="IEC391" s="104"/>
      <c r="IED391" s="104"/>
      <c r="IEE391" s="109"/>
      <c r="IEF391" s="104"/>
      <c r="IEG391" s="104"/>
      <c r="IEH391" s="119"/>
      <c r="IEI391" s="104"/>
      <c r="IEJ391" s="455"/>
      <c r="IEK391" s="104"/>
      <c r="IEL391" s="104"/>
      <c r="IEM391" s="109"/>
      <c r="IEN391" s="104"/>
      <c r="IEO391" s="104"/>
      <c r="IEP391" s="119"/>
      <c r="IEQ391" s="104"/>
      <c r="IER391" s="455"/>
      <c r="IES391" s="104"/>
      <c r="IET391" s="104"/>
      <c r="IEU391" s="109"/>
      <c r="IEV391" s="104"/>
      <c r="IEW391" s="104"/>
      <c r="IEX391" s="119"/>
      <c r="IEY391" s="104"/>
      <c r="IEZ391" s="455"/>
      <c r="IFA391" s="104"/>
      <c r="IFB391" s="104"/>
      <c r="IFC391" s="109"/>
      <c r="IFD391" s="104"/>
      <c r="IFE391" s="104"/>
      <c r="IFF391" s="119"/>
      <c r="IFG391" s="104"/>
      <c r="IFH391" s="455"/>
      <c r="IFI391" s="104"/>
      <c r="IFJ391" s="104"/>
      <c r="IFK391" s="109"/>
      <c r="IFL391" s="104"/>
      <c r="IFM391" s="104"/>
      <c r="IFN391" s="119"/>
      <c r="IFO391" s="104"/>
      <c r="IFP391" s="455"/>
      <c r="IFQ391" s="104"/>
      <c r="IFR391" s="104"/>
      <c r="IFS391" s="109"/>
      <c r="IFT391" s="104"/>
      <c r="IFU391" s="104"/>
      <c r="IFV391" s="119"/>
      <c r="IFW391" s="104"/>
      <c r="IFX391" s="455"/>
      <c r="IFY391" s="104"/>
      <c r="IFZ391" s="104"/>
      <c r="IGA391" s="109"/>
      <c r="IGB391" s="104"/>
      <c r="IGC391" s="104"/>
      <c r="IGD391" s="119"/>
      <c r="IGE391" s="104"/>
      <c r="IGF391" s="455"/>
      <c r="IGG391" s="104"/>
      <c r="IGH391" s="104"/>
      <c r="IGI391" s="109"/>
      <c r="IGJ391" s="104"/>
      <c r="IGK391" s="104"/>
      <c r="IGL391" s="119"/>
      <c r="IGM391" s="104"/>
      <c r="IGN391" s="455"/>
      <c r="IGO391" s="104"/>
      <c r="IGP391" s="104"/>
      <c r="IGQ391" s="109"/>
      <c r="IGR391" s="104"/>
      <c r="IGS391" s="104"/>
      <c r="IGT391" s="119"/>
      <c r="IGU391" s="104"/>
      <c r="IGV391" s="455"/>
      <c r="IGW391" s="104"/>
      <c r="IGX391" s="104"/>
      <c r="IGY391" s="109"/>
      <c r="IGZ391" s="104"/>
      <c r="IHA391" s="104"/>
      <c r="IHB391" s="119"/>
      <c r="IHC391" s="104"/>
      <c r="IHD391" s="455"/>
      <c r="IHE391" s="104"/>
      <c r="IHF391" s="104"/>
      <c r="IHG391" s="109"/>
      <c r="IHH391" s="104"/>
      <c r="IHI391" s="104"/>
      <c r="IHJ391" s="119"/>
      <c r="IHK391" s="104"/>
      <c r="IHL391" s="455"/>
      <c r="IHM391" s="104"/>
      <c r="IHN391" s="104"/>
      <c r="IHO391" s="109"/>
      <c r="IHP391" s="104"/>
      <c r="IHQ391" s="104"/>
      <c r="IHR391" s="119"/>
      <c r="IHS391" s="104"/>
      <c r="IHT391" s="455"/>
      <c r="IHU391" s="104"/>
      <c r="IHV391" s="104"/>
      <c r="IHW391" s="109"/>
      <c r="IHX391" s="104"/>
      <c r="IHY391" s="104"/>
      <c r="IHZ391" s="119"/>
      <c r="IIA391" s="104"/>
      <c r="IIB391" s="455"/>
      <c r="IIC391" s="104"/>
      <c r="IID391" s="104"/>
      <c r="IIE391" s="109"/>
      <c r="IIF391" s="104"/>
      <c r="IIG391" s="104"/>
      <c r="IIH391" s="119"/>
      <c r="III391" s="104"/>
      <c r="IIJ391" s="455"/>
      <c r="IIK391" s="104"/>
      <c r="IIL391" s="104"/>
      <c r="IIM391" s="109"/>
      <c r="IIN391" s="104"/>
      <c r="IIO391" s="104"/>
      <c r="IIP391" s="119"/>
      <c r="IIQ391" s="104"/>
      <c r="IIR391" s="455"/>
      <c r="IIS391" s="104"/>
      <c r="IIT391" s="104"/>
      <c r="IIU391" s="109"/>
      <c r="IIV391" s="104"/>
      <c r="IIW391" s="104"/>
      <c r="IIX391" s="119"/>
      <c r="IIY391" s="104"/>
      <c r="IIZ391" s="455"/>
      <c r="IJA391" s="104"/>
      <c r="IJB391" s="104"/>
      <c r="IJC391" s="109"/>
      <c r="IJD391" s="104"/>
      <c r="IJE391" s="104"/>
      <c r="IJF391" s="119"/>
      <c r="IJG391" s="104"/>
      <c r="IJH391" s="455"/>
      <c r="IJI391" s="104"/>
      <c r="IJJ391" s="104"/>
      <c r="IJK391" s="109"/>
      <c r="IJL391" s="104"/>
      <c r="IJM391" s="104"/>
      <c r="IJN391" s="119"/>
      <c r="IJO391" s="104"/>
      <c r="IJP391" s="455"/>
      <c r="IJQ391" s="104"/>
      <c r="IJR391" s="104"/>
      <c r="IJS391" s="109"/>
      <c r="IJT391" s="104"/>
      <c r="IJU391" s="104"/>
      <c r="IJV391" s="119"/>
      <c r="IJW391" s="104"/>
      <c r="IJX391" s="455"/>
      <c r="IJY391" s="104"/>
      <c r="IJZ391" s="104"/>
      <c r="IKA391" s="109"/>
      <c r="IKB391" s="104"/>
      <c r="IKC391" s="104"/>
      <c r="IKD391" s="119"/>
      <c r="IKE391" s="104"/>
      <c r="IKF391" s="455"/>
      <c r="IKG391" s="104"/>
      <c r="IKH391" s="104"/>
      <c r="IKI391" s="109"/>
      <c r="IKJ391" s="104"/>
      <c r="IKK391" s="104"/>
      <c r="IKL391" s="119"/>
      <c r="IKM391" s="104"/>
      <c r="IKN391" s="455"/>
      <c r="IKO391" s="104"/>
      <c r="IKP391" s="104"/>
      <c r="IKQ391" s="109"/>
      <c r="IKR391" s="104"/>
      <c r="IKS391" s="104"/>
      <c r="IKT391" s="119"/>
      <c r="IKU391" s="104"/>
      <c r="IKV391" s="455"/>
      <c r="IKW391" s="104"/>
      <c r="IKX391" s="104"/>
      <c r="IKY391" s="109"/>
      <c r="IKZ391" s="104"/>
      <c r="ILA391" s="104"/>
      <c r="ILB391" s="119"/>
      <c r="ILC391" s="104"/>
      <c r="ILD391" s="455"/>
      <c r="ILE391" s="104"/>
      <c r="ILF391" s="104"/>
      <c r="ILG391" s="109"/>
      <c r="ILH391" s="104"/>
      <c r="ILI391" s="104"/>
      <c r="ILJ391" s="119"/>
      <c r="ILK391" s="104"/>
      <c r="ILL391" s="455"/>
      <c r="ILM391" s="104"/>
      <c r="ILN391" s="104"/>
      <c r="ILO391" s="109"/>
      <c r="ILP391" s="104"/>
      <c r="ILQ391" s="104"/>
      <c r="ILR391" s="119"/>
      <c r="ILS391" s="104"/>
      <c r="ILT391" s="455"/>
      <c r="ILU391" s="104"/>
      <c r="ILV391" s="104"/>
      <c r="ILW391" s="109"/>
      <c r="ILX391" s="104"/>
      <c r="ILY391" s="104"/>
      <c r="ILZ391" s="119"/>
      <c r="IMA391" s="104"/>
      <c r="IMB391" s="455"/>
      <c r="IMC391" s="104"/>
      <c r="IMD391" s="104"/>
      <c r="IME391" s="109"/>
      <c r="IMF391" s="104"/>
      <c r="IMG391" s="104"/>
      <c r="IMH391" s="119"/>
      <c r="IMI391" s="104"/>
      <c r="IMJ391" s="455"/>
      <c r="IMK391" s="104"/>
      <c r="IML391" s="104"/>
      <c r="IMM391" s="109"/>
      <c r="IMN391" s="104"/>
      <c r="IMO391" s="104"/>
      <c r="IMP391" s="119"/>
      <c r="IMQ391" s="104"/>
      <c r="IMR391" s="455"/>
      <c r="IMS391" s="104"/>
      <c r="IMT391" s="104"/>
      <c r="IMU391" s="109"/>
      <c r="IMV391" s="104"/>
      <c r="IMW391" s="104"/>
      <c r="IMX391" s="119"/>
      <c r="IMY391" s="104"/>
      <c r="IMZ391" s="455"/>
      <c r="INA391" s="104"/>
      <c r="INB391" s="104"/>
      <c r="INC391" s="109"/>
      <c r="IND391" s="104"/>
      <c r="INE391" s="104"/>
      <c r="INF391" s="119"/>
      <c r="ING391" s="104"/>
      <c r="INH391" s="455"/>
      <c r="INI391" s="104"/>
      <c r="INJ391" s="104"/>
      <c r="INK391" s="109"/>
      <c r="INL391" s="104"/>
      <c r="INM391" s="104"/>
      <c r="INN391" s="119"/>
      <c r="INO391" s="104"/>
      <c r="INP391" s="455"/>
      <c r="INQ391" s="104"/>
      <c r="INR391" s="104"/>
      <c r="INS391" s="109"/>
      <c r="INT391" s="104"/>
      <c r="INU391" s="104"/>
      <c r="INV391" s="119"/>
      <c r="INW391" s="104"/>
      <c r="INX391" s="455"/>
      <c r="INY391" s="104"/>
      <c r="INZ391" s="104"/>
      <c r="IOA391" s="109"/>
      <c r="IOB391" s="104"/>
      <c r="IOC391" s="104"/>
      <c r="IOD391" s="119"/>
      <c r="IOE391" s="104"/>
      <c r="IOF391" s="455"/>
      <c r="IOG391" s="104"/>
      <c r="IOH391" s="104"/>
      <c r="IOI391" s="109"/>
      <c r="IOJ391" s="104"/>
      <c r="IOK391" s="104"/>
      <c r="IOL391" s="119"/>
      <c r="IOM391" s="104"/>
      <c r="ION391" s="455"/>
      <c r="IOO391" s="104"/>
      <c r="IOP391" s="104"/>
      <c r="IOQ391" s="109"/>
      <c r="IOR391" s="104"/>
      <c r="IOS391" s="104"/>
      <c r="IOT391" s="119"/>
      <c r="IOU391" s="104"/>
      <c r="IOV391" s="455"/>
      <c r="IOW391" s="104"/>
      <c r="IOX391" s="104"/>
      <c r="IOY391" s="109"/>
      <c r="IOZ391" s="104"/>
      <c r="IPA391" s="104"/>
      <c r="IPB391" s="119"/>
      <c r="IPC391" s="104"/>
      <c r="IPD391" s="455"/>
      <c r="IPE391" s="104"/>
      <c r="IPF391" s="104"/>
      <c r="IPG391" s="109"/>
      <c r="IPH391" s="104"/>
      <c r="IPI391" s="104"/>
      <c r="IPJ391" s="119"/>
      <c r="IPK391" s="104"/>
      <c r="IPL391" s="455"/>
      <c r="IPM391" s="104"/>
      <c r="IPN391" s="104"/>
      <c r="IPO391" s="109"/>
      <c r="IPP391" s="104"/>
      <c r="IPQ391" s="104"/>
      <c r="IPR391" s="119"/>
      <c r="IPS391" s="104"/>
      <c r="IPT391" s="455"/>
      <c r="IPU391" s="104"/>
      <c r="IPV391" s="104"/>
      <c r="IPW391" s="109"/>
      <c r="IPX391" s="104"/>
      <c r="IPY391" s="104"/>
      <c r="IPZ391" s="119"/>
      <c r="IQA391" s="104"/>
      <c r="IQB391" s="455"/>
      <c r="IQC391" s="104"/>
      <c r="IQD391" s="104"/>
      <c r="IQE391" s="109"/>
      <c r="IQF391" s="104"/>
      <c r="IQG391" s="104"/>
      <c r="IQH391" s="119"/>
      <c r="IQI391" s="104"/>
      <c r="IQJ391" s="455"/>
      <c r="IQK391" s="104"/>
      <c r="IQL391" s="104"/>
      <c r="IQM391" s="109"/>
      <c r="IQN391" s="104"/>
      <c r="IQO391" s="104"/>
      <c r="IQP391" s="119"/>
      <c r="IQQ391" s="104"/>
      <c r="IQR391" s="455"/>
      <c r="IQS391" s="104"/>
      <c r="IQT391" s="104"/>
      <c r="IQU391" s="109"/>
      <c r="IQV391" s="104"/>
      <c r="IQW391" s="104"/>
      <c r="IQX391" s="119"/>
      <c r="IQY391" s="104"/>
      <c r="IQZ391" s="455"/>
      <c r="IRA391" s="104"/>
      <c r="IRB391" s="104"/>
      <c r="IRC391" s="109"/>
      <c r="IRD391" s="104"/>
      <c r="IRE391" s="104"/>
      <c r="IRF391" s="119"/>
      <c r="IRG391" s="104"/>
      <c r="IRH391" s="455"/>
      <c r="IRI391" s="104"/>
      <c r="IRJ391" s="104"/>
      <c r="IRK391" s="109"/>
      <c r="IRL391" s="104"/>
      <c r="IRM391" s="104"/>
      <c r="IRN391" s="119"/>
      <c r="IRO391" s="104"/>
      <c r="IRP391" s="455"/>
      <c r="IRQ391" s="104"/>
      <c r="IRR391" s="104"/>
      <c r="IRS391" s="109"/>
      <c r="IRT391" s="104"/>
      <c r="IRU391" s="104"/>
      <c r="IRV391" s="119"/>
      <c r="IRW391" s="104"/>
      <c r="IRX391" s="455"/>
      <c r="IRY391" s="104"/>
      <c r="IRZ391" s="104"/>
      <c r="ISA391" s="109"/>
      <c r="ISB391" s="104"/>
      <c r="ISC391" s="104"/>
      <c r="ISD391" s="119"/>
      <c r="ISE391" s="104"/>
      <c r="ISF391" s="455"/>
      <c r="ISG391" s="104"/>
      <c r="ISH391" s="104"/>
      <c r="ISI391" s="109"/>
      <c r="ISJ391" s="104"/>
      <c r="ISK391" s="104"/>
      <c r="ISL391" s="119"/>
      <c r="ISM391" s="104"/>
      <c r="ISN391" s="455"/>
      <c r="ISO391" s="104"/>
      <c r="ISP391" s="104"/>
      <c r="ISQ391" s="109"/>
      <c r="ISR391" s="104"/>
      <c r="ISS391" s="104"/>
      <c r="IST391" s="119"/>
      <c r="ISU391" s="104"/>
      <c r="ISV391" s="455"/>
      <c r="ISW391" s="104"/>
      <c r="ISX391" s="104"/>
      <c r="ISY391" s="109"/>
      <c r="ISZ391" s="104"/>
      <c r="ITA391" s="104"/>
      <c r="ITB391" s="119"/>
      <c r="ITC391" s="104"/>
      <c r="ITD391" s="455"/>
      <c r="ITE391" s="104"/>
      <c r="ITF391" s="104"/>
      <c r="ITG391" s="109"/>
      <c r="ITH391" s="104"/>
      <c r="ITI391" s="104"/>
      <c r="ITJ391" s="119"/>
      <c r="ITK391" s="104"/>
      <c r="ITL391" s="455"/>
      <c r="ITM391" s="104"/>
      <c r="ITN391" s="104"/>
      <c r="ITO391" s="109"/>
      <c r="ITP391" s="104"/>
      <c r="ITQ391" s="104"/>
      <c r="ITR391" s="119"/>
      <c r="ITS391" s="104"/>
      <c r="ITT391" s="455"/>
      <c r="ITU391" s="104"/>
      <c r="ITV391" s="104"/>
      <c r="ITW391" s="109"/>
      <c r="ITX391" s="104"/>
      <c r="ITY391" s="104"/>
      <c r="ITZ391" s="119"/>
      <c r="IUA391" s="104"/>
      <c r="IUB391" s="455"/>
      <c r="IUC391" s="104"/>
      <c r="IUD391" s="104"/>
      <c r="IUE391" s="109"/>
      <c r="IUF391" s="104"/>
      <c r="IUG391" s="104"/>
      <c r="IUH391" s="119"/>
      <c r="IUI391" s="104"/>
      <c r="IUJ391" s="455"/>
      <c r="IUK391" s="104"/>
      <c r="IUL391" s="104"/>
      <c r="IUM391" s="109"/>
      <c r="IUN391" s="104"/>
      <c r="IUO391" s="104"/>
      <c r="IUP391" s="119"/>
      <c r="IUQ391" s="104"/>
      <c r="IUR391" s="455"/>
      <c r="IUS391" s="104"/>
      <c r="IUT391" s="104"/>
      <c r="IUU391" s="109"/>
      <c r="IUV391" s="104"/>
      <c r="IUW391" s="104"/>
      <c r="IUX391" s="119"/>
      <c r="IUY391" s="104"/>
      <c r="IUZ391" s="455"/>
      <c r="IVA391" s="104"/>
      <c r="IVB391" s="104"/>
      <c r="IVC391" s="109"/>
      <c r="IVD391" s="104"/>
      <c r="IVE391" s="104"/>
      <c r="IVF391" s="119"/>
      <c r="IVG391" s="104"/>
      <c r="IVH391" s="455"/>
      <c r="IVI391" s="104"/>
      <c r="IVJ391" s="104"/>
      <c r="IVK391" s="109"/>
      <c r="IVL391" s="104"/>
      <c r="IVM391" s="104"/>
      <c r="IVN391" s="119"/>
      <c r="IVO391" s="104"/>
      <c r="IVP391" s="455"/>
      <c r="IVQ391" s="104"/>
      <c r="IVR391" s="104"/>
      <c r="IVS391" s="109"/>
      <c r="IVT391" s="104"/>
      <c r="IVU391" s="104"/>
      <c r="IVV391" s="119"/>
      <c r="IVW391" s="104"/>
      <c r="IVX391" s="455"/>
      <c r="IVY391" s="104"/>
      <c r="IVZ391" s="104"/>
      <c r="IWA391" s="109"/>
      <c r="IWB391" s="104"/>
      <c r="IWC391" s="104"/>
      <c r="IWD391" s="119"/>
      <c r="IWE391" s="104"/>
      <c r="IWF391" s="455"/>
      <c r="IWG391" s="104"/>
      <c r="IWH391" s="104"/>
      <c r="IWI391" s="109"/>
      <c r="IWJ391" s="104"/>
      <c r="IWK391" s="104"/>
      <c r="IWL391" s="119"/>
      <c r="IWM391" s="104"/>
      <c r="IWN391" s="455"/>
      <c r="IWO391" s="104"/>
      <c r="IWP391" s="104"/>
      <c r="IWQ391" s="109"/>
      <c r="IWR391" s="104"/>
      <c r="IWS391" s="104"/>
      <c r="IWT391" s="119"/>
      <c r="IWU391" s="104"/>
      <c r="IWV391" s="455"/>
      <c r="IWW391" s="104"/>
      <c r="IWX391" s="104"/>
      <c r="IWY391" s="109"/>
      <c r="IWZ391" s="104"/>
      <c r="IXA391" s="104"/>
      <c r="IXB391" s="119"/>
      <c r="IXC391" s="104"/>
      <c r="IXD391" s="455"/>
      <c r="IXE391" s="104"/>
      <c r="IXF391" s="104"/>
      <c r="IXG391" s="109"/>
      <c r="IXH391" s="104"/>
      <c r="IXI391" s="104"/>
      <c r="IXJ391" s="119"/>
      <c r="IXK391" s="104"/>
      <c r="IXL391" s="455"/>
      <c r="IXM391" s="104"/>
      <c r="IXN391" s="104"/>
      <c r="IXO391" s="109"/>
      <c r="IXP391" s="104"/>
      <c r="IXQ391" s="104"/>
      <c r="IXR391" s="119"/>
      <c r="IXS391" s="104"/>
      <c r="IXT391" s="455"/>
      <c r="IXU391" s="104"/>
      <c r="IXV391" s="104"/>
      <c r="IXW391" s="109"/>
      <c r="IXX391" s="104"/>
      <c r="IXY391" s="104"/>
      <c r="IXZ391" s="119"/>
      <c r="IYA391" s="104"/>
      <c r="IYB391" s="455"/>
      <c r="IYC391" s="104"/>
      <c r="IYD391" s="104"/>
      <c r="IYE391" s="109"/>
      <c r="IYF391" s="104"/>
      <c r="IYG391" s="104"/>
      <c r="IYH391" s="119"/>
      <c r="IYI391" s="104"/>
      <c r="IYJ391" s="455"/>
      <c r="IYK391" s="104"/>
      <c r="IYL391" s="104"/>
      <c r="IYM391" s="109"/>
      <c r="IYN391" s="104"/>
      <c r="IYO391" s="104"/>
      <c r="IYP391" s="119"/>
      <c r="IYQ391" s="104"/>
      <c r="IYR391" s="455"/>
      <c r="IYS391" s="104"/>
      <c r="IYT391" s="104"/>
      <c r="IYU391" s="109"/>
      <c r="IYV391" s="104"/>
      <c r="IYW391" s="104"/>
      <c r="IYX391" s="119"/>
      <c r="IYY391" s="104"/>
      <c r="IYZ391" s="455"/>
      <c r="IZA391" s="104"/>
      <c r="IZB391" s="104"/>
      <c r="IZC391" s="109"/>
      <c r="IZD391" s="104"/>
      <c r="IZE391" s="104"/>
      <c r="IZF391" s="119"/>
      <c r="IZG391" s="104"/>
      <c r="IZH391" s="455"/>
      <c r="IZI391" s="104"/>
      <c r="IZJ391" s="104"/>
      <c r="IZK391" s="109"/>
      <c r="IZL391" s="104"/>
      <c r="IZM391" s="104"/>
      <c r="IZN391" s="119"/>
      <c r="IZO391" s="104"/>
      <c r="IZP391" s="455"/>
      <c r="IZQ391" s="104"/>
      <c r="IZR391" s="104"/>
      <c r="IZS391" s="109"/>
      <c r="IZT391" s="104"/>
      <c r="IZU391" s="104"/>
      <c r="IZV391" s="119"/>
      <c r="IZW391" s="104"/>
      <c r="IZX391" s="455"/>
      <c r="IZY391" s="104"/>
      <c r="IZZ391" s="104"/>
      <c r="JAA391" s="109"/>
      <c r="JAB391" s="104"/>
      <c r="JAC391" s="104"/>
      <c r="JAD391" s="119"/>
      <c r="JAE391" s="104"/>
      <c r="JAF391" s="455"/>
      <c r="JAG391" s="104"/>
      <c r="JAH391" s="104"/>
      <c r="JAI391" s="109"/>
      <c r="JAJ391" s="104"/>
      <c r="JAK391" s="104"/>
      <c r="JAL391" s="119"/>
      <c r="JAM391" s="104"/>
      <c r="JAN391" s="455"/>
      <c r="JAO391" s="104"/>
      <c r="JAP391" s="104"/>
      <c r="JAQ391" s="109"/>
      <c r="JAR391" s="104"/>
      <c r="JAS391" s="104"/>
      <c r="JAT391" s="119"/>
      <c r="JAU391" s="104"/>
      <c r="JAV391" s="455"/>
      <c r="JAW391" s="104"/>
      <c r="JAX391" s="104"/>
      <c r="JAY391" s="109"/>
      <c r="JAZ391" s="104"/>
      <c r="JBA391" s="104"/>
      <c r="JBB391" s="119"/>
      <c r="JBC391" s="104"/>
      <c r="JBD391" s="455"/>
      <c r="JBE391" s="104"/>
      <c r="JBF391" s="104"/>
      <c r="JBG391" s="109"/>
      <c r="JBH391" s="104"/>
      <c r="JBI391" s="104"/>
      <c r="JBJ391" s="119"/>
      <c r="JBK391" s="104"/>
      <c r="JBL391" s="455"/>
      <c r="JBM391" s="104"/>
      <c r="JBN391" s="104"/>
      <c r="JBO391" s="109"/>
      <c r="JBP391" s="104"/>
      <c r="JBQ391" s="104"/>
      <c r="JBR391" s="119"/>
      <c r="JBS391" s="104"/>
      <c r="JBT391" s="455"/>
      <c r="JBU391" s="104"/>
      <c r="JBV391" s="104"/>
      <c r="JBW391" s="109"/>
      <c r="JBX391" s="104"/>
      <c r="JBY391" s="104"/>
      <c r="JBZ391" s="119"/>
      <c r="JCA391" s="104"/>
      <c r="JCB391" s="455"/>
      <c r="JCC391" s="104"/>
      <c r="JCD391" s="104"/>
      <c r="JCE391" s="109"/>
      <c r="JCF391" s="104"/>
      <c r="JCG391" s="104"/>
      <c r="JCH391" s="119"/>
      <c r="JCI391" s="104"/>
      <c r="JCJ391" s="455"/>
      <c r="JCK391" s="104"/>
      <c r="JCL391" s="104"/>
      <c r="JCM391" s="109"/>
      <c r="JCN391" s="104"/>
      <c r="JCO391" s="104"/>
      <c r="JCP391" s="119"/>
      <c r="JCQ391" s="104"/>
      <c r="JCR391" s="455"/>
      <c r="JCS391" s="104"/>
      <c r="JCT391" s="104"/>
      <c r="JCU391" s="109"/>
      <c r="JCV391" s="104"/>
      <c r="JCW391" s="104"/>
      <c r="JCX391" s="119"/>
      <c r="JCY391" s="104"/>
      <c r="JCZ391" s="455"/>
      <c r="JDA391" s="104"/>
      <c r="JDB391" s="104"/>
      <c r="JDC391" s="109"/>
      <c r="JDD391" s="104"/>
      <c r="JDE391" s="104"/>
      <c r="JDF391" s="119"/>
      <c r="JDG391" s="104"/>
      <c r="JDH391" s="455"/>
      <c r="JDI391" s="104"/>
      <c r="JDJ391" s="104"/>
      <c r="JDK391" s="109"/>
      <c r="JDL391" s="104"/>
      <c r="JDM391" s="104"/>
      <c r="JDN391" s="119"/>
      <c r="JDO391" s="104"/>
      <c r="JDP391" s="455"/>
      <c r="JDQ391" s="104"/>
      <c r="JDR391" s="104"/>
      <c r="JDS391" s="109"/>
      <c r="JDT391" s="104"/>
      <c r="JDU391" s="104"/>
      <c r="JDV391" s="119"/>
      <c r="JDW391" s="104"/>
      <c r="JDX391" s="455"/>
      <c r="JDY391" s="104"/>
      <c r="JDZ391" s="104"/>
      <c r="JEA391" s="109"/>
      <c r="JEB391" s="104"/>
      <c r="JEC391" s="104"/>
      <c r="JED391" s="119"/>
      <c r="JEE391" s="104"/>
      <c r="JEF391" s="455"/>
      <c r="JEG391" s="104"/>
      <c r="JEH391" s="104"/>
      <c r="JEI391" s="109"/>
      <c r="JEJ391" s="104"/>
      <c r="JEK391" s="104"/>
      <c r="JEL391" s="119"/>
      <c r="JEM391" s="104"/>
      <c r="JEN391" s="455"/>
      <c r="JEO391" s="104"/>
      <c r="JEP391" s="104"/>
      <c r="JEQ391" s="109"/>
      <c r="JER391" s="104"/>
      <c r="JES391" s="104"/>
      <c r="JET391" s="119"/>
      <c r="JEU391" s="104"/>
      <c r="JEV391" s="455"/>
      <c r="JEW391" s="104"/>
      <c r="JEX391" s="104"/>
      <c r="JEY391" s="109"/>
      <c r="JEZ391" s="104"/>
      <c r="JFA391" s="104"/>
      <c r="JFB391" s="119"/>
      <c r="JFC391" s="104"/>
      <c r="JFD391" s="455"/>
      <c r="JFE391" s="104"/>
      <c r="JFF391" s="104"/>
      <c r="JFG391" s="109"/>
      <c r="JFH391" s="104"/>
      <c r="JFI391" s="104"/>
      <c r="JFJ391" s="119"/>
      <c r="JFK391" s="104"/>
      <c r="JFL391" s="455"/>
      <c r="JFM391" s="104"/>
      <c r="JFN391" s="104"/>
      <c r="JFO391" s="109"/>
      <c r="JFP391" s="104"/>
      <c r="JFQ391" s="104"/>
      <c r="JFR391" s="119"/>
      <c r="JFS391" s="104"/>
      <c r="JFT391" s="455"/>
      <c r="JFU391" s="104"/>
      <c r="JFV391" s="104"/>
      <c r="JFW391" s="109"/>
      <c r="JFX391" s="104"/>
      <c r="JFY391" s="104"/>
      <c r="JFZ391" s="119"/>
      <c r="JGA391" s="104"/>
      <c r="JGB391" s="455"/>
      <c r="JGC391" s="104"/>
      <c r="JGD391" s="104"/>
      <c r="JGE391" s="109"/>
      <c r="JGF391" s="104"/>
      <c r="JGG391" s="104"/>
      <c r="JGH391" s="119"/>
      <c r="JGI391" s="104"/>
      <c r="JGJ391" s="455"/>
      <c r="JGK391" s="104"/>
      <c r="JGL391" s="104"/>
      <c r="JGM391" s="109"/>
      <c r="JGN391" s="104"/>
      <c r="JGO391" s="104"/>
      <c r="JGP391" s="119"/>
      <c r="JGQ391" s="104"/>
      <c r="JGR391" s="455"/>
      <c r="JGS391" s="104"/>
      <c r="JGT391" s="104"/>
      <c r="JGU391" s="109"/>
      <c r="JGV391" s="104"/>
      <c r="JGW391" s="104"/>
      <c r="JGX391" s="119"/>
      <c r="JGY391" s="104"/>
      <c r="JGZ391" s="455"/>
      <c r="JHA391" s="104"/>
      <c r="JHB391" s="104"/>
      <c r="JHC391" s="109"/>
      <c r="JHD391" s="104"/>
      <c r="JHE391" s="104"/>
      <c r="JHF391" s="119"/>
      <c r="JHG391" s="104"/>
      <c r="JHH391" s="455"/>
      <c r="JHI391" s="104"/>
      <c r="JHJ391" s="104"/>
      <c r="JHK391" s="109"/>
      <c r="JHL391" s="104"/>
      <c r="JHM391" s="104"/>
      <c r="JHN391" s="119"/>
      <c r="JHO391" s="104"/>
      <c r="JHP391" s="455"/>
      <c r="JHQ391" s="104"/>
      <c r="JHR391" s="104"/>
      <c r="JHS391" s="109"/>
      <c r="JHT391" s="104"/>
      <c r="JHU391" s="104"/>
      <c r="JHV391" s="119"/>
      <c r="JHW391" s="104"/>
      <c r="JHX391" s="455"/>
      <c r="JHY391" s="104"/>
      <c r="JHZ391" s="104"/>
      <c r="JIA391" s="109"/>
      <c r="JIB391" s="104"/>
      <c r="JIC391" s="104"/>
      <c r="JID391" s="119"/>
      <c r="JIE391" s="104"/>
      <c r="JIF391" s="455"/>
      <c r="JIG391" s="104"/>
      <c r="JIH391" s="104"/>
      <c r="JII391" s="109"/>
      <c r="JIJ391" s="104"/>
      <c r="JIK391" s="104"/>
      <c r="JIL391" s="119"/>
      <c r="JIM391" s="104"/>
      <c r="JIN391" s="455"/>
      <c r="JIO391" s="104"/>
      <c r="JIP391" s="104"/>
      <c r="JIQ391" s="109"/>
      <c r="JIR391" s="104"/>
      <c r="JIS391" s="104"/>
      <c r="JIT391" s="119"/>
      <c r="JIU391" s="104"/>
      <c r="JIV391" s="455"/>
      <c r="JIW391" s="104"/>
      <c r="JIX391" s="104"/>
      <c r="JIY391" s="109"/>
      <c r="JIZ391" s="104"/>
      <c r="JJA391" s="104"/>
      <c r="JJB391" s="119"/>
      <c r="JJC391" s="104"/>
      <c r="JJD391" s="455"/>
      <c r="JJE391" s="104"/>
      <c r="JJF391" s="104"/>
      <c r="JJG391" s="109"/>
      <c r="JJH391" s="104"/>
      <c r="JJI391" s="104"/>
      <c r="JJJ391" s="119"/>
      <c r="JJK391" s="104"/>
      <c r="JJL391" s="455"/>
      <c r="JJM391" s="104"/>
      <c r="JJN391" s="104"/>
      <c r="JJO391" s="109"/>
      <c r="JJP391" s="104"/>
      <c r="JJQ391" s="104"/>
      <c r="JJR391" s="119"/>
      <c r="JJS391" s="104"/>
      <c r="JJT391" s="455"/>
      <c r="JJU391" s="104"/>
      <c r="JJV391" s="104"/>
      <c r="JJW391" s="109"/>
      <c r="JJX391" s="104"/>
      <c r="JJY391" s="104"/>
      <c r="JJZ391" s="119"/>
      <c r="JKA391" s="104"/>
      <c r="JKB391" s="455"/>
      <c r="JKC391" s="104"/>
      <c r="JKD391" s="104"/>
      <c r="JKE391" s="109"/>
      <c r="JKF391" s="104"/>
      <c r="JKG391" s="104"/>
      <c r="JKH391" s="119"/>
      <c r="JKI391" s="104"/>
      <c r="JKJ391" s="455"/>
      <c r="JKK391" s="104"/>
      <c r="JKL391" s="104"/>
      <c r="JKM391" s="109"/>
      <c r="JKN391" s="104"/>
      <c r="JKO391" s="104"/>
      <c r="JKP391" s="119"/>
      <c r="JKQ391" s="104"/>
      <c r="JKR391" s="455"/>
      <c r="JKS391" s="104"/>
      <c r="JKT391" s="104"/>
      <c r="JKU391" s="109"/>
      <c r="JKV391" s="104"/>
      <c r="JKW391" s="104"/>
      <c r="JKX391" s="119"/>
      <c r="JKY391" s="104"/>
      <c r="JKZ391" s="455"/>
      <c r="JLA391" s="104"/>
      <c r="JLB391" s="104"/>
      <c r="JLC391" s="109"/>
      <c r="JLD391" s="104"/>
      <c r="JLE391" s="104"/>
      <c r="JLF391" s="119"/>
      <c r="JLG391" s="104"/>
      <c r="JLH391" s="455"/>
      <c r="JLI391" s="104"/>
      <c r="JLJ391" s="104"/>
      <c r="JLK391" s="109"/>
      <c r="JLL391" s="104"/>
      <c r="JLM391" s="104"/>
      <c r="JLN391" s="119"/>
      <c r="JLO391" s="104"/>
      <c r="JLP391" s="455"/>
      <c r="JLQ391" s="104"/>
      <c r="JLR391" s="104"/>
      <c r="JLS391" s="109"/>
      <c r="JLT391" s="104"/>
      <c r="JLU391" s="104"/>
      <c r="JLV391" s="119"/>
      <c r="JLW391" s="104"/>
      <c r="JLX391" s="455"/>
      <c r="JLY391" s="104"/>
      <c r="JLZ391" s="104"/>
      <c r="JMA391" s="109"/>
      <c r="JMB391" s="104"/>
      <c r="JMC391" s="104"/>
      <c r="JMD391" s="119"/>
      <c r="JME391" s="104"/>
      <c r="JMF391" s="455"/>
      <c r="JMG391" s="104"/>
      <c r="JMH391" s="104"/>
      <c r="JMI391" s="109"/>
      <c r="JMJ391" s="104"/>
      <c r="JMK391" s="104"/>
      <c r="JML391" s="119"/>
      <c r="JMM391" s="104"/>
      <c r="JMN391" s="455"/>
      <c r="JMO391" s="104"/>
      <c r="JMP391" s="104"/>
      <c r="JMQ391" s="109"/>
      <c r="JMR391" s="104"/>
      <c r="JMS391" s="104"/>
      <c r="JMT391" s="119"/>
      <c r="JMU391" s="104"/>
      <c r="JMV391" s="455"/>
      <c r="JMW391" s="104"/>
      <c r="JMX391" s="104"/>
      <c r="JMY391" s="109"/>
      <c r="JMZ391" s="104"/>
      <c r="JNA391" s="104"/>
      <c r="JNB391" s="119"/>
      <c r="JNC391" s="104"/>
      <c r="JND391" s="455"/>
      <c r="JNE391" s="104"/>
      <c r="JNF391" s="104"/>
      <c r="JNG391" s="109"/>
      <c r="JNH391" s="104"/>
      <c r="JNI391" s="104"/>
      <c r="JNJ391" s="119"/>
      <c r="JNK391" s="104"/>
      <c r="JNL391" s="455"/>
      <c r="JNM391" s="104"/>
      <c r="JNN391" s="104"/>
      <c r="JNO391" s="109"/>
      <c r="JNP391" s="104"/>
      <c r="JNQ391" s="104"/>
      <c r="JNR391" s="119"/>
      <c r="JNS391" s="104"/>
      <c r="JNT391" s="455"/>
      <c r="JNU391" s="104"/>
      <c r="JNV391" s="104"/>
      <c r="JNW391" s="109"/>
      <c r="JNX391" s="104"/>
      <c r="JNY391" s="104"/>
      <c r="JNZ391" s="119"/>
      <c r="JOA391" s="104"/>
      <c r="JOB391" s="455"/>
      <c r="JOC391" s="104"/>
      <c r="JOD391" s="104"/>
      <c r="JOE391" s="109"/>
      <c r="JOF391" s="104"/>
      <c r="JOG391" s="104"/>
      <c r="JOH391" s="119"/>
      <c r="JOI391" s="104"/>
      <c r="JOJ391" s="455"/>
      <c r="JOK391" s="104"/>
      <c r="JOL391" s="104"/>
      <c r="JOM391" s="109"/>
      <c r="JON391" s="104"/>
      <c r="JOO391" s="104"/>
      <c r="JOP391" s="119"/>
      <c r="JOQ391" s="104"/>
      <c r="JOR391" s="455"/>
      <c r="JOS391" s="104"/>
      <c r="JOT391" s="104"/>
      <c r="JOU391" s="109"/>
      <c r="JOV391" s="104"/>
      <c r="JOW391" s="104"/>
      <c r="JOX391" s="119"/>
      <c r="JOY391" s="104"/>
      <c r="JOZ391" s="455"/>
      <c r="JPA391" s="104"/>
      <c r="JPB391" s="104"/>
      <c r="JPC391" s="109"/>
      <c r="JPD391" s="104"/>
      <c r="JPE391" s="104"/>
      <c r="JPF391" s="119"/>
      <c r="JPG391" s="104"/>
      <c r="JPH391" s="455"/>
      <c r="JPI391" s="104"/>
      <c r="JPJ391" s="104"/>
      <c r="JPK391" s="109"/>
      <c r="JPL391" s="104"/>
      <c r="JPM391" s="104"/>
      <c r="JPN391" s="119"/>
      <c r="JPO391" s="104"/>
      <c r="JPP391" s="455"/>
      <c r="JPQ391" s="104"/>
      <c r="JPR391" s="104"/>
      <c r="JPS391" s="109"/>
      <c r="JPT391" s="104"/>
      <c r="JPU391" s="104"/>
      <c r="JPV391" s="119"/>
      <c r="JPW391" s="104"/>
      <c r="JPX391" s="455"/>
      <c r="JPY391" s="104"/>
      <c r="JPZ391" s="104"/>
      <c r="JQA391" s="109"/>
      <c r="JQB391" s="104"/>
      <c r="JQC391" s="104"/>
      <c r="JQD391" s="119"/>
      <c r="JQE391" s="104"/>
      <c r="JQF391" s="455"/>
      <c r="JQG391" s="104"/>
      <c r="JQH391" s="104"/>
      <c r="JQI391" s="109"/>
      <c r="JQJ391" s="104"/>
      <c r="JQK391" s="104"/>
      <c r="JQL391" s="119"/>
      <c r="JQM391" s="104"/>
      <c r="JQN391" s="455"/>
      <c r="JQO391" s="104"/>
      <c r="JQP391" s="104"/>
      <c r="JQQ391" s="109"/>
      <c r="JQR391" s="104"/>
      <c r="JQS391" s="104"/>
      <c r="JQT391" s="119"/>
      <c r="JQU391" s="104"/>
      <c r="JQV391" s="455"/>
      <c r="JQW391" s="104"/>
      <c r="JQX391" s="104"/>
      <c r="JQY391" s="109"/>
      <c r="JQZ391" s="104"/>
      <c r="JRA391" s="104"/>
      <c r="JRB391" s="119"/>
      <c r="JRC391" s="104"/>
      <c r="JRD391" s="455"/>
      <c r="JRE391" s="104"/>
      <c r="JRF391" s="104"/>
      <c r="JRG391" s="109"/>
      <c r="JRH391" s="104"/>
      <c r="JRI391" s="104"/>
      <c r="JRJ391" s="119"/>
      <c r="JRK391" s="104"/>
      <c r="JRL391" s="455"/>
      <c r="JRM391" s="104"/>
      <c r="JRN391" s="104"/>
      <c r="JRO391" s="109"/>
      <c r="JRP391" s="104"/>
      <c r="JRQ391" s="104"/>
      <c r="JRR391" s="119"/>
      <c r="JRS391" s="104"/>
      <c r="JRT391" s="455"/>
      <c r="JRU391" s="104"/>
      <c r="JRV391" s="104"/>
      <c r="JRW391" s="109"/>
      <c r="JRX391" s="104"/>
      <c r="JRY391" s="104"/>
      <c r="JRZ391" s="119"/>
      <c r="JSA391" s="104"/>
      <c r="JSB391" s="455"/>
      <c r="JSC391" s="104"/>
      <c r="JSD391" s="104"/>
      <c r="JSE391" s="109"/>
      <c r="JSF391" s="104"/>
      <c r="JSG391" s="104"/>
      <c r="JSH391" s="119"/>
      <c r="JSI391" s="104"/>
      <c r="JSJ391" s="455"/>
      <c r="JSK391" s="104"/>
      <c r="JSL391" s="104"/>
      <c r="JSM391" s="109"/>
      <c r="JSN391" s="104"/>
      <c r="JSO391" s="104"/>
      <c r="JSP391" s="119"/>
      <c r="JSQ391" s="104"/>
      <c r="JSR391" s="455"/>
      <c r="JSS391" s="104"/>
      <c r="JST391" s="104"/>
      <c r="JSU391" s="109"/>
      <c r="JSV391" s="104"/>
      <c r="JSW391" s="104"/>
      <c r="JSX391" s="119"/>
      <c r="JSY391" s="104"/>
      <c r="JSZ391" s="455"/>
      <c r="JTA391" s="104"/>
      <c r="JTB391" s="104"/>
      <c r="JTC391" s="109"/>
      <c r="JTD391" s="104"/>
      <c r="JTE391" s="104"/>
      <c r="JTF391" s="119"/>
      <c r="JTG391" s="104"/>
      <c r="JTH391" s="455"/>
      <c r="JTI391" s="104"/>
      <c r="JTJ391" s="104"/>
      <c r="JTK391" s="109"/>
      <c r="JTL391" s="104"/>
      <c r="JTM391" s="104"/>
      <c r="JTN391" s="119"/>
      <c r="JTO391" s="104"/>
      <c r="JTP391" s="455"/>
      <c r="JTQ391" s="104"/>
      <c r="JTR391" s="104"/>
      <c r="JTS391" s="109"/>
      <c r="JTT391" s="104"/>
      <c r="JTU391" s="104"/>
      <c r="JTV391" s="119"/>
      <c r="JTW391" s="104"/>
      <c r="JTX391" s="455"/>
      <c r="JTY391" s="104"/>
      <c r="JTZ391" s="104"/>
      <c r="JUA391" s="109"/>
      <c r="JUB391" s="104"/>
      <c r="JUC391" s="104"/>
      <c r="JUD391" s="119"/>
      <c r="JUE391" s="104"/>
      <c r="JUF391" s="455"/>
      <c r="JUG391" s="104"/>
      <c r="JUH391" s="104"/>
      <c r="JUI391" s="109"/>
      <c r="JUJ391" s="104"/>
      <c r="JUK391" s="104"/>
      <c r="JUL391" s="119"/>
      <c r="JUM391" s="104"/>
      <c r="JUN391" s="455"/>
      <c r="JUO391" s="104"/>
      <c r="JUP391" s="104"/>
      <c r="JUQ391" s="109"/>
      <c r="JUR391" s="104"/>
      <c r="JUS391" s="104"/>
      <c r="JUT391" s="119"/>
      <c r="JUU391" s="104"/>
      <c r="JUV391" s="455"/>
      <c r="JUW391" s="104"/>
      <c r="JUX391" s="104"/>
      <c r="JUY391" s="109"/>
      <c r="JUZ391" s="104"/>
      <c r="JVA391" s="104"/>
      <c r="JVB391" s="119"/>
      <c r="JVC391" s="104"/>
      <c r="JVD391" s="455"/>
      <c r="JVE391" s="104"/>
      <c r="JVF391" s="104"/>
      <c r="JVG391" s="109"/>
      <c r="JVH391" s="104"/>
      <c r="JVI391" s="104"/>
      <c r="JVJ391" s="119"/>
      <c r="JVK391" s="104"/>
      <c r="JVL391" s="455"/>
      <c r="JVM391" s="104"/>
      <c r="JVN391" s="104"/>
      <c r="JVO391" s="109"/>
      <c r="JVP391" s="104"/>
      <c r="JVQ391" s="104"/>
      <c r="JVR391" s="119"/>
      <c r="JVS391" s="104"/>
      <c r="JVT391" s="455"/>
      <c r="JVU391" s="104"/>
      <c r="JVV391" s="104"/>
      <c r="JVW391" s="109"/>
      <c r="JVX391" s="104"/>
      <c r="JVY391" s="104"/>
      <c r="JVZ391" s="119"/>
      <c r="JWA391" s="104"/>
      <c r="JWB391" s="455"/>
      <c r="JWC391" s="104"/>
      <c r="JWD391" s="104"/>
      <c r="JWE391" s="109"/>
      <c r="JWF391" s="104"/>
      <c r="JWG391" s="104"/>
      <c r="JWH391" s="119"/>
      <c r="JWI391" s="104"/>
      <c r="JWJ391" s="455"/>
      <c r="JWK391" s="104"/>
      <c r="JWL391" s="104"/>
      <c r="JWM391" s="109"/>
      <c r="JWN391" s="104"/>
      <c r="JWO391" s="104"/>
      <c r="JWP391" s="119"/>
      <c r="JWQ391" s="104"/>
      <c r="JWR391" s="455"/>
      <c r="JWS391" s="104"/>
      <c r="JWT391" s="104"/>
      <c r="JWU391" s="109"/>
      <c r="JWV391" s="104"/>
      <c r="JWW391" s="104"/>
      <c r="JWX391" s="119"/>
      <c r="JWY391" s="104"/>
      <c r="JWZ391" s="455"/>
      <c r="JXA391" s="104"/>
      <c r="JXB391" s="104"/>
      <c r="JXC391" s="109"/>
      <c r="JXD391" s="104"/>
      <c r="JXE391" s="104"/>
      <c r="JXF391" s="119"/>
      <c r="JXG391" s="104"/>
      <c r="JXH391" s="455"/>
      <c r="JXI391" s="104"/>
      <c r="JXJ391" s="104"/>
      <c r="JXK391" s="109"/>
      <c r="JXL391" s="104"/>
      <c r="JXM391" s="104"/>
      <c r="JXN391" s="119"/>
      <c r="JXO391" s="104"/>
      <c r="JXP391" s="455"/>
      <c r="JXQ391" s="104"/>
      <c r="JXR391" s="104"/>
      <c r="JXS391" s="109"/>
      <c r="JXT391" s="104"/>
      <c r="JXU391" s="104"/>
      <c r="JXV391" s="119"/>
      <c r="JXW391" s="104"/>
      <c r="JXX391" s="455"/>
      <c r="JXY391" s="104"/>
      <c r="JXZ391" s="104"/>
      <c r="JYA391" s="109"/>
      <c r="JYB391" s="104"/>
      <c r="JYC391" s="104"/>
      <c r="JYD391" s="119"/>
      <c r="JYE391" s="104"/>
      <c r="JYF391" s="455"/>
      <c r="JYG391" s="104"/>
      <c r="JYH391" s="104"/>
      <c r="JYI391" s="109"/>
      <c r="JYJ391" s="104"/>
      <c r="JYK391" s="104"/>
      <c r="JYL391" s="119"/>
      <c r="JYM391" s="104"/>
      <c r="JYN391" s="455"/>
      <c r="JYO391" s="104"/>
      <c r="JYP391" s="104"/>
      <c r="JYQ391" s="109"/>
      <c r="JYR391" s="104"/>
      <c r="JYS391" s="104"/>
      <c r="JYT391" s="119"/>
      <c r="JYU391" s="104"/>
      <c r="JYV391" s="455"/>
      <c r="JYW391" s="104"/>
      <c r="JYX391" s="104"/>
      <c r="JYY391" s="109"/>
      <c r="JYZ391" s="104"/>
      <c r="JZA391" s="104"/>
      <c r="JZB391" s="119"/>
      <c r="JZC391" s="104"/>
      <c r="JZD391" s="455"/>
      <c r="JZE391" s="104"/>
      <c r="JZF391" s="104"/>
      <c r="JZG391" s="109"/>
      <c r="JZH391" s="104"/>
      <c r="JZI391" s="104"/>
      <c r="JZJ391" s="119"/>
      <c r="JZK391" s="104"/>
      <c r="JZL391" s="455"/>
      <c r="JZM391" s="104"/>
      <c r="JZN391" s="104"/>
      <c r="JZO391" s="109"/>
      <c r="JZP391" s="104"/>
      <c r="JZQ391" s="104"/>
      <c r="JZR391" s="119"/>
      <c r="JZS391" s="104"/>
      <c r="JZT391" s="455"/>
      <c r="JZU391" s="104"/>
      <c r="JZV391" s="104"/>
      <c r="JZW391" s="109"/>
      <c r="JZX391" s="104"/>
      <c r="JZY391" s="104"/>
      <c r="JZZ391" s="119"/>
      <c r="KAA391" s="104"/>
      <c r="KAB391" s="455"/>
      <c r="KAC391" s="104"/>
      <c r="KAD391" s="104"/>
      <c r="KAE391" s="109"/>
      <c r="KAF391" s="104"/>
      <c r="KAG391" s="104"/>
      <c r="KAH391" s="119"/>
      <c r="KAI391" s="104"/>
      <c r="KAJ391" s="455"/>
      <c r="KAK391" s="104"/>
      <c r="KAL391" s="104"/>
      <c r="KAM391" s="109"/>
      <c r="KAN391" s="104"/>
      <c r="KAO391" s="104"/>
      <c r="KAP391" s="119"/>
      <c r="KAQ391" s="104"/>
      <c r="KAR391" s="455"/>
      <c r="KAS391" s="104"/>
      <c r="KAT391" s="104"/>
      <c r="KAU391" s="109"/>
      <c r="KAV391" s="104"/>
      <c r="KAW391" s="104"/>
      <c r="KAX391" s="119"/>
      <c r="KAY391" s="104"/>
      <c r="KAZ391" s="455"/>
      <c r="KBA391" s="104"/>
      <c r="KBB391" s="104"/>
      <c r="KBC391" s="109"/>
      <c r="KBD391" s="104"/>
      <c r="KBE391" s="104"/>
      <c r="KBF391" s="119"/>
      <c r="KBG391" s="104"/>
      <c r="KBH391" s="455"/>
      <c r="KBI391" s="104"/>
      <c r="KBJ391" s="104"/>
      <c r="KBK391" s="109"/>
      <c r="KBL391" s="104"/>
      <c r="KBM391" s="104"/>
      <c r="KBN391" s="119"/>
      <c r="KBO391" s="104"/>
      <c r="KBP391" s="455"/>
      <c r="KBQ391" s="104"/>
      <c r="KBR391" s="104"/>
      <c r="KBS391" s="109"/>
      <c r="KBT391" s="104"/>
      <c r="KBU391" s="104"/>
      <c r="KBV391" s="119"/>
      <c r="KBW391" s="104"/>
      <c r="KBX391" s="455"/>
      <c r="KBY391" s="104"/>
      <c r="KBZ391" s="104"/>
      <c r="KCA391" s="109"/>
      <c r="KCB391" s="104"/>
      <c r="KCC391" s="104"/>
      <c r="KCD391" s="119"/>
      <c r="KCE391" s="104"/>
      <c r="KCF391" s="455"/>
      <c r="KCG391" s="104"/>
      <c r="KCH391" s="104"/>
      <c r="KCI391" s="109"/>
      <c r="KCJ391" s="104"/>
      <c r="KCK391" s="104"/>
      <c r="KCL391" s="119"/>
      <c r="KCM391" s="104"/>
      <c r="KCN391" s="455"/>
      <c r="KCO391" s="104"/>
      <c r="KCP391" s="104"/>
      <c r="KCQ391" s="109"/>
      <c r="KCR391" s="104"/>
      <c r="KCS391" s="104"/>
      <c r="KCT391" s="119"/>
      <c r="KCU391" s="104"/>
      <c r="KCV391" s="455"/>
      <c r="KCW391" s="104"/>
      <c r="KCX391" s="104"/>
      <c r="KCY391" s="109"/>
      <c r="KCZ391" s="104"/>
      <c r="KDA391" s="104"/>
      <c r="KDB391" s="119"/>
      <c r="KDC391" s="104"/>
      <c r="KDD391" s="455"/>
      <c r="KDE391" s="104"/>
      <c r="KDF391" s="104"/>
      <c r="KDG391" s="109"/>
      <c r="KDH391" s="104"/>
      <c r="KDI391" s="104"/>
      <c r="KDJ391" s="119"/>
      <c r="KDK391" s="104"/>
      <c r="KDL391" s="455"/>
      <c r="KDM391" s="104"/>
      <c r="KDN391" s="104"/>
      <c r="KDO391" s="109"/>
      <c r="KDP391" s="104"/>
      <c r="KDQ391" s="104"/>
      <c r="KDR391" s="119"/>
      <c r="KDS391" s="104"/>
      <c r="KDT391" s="455"/>
      <c r="KDU391" s="104"/>
      <c r="KDV391" s="104"/>
      <c r="KDW391" s="109"/>
      <c r="KDX391" s="104"/>
      <c r="KDY391" s="104"/>
      <c r="KDZ391" s="119"/>
      <c r="KEA391" s="104"/>
      <c r="KEB391" s="455"/>
      <c r="KEC391" s="104"/>
      <c r="KED391" s="104"/>
      <c r="KEE391" s="109"/>
      <c r="KEF391" s="104"/>
      <c r="KEG391" s="104"/>
      <c r="KEH391" s="119"/>
      <c r="KEI391" s="104"/>
      <c r="KEJ391" s="455"/>
      <c r="KEK391" s="104"/>
      <c r="KEL391" s="104"/>
      <c r="KEM391" s="109"/>
      <c r="KEN391" s="104"/>
      <c r="KEO391" s="104"/>
      <c r="KEP391" s="119"/>
      <c r="KEQ391" s="104"/>
      <c r="KER391" s="455"/>
      <c r="KES391" s="104"/>
      <c r="KET391" s="104"/>
      <c r="KEU391" s="109"/>
      <c r="KEV391" s="104"/>
      <c r="KEW391" s="104"/>
      <c r="KEX391" s="119"/>
      <c r="KEY391" s="104"/>
      <c r="KEZ391" s="455"/>
      <c r="KFA391" s="104"/>
      <c r="KFB391" s="104"/>
      <c r="KFC391" s="109"/>
      <c r="KFD391" s="104"/>
      <c r="KFE391" s="104"/>
      <c r="KFF391" s="119"/>
      <c r="KFG391" s="104"/>
      <c r="KFH391" s="455"/>
      <c r="KFI391" s="104"/>
      <c r="KFJ391" s="104"/>
      <c r="KFK391" s="109"/>
      <c r="KFL391" s="104"/>
      <c r="KFM391" s="104"/>
      <c r="KFN391" s="119"/>
      <c r="KFO391" s="104"/>
      <c r="KFP391" s="455"/>
      <c r="KFQ391" s="104"/>
      <c r="KFR391" s="104"/>
      <c r="KFS391" s="109"/>
      <c r="KFT391" s="104"/>
      <c r="KFU391" s="104"/>
      <c r="KFV391" s="119"/>
      <c r="KFW391" s="104"/>
      <c r="KFX391" s="455"/>
      <c r="KFY391" s="104"/>
      <c r="KFZ391" s="104"/>
      <c r="KGA391" s="109"/>
      <c r="KGB391" s="104"/>
      <c r="KGC391" s="104"/>
      <c r="KGD391" s="119"/>
      <c r="KGE391" s="104"/>
      <c r="KGF391" s="455"/>
      <c r="KGG391" s="104"/>
      <c r="KGH391" s="104"/>
      <c r="KGI391" s="109"/>
      <c r="KGJ391" s="104"/>
      <c r="KGK391" s="104"/>
      <c r="KGL391" s="119"/>
      <c r="KGM391" s="104"/>
      <c r="KGN391" s="455"/>
      <c r="KGO391" s="104"/>
      <c r="KGP391" s="104"/>
      <c r="KGQ391" s="109"/>
      <c r="KGR391" s="104"/>
      <c r="KGS391" s="104"/>
      <c r="KGT391" s="119"/>
      <c r="KGU391" s="104"/>
      <c r="KGV391" s="455"/>
      <c r="KGW391" s="104"/>
      <c r="KGX391" s="104"/>
      <c r="KGY391" s="109"/>
      <c r="KGZ391" s="104"/>
      <c r="KHA391" s="104"/>
      <c r="KHB391" s="119"/>
      <c r="KHC391" s="104"/>
      <c r="KHD391" s="455"/>
      <c r="KHE391" s="104"/>
      <c r="KHF391" s="104"/>
      <c r="KHG391" s="109"/>
      <c r="KHH391" s="104"/>
      <c r="KHI391" s="104"/>
      <c r="KHJ391" s="119"/>
      <c r="KHK391" s="104"/>
      <c r="KHL391" s="455"/>
      <c r="KHM391" s="104"/>
      <c r="KHN391" s="104"/>
      <c r="KHO391" s="109"/>
      <c r="KHP391" s="104"/>
      <c r="KHQ391" s="104"/>
      <c r="KHR391" s="119"/>
      <c r="KHS391" s="104"/>
      <c r="KHT391" s="455"/>
      <c r="KHU391" s="104"/>
      <c r="KHV391" s="104"/>
      <c r="KHW391" s="109"/>
      <c r="KHX391" s="104"/>
      <c r="KHY391" s="104"/>
      <c r="KHZ391" s="119"/>
      <c r="KIA391" s="104"/>
      <c r="KIB391" s="455"/>
      <c r="KIC391" s="104"/>
      <c r="KID391" s="104"/>
      <c r="KIE391" s="109"/>
      <c r="KIF391" s="104"/>
      <c r="KIG391" s="104"/>
      <c r="KIH391" s="119"/>
      <c r="KII391" s="104"/>
      <c r="KIJ391" s="455"/>
      <c r="KIK391" s="104"/>
      <c r="KIL391" s="104"/>
      <c r="KIM391" s="109"/>
      <c r="KIN391" s="104"/>
      <c r="KIO391" s="104"/>
      <c r="KIP391" s="119"/>
      <c r="KIQ391" s="104"/>
      <c r="KIR391" s="455"/>
      <c r="KIS391" s="104"/>
      <c r="KIT391" s="104"/>
      <c r="KIU391" s="109"/>
      <c r="KIV391" s="104"/>
      <c r="KIW391" s="104"/>
      <c r="KIX391" s="119"/>
      <c r="KIY391" s="104"/>
      <c r="KIZ391" s="455"/>
      <c r="KJA391" s="104"/>
      <c r="KJB391" s="104"/>
      <c r="KJC391" s="109"/>
      <c r="KJD391" s="104"/>
      <c r="KJE391" s="104"/>
      <c r="KJF391" s="119"/>
      <c r="KJG391" s="104"/>
      <c r="KJH391" s="455"/>
      <c r="KJI391" s="104"/>
      <c r="KJJ391" s="104"/>
      <c r="KJK391" s="109"/>
      <c r="KJL391" s="104"/>
      <c r="KJM391" s="104"/>
      <c r="KJN391" s="119"/>
      <c r="KJO391" s="104"/>
      <c r="KJP391" s="455"/>
      <c r="KJQ391" s="104"/>
      <c r="KJR391" s="104"/>
      <c r="KJS391" s="109"/>
      <c r="KJT391" s="104"/>
      <c r="KJU391" s="104"/>
      <c r="KJV391" s="119"/>
      <c r="KJW391" s="104"/>
      <c r="KJX391" s="455"/>
      <c r="KJY391" s="104"/>
      <c r="KJZ391" s="104"/>
      <c r="KKA391" s="109"/>
      <c r="KKB391" s="104"/>
      <c r="KKC391" s="104"/>
      <c r="KKD391" s="119"/>
      <c r="KKE391" s="104"/>
      <c r="KKF391" s="455"/>
      <c r="KKG391" s="104"/>
      <c r="KKH391" s="104"/>
      <c r="KKI391" s="109"/>
      <c r="KKJ391" s="104"/>
      <c r="KKK391" s="104"/>
      <c r="KKL391" s="119"/>
      <c r="KKM391" s="104"/>
      <c r="KKN391" s="455"/>
      <c r="KKO391" s="104"/>
      <c r="KKP391" s="104"/>
      <c r="KKQ391" s="109"/>
      <c r="KKR391" s="104"/>
      <c r="KKS391" s="104"/>
      <c r="KKT391" s="119"/>
      <c r="KKU391" s="104"/>
      <c r="KKV391" s="455"/>
      <c r="KKW391" s="104"/>
      <c r="KKX391" s="104"/>
      <c r="KKY391" s="109"/>
      <c r="KKZ391" s="104"/>
      <c r="KLA391" s="104"/>
      <c r="KLB391" s="119"/>
      <c r="KLC391" s="104"/>
      <c r="KLD391" s="455"/>
      <c r="KLE391" s="104"/>
      <c r="KLF391" s="104"/>
      <c r="KLG391" s="109"/>
      <c r="KLH391" s="104"/>
      <c r="KLI391" s="104"/>
      <c r="KLJ391" s="119"/>
      <c r="KLK391" s="104"/>
      <c r="KLL391" s="455"/>
      <c r="KLM391" s="104"/>
      <c r="KLN391" s="104"/>
      <c r="KLO391" s="109"/>
      <c r="KLP391" s="104"/>
      <c r="KLQ391" s="104"/>
      <c r="KLR391" s="119"/>
      <c r="KLS391" s="104"/>
      <c r="KLT391" s="455"/>
      <c r="KLU391" s="104"/>
      <c r="KLV391" s="104"/>
      <c r="KLW391" s="109"/>
      <c r="KLX391" s="104"/>
      <c r="KLY391" s="104"/>
      <c r="KLZ391" s="119"/>
      <c r="KMA391" s="104"/>
      <c r="KMB391" s="455"/>
      <c r="KMC391" s="104"/>
      <c r="KMD391" s="104"/>
      <c r="KME391" s="109"/>
      <c r="KMF391" s="104"/>
      <c r="KMG391" s="104"/>
      <c r="KMH391" s="119"/>
      <c r="KMI391" s="104"/>
      <c r="KMJ391" s="455"/>
      <c r="KMK391" s="104"/>
      <c r="KML391" s="104"/>
      <c r="KMM391" s="109"/>
      <c r="KMN391" s="104"/>
      <c r="KMO391" s="104"/>
      <c r="KMP391" s="119"/>
      <c r="KMQ391" s="104"/>
      <c r="KMR391" s="455"/>
      <c r="KMS391" s="104"/>
      <c r="KMT391" s="104"/>
      <c r="KMU391" s="109"/>
      <c r="KMV391" s="104"/>
      <c r="KMW391" s="104"/>
      <c r="KMX391" s="119"/>
      <c r="KMY391" s="104"/>
      <c r="KMZ391" s="455"/>
      <c r="KNA391" s="104"/>
      <c r="KNB391" s="104"/>
      <c r="KNC391" s="109"/>
      <c r="KND391" s="104"/>
      <c r="KNE391" s="104"/>
      <c r="KNF391" s="119"/>
      <c r="KNG391" s="104"/>
      <c r="KNH391" s="455"/>
      <c r="KNI391" s="104"/>
      <c r="KNJ391" s="104"/>
      <c r="KNK391" s="109"/>
      <c r="KNL391" s="104"/>
      <c r="KNM391" s="104"/>
      <c r="KNN391" s="119"/>
      <c r="KNO391" s="104"/>
      <c r="KNP391" s="455"/>
      <c r="KNQ391" s="104"/>
      <c r="KNR391" s="104"/>
      <c r="KNS391" s="109"/>
      <c r="KNT391" s="104"/>
      <c r="KNU391" s="104"/>
      <c r="KNV391" s="119"/>
      <c r="KNW391" s="104"/>
      <c r="KNX391" s="455"/>
      <c r="KNY391" s="104"/>
      <c r="KNZ391" s="104"/>
      <c r="KOA391" s="109"/>
      <c r="KOB391" s="104"/>
      <c r="KOC391" s="104"/>
      <c r="KOD391" s="119"/>
      <c r="KOE391" s="104"/>
      <c r="KOF391" s="455"/>
      <c r="KOG391" s="104"/>
      <c r="KOH391" s="104"/>
      <c r="KOI391" s="109"/>
      <c r="KOJ391" s="104"/>
      <c r="KOK391" s="104"/>
      <c r="KOL391" s="119"/>
      <c r="KOM391" s="104"/>
      <c r="KON391" s="455"/>
      <c r="KOO391" s="104"/>
      <c r="KOP391" s="104"/>
      <c r="KOQ391" s="109"/>
      <c r="KOR391" s="104"/>
      <c r="KOS391" s="104"/>
      <c r="KOT391" s="119"/>
      <c r="KOU391" s="104"/>
      <c r="KOV391" s="455"/>
      <c r="KOW391" s="104"/>
      <c r="KOX391" s="104"/>
      <c r="KOY391" s="109"/>
      <c r="KOZ391" s="104"/>
      <c r="KPA391" s="104"/>
      <c r="KPB391" s="119"/>
      <c r="KPC391" s="104"/>
      <c r="KPD391" s="455"/>
      <c r="KPE391" s="104"/>
      <c r="KPF391" s="104"/>
      <c r="KPG391" s="109"/>
      <c r="KPH391" s="104"/>
      <c r="KPI391" s="104"/>
      <c r="KPJ391" s="119"/>
      <c r="KPK391" s="104"/>
      <c r="KPL391" s="455"/>
      <c r="KPM391" s="104"/>
      <c r="KPN391" s="104"/>
      <c r="KPO391" s="109"/>
      <c r="KPP391" s="104"/>
      <c r="KPQ391" s="104"/>
      <c r="KPR391" s="119"/>
      <c r="KPS391" s="104"/>
      <c r="KPT391" s="455"/>
      <c r="KPU391" s="104"/>
      <c r="KPV391" s="104"/>
      <c r="KPW391" s="109"/>
      <c r="KPX391" s="104"/>
      <c r="KPY391" s="104"/>
      <c r="KPZ391" s="119"/>
      <c r="KQA391" s="104"/>
      <c r="KQB391" s="455"/>
      <c r="KQC391" s="104"/>
      <c r="KQD391" s="104"/>
      <c r="KQE391" s="109"/>
      <c r="KQF391" s="104"/>
      <c r="KQG391" s="104"/>
      <c r="KQH391" s="119"/>
      <c r="KQI391" s="104"/>
      <c r="KQJ391" s="455"/>
      <c r="KQK391" s="104"/>
      <c r="KQL391" s="104"/>
      <c r="KQM391" s="109"/>
      <c r="KQN391" s="104"/>
      <c r="KQO391" s="104"/>
      <c r="KQP391" s="119"/>
      <c r="KQQ391" s="104"/>
      <c r="KQR391" s="455"/>
      <c r="KQS391" s="104"/>
      <c r="KQT391" s="104"/>
      <c r="KQU391" s="109"/>
      <c r="KQV391" s="104"/>
      <c r="KQW391" s="104"/>
      <c r="KQX391" s="119"/>
      <c r="KQY391" s="104"/>
      <c r="KQZ391" s="455"/>
      <c r="KRA391" s="104"/>
      <c r="KRB391" s="104"/>
      <c r="KRC391" s="109"/>
      <c r="KRD391" s="104"/>
      <c r="KRE391" s="104"/>
      <c r="KRF391" s="119"/>
      <c r="KRG391" s="104"/>
      <c r="KRH391" s="455"/>
      <c r="KRI391" s="104"/>
      <c r="KRJ391" s="104"/>
      <c r="KRK391" s="109"/>
      <c r="KRL391" s="104"/>
      <c r="KRM391" s="104"/>
      <c r="KRN391" s="119"/>
      <c r="KRO391" s="104"/>
      <c r="KRP391" s="455"/>
      <c r="KRQ391" s="104"/>
      <c r="KRR391" s="104"/>
      <c r="KRS391" s="109"/>
      <c r="KRT391" s="104"/>
      <c r="KRU391" s="104"/>
      <c r="KRV391" s="119"/>
      <c r="KRW391" s="104"/>
      <c r="KRX391" s="455"/>
      <c r="KRY391" s="104"/>
      <c r="KRZ391" s="104"/>
      <c r="KSA391" s="109"/>
      <c r="KSB391" s="104"/>
      <c r="KSC391" s="104"/>
      <c r="KSD391" s="119"/>
      <c r="KSE391" s="104"/>
      <c r="KSF391" s="455"/>
      <c r="KSG391" s="104"/>
      <c r="KSH391" s="104"/>
      <c r="KSI391" s="109"/>
      <c r="KSJ391" s="104"/>
      <c r="KSK391" s="104"/>
      <c r="KSL391" s="119"/>
      <c r="KSM391" s="104"/>
      <c r="KSN391" s="455"/>
      <c r="KSO391" s="104"/>
      <c r="KSP391" s="104"/>
      <c r="KSQ391" s="109"/>
      <c r="KSR391" s="104"/>
      <c r="KSS391" s="104"/>
      <c r="KST391" s="119"/>
      <c r="KSU391" s="104"/>
      <c r="KSV391" s="455"/>
      <c r="KSW391" s="104"/>
      <c r="KSX391" s="104"/>
      <c r="KSY391" s="109"/>
      <c r="KSZ391" s="104"/>
      <c r="KTA391" s="104"/>
      <c r="KTB391" s="119"/>
      <c r="KTC391" s="104"/>
      <c r="KTD391" s="455"/>
      <c r="KTE391" s="104"/>
      <c r="KTF391" s="104"/>
      <c r="KTG391" s="109"/>
      <c r="KTH391" s="104"/>
      <c r="KTI391" s="104"/>
      <c r="KTJ391" s="119"/>
      <c r="KTK391" s="104"/>
      <c r="KTL391" s="455"/>
      <c r="KTM391" s="104"/>
      <c r="KTN391" s="104"/>
      <c r="KTO391" s="109"/>
      <c r="KTP391" s="104"/>
      <c r="KTQ391" s="104"/>
      <c r="KTR391" s="119"/>
      <c r="KTS391" s="104"/>
      <c r="KTT391" s="455"/>
      <c r="KTU391" s="104"/>
      <c r="KTV391" s="104"/>
      <c r="KTW391" s="109"/>
      <c r="KTX391" s="104"/>
      <c r="KTY391" s="104"/>
      <c r="KTZ391" s="119"/>
      <c r="KUA391" s="104"/>
      <c r="KUB391" s="455"/>
      <c r="KUC391" s="104"/>
      <c r="KUD391" s="104"/>
      <c r="KUE391" s="109"/>
      <c r="KUF391" s="104"/>
      <c r="KUG391" s="104"/>
      <c r="KUH391" s="119"/>
      <c r="KUI391" s="104"/>
      <c r="KUJ391" s="455"/>
      <c r="KUK391" s="104"/>
      <c r="KUL391" s="104"/>
      <c r="KUM391" s="109"/>
      <c r="KUN391" s="104"/>
      <c r="KUO391" s="104"/>
      <c r="KUP391" s="119"/>
      <c r="KUQ391" s="104"/>
      <c r="KUR391" s="455"/>
      <c r="KUS391" s="104"/>
      <c r="KUT391" s="104"/>
      <c r="KUU391" s="109"/>
      <c r="KUV391" s="104"/>
      <c r="KUW391" s="104"/>
      <c r="KUX391" s="119"/>
      <c r="KUY391" s="104"/>
      <c r="KUZ391" s="455"/>
      <c r="KVA391" s="104"/>
      <c r="KVB391" s="104"/>
      <c r="KVC391" s="109"/>
      <c r="KVD391" s="104"/>
      <c r="KVE391" s="104"/>
      <c r="KVF391" s="119"/>
      <c r="KVG391" s="104"/>
      <c r="KVH391" s="455"/>
      <c r="KVI391" s="104"/>
      <c r="KVJ391" s="104"/>
      <c r="KVK391" s="109"/>
      <c r="KVL391" s="104"/>
      <c r="KVM391" s="104"/>
      <c r="KVN391" s="119"/>
      <c r="KVO391" s="104"/>
      <c r="KVP391" s="455"/>
      <c r="KVQ391" s="104"/>
      <c r="KVR391" s="104"/>
      <c r="KVS391" s="109"/>
      <c r="KVT391" s="104"/>
      <c r="KVU391" s="104"/>
      <c r="KVV391" s="119"/>
      <c r="KVW391" s="104"/>
      <c r="KVX391" s="455"/>
      <c r="KVY391" s="104"/>
      <c r="KVZ391" s="104"/>
      <c r="KWA391" s="109"/>
      <c r="KWB391" s="104"/>
      <c r="KWC391" s="104"/>
      <c r="KWD391" s="119"/>
      <c r="KWE391" s="104"/>
      <c r="KWF391" s="455"/>
      <c r="KWG391" s="104"/>
      <c r="KWH391" s="104"/>
      <c r="KWI391" s="109"/>
      <c r="KWJ391" s="104"/>
      <c r="KWK391" s="104"/>
      <c r="KWL391" s="119"/>
      <c r="KWM391" s="104"/>
      <c r="KWN391" s="455"/>
      <c r="KWO391" s="104"/>
      <c r="KWP391" s="104"/>
      <c r="KWQ391" s="109"/>
      <c r="KWR391" s="104"/>
      <c r="KWS391" s="104"/>
      <c r="KWT391" s="119"/>
      <c r="KWU391" s="104"/>
      <c r="KWV391" s="455"/>
      <c r="KWW391" s="104"/>
      <c r="KWX391" s="104"/>
      <c r="KWY391" s="109"/>
      <c r="KWZ391" s="104"/>
      <c r="KXA391" s="104"/>
      <c r="KXB391" s="119"/>
      <c r="KXC391" s="104"/>
      <c r="KXD391" s="455"/>
      <c r="KXE391" s="104"/>
      <c r="KXF391" s="104"/>
      <c r="KXG391" s="109"/>
      <c r="KXH391" s="104"/>
      <c r="KXI391" s="104"/>
      <c r="KXJ391" s="119"/>
      <c r="KXK391" s="104"/>
      <c r="KXL391" s="455"/>
      <c r="KXM391" s="104"/>
      <c r="KXN391" s="104"/>
      <c r="KXO391" s="109"/>
      <c r="KXP391" s="104"/>
      <c r="KXQ391" s="104"/>
      <c r="KXR391" s="119"/>
      <c r="KXS391" s="104"/>
      <c r="KXT391" s="455"/>
      <c r="KXU391" s="104"/>
      <c r="KXV391" s="104"/>
      <c r="KXW391" s="109"/>
      <c r="KXX391" s="104"/>
      <c r="KXY391" s="104"/>
      <c r="KXZ391" s="119"/>
      <c r="KYA391" s="104"/>
      <c r="KYB391" s="455"/>
      <c r="KYC391" s="104"/>
      <c r="KYD391" s="104"/>
      <c r="KYE391" s="109"/>
      <c r="KYF391" s="104"/>
      <c r="KYG391" s="104"/>
      <c r="KYH391" s="119"/>
      <c r="KYI391" s="104"/>
      <c r="KYJ391" s="455"/>
      <c r="KYK391" s="104"/>
      <c r="KYL391" s="104"/>
      <c r="KYM391" s="109"/>
      <c r="KYN391" s="104"/>
      <c r="KYO391" s="104"/>
      <c r="KYP391" s="119"/>
      <c r="KYQ391" s="104"/>
      <c r="KYR391" s="455"/>
      <c r="KYS391" s="104"/>
      <c r="KYT391" s="104"/>
      <c r="KYU391" s="109"/>
      <c r="KYV391" s="104"/>
      <c r="KYW391" s="104"/>
      <c r="KYX391" s="119"/>
      <c r="KYY391" s="104"/>
      <c r="KYZ391" s="455"/>
      <c r="KZA391" s="104"/>
      <c r="KZB391" s="104"/>
      <c r="KZC391" s="109"/>
      <c r="KZD391" s="104"/>
      <c r="KZE391" s="104"/>
      <c r="KZF391" s="119"/>
      <c r="KZG391" s="104"/>
      <c r="KZH391" s="455"/>
      <c r="KZI391" s="104"/>
      <c r="KZJ391" s="104"/>
      <c r="KZK391" s="109"/>
      <c r="KZL391" s="104"/>
      <c r="KZM391" s="104"/>
      <c r="KZN391" s="119"/>
      <c r="KZO391" s="104"/>
      <c r="KZP391" s="455"/>
      <c r="KZQ391" s="104"/>
      <c r="KZR391" s="104"/>
      <c r="KZS391" s="109"/>
      <c r="KZT391" s="104"/>
      <c r="KZU391" s="104"/>
      <c r="KZV391" s="119"/>
      <c r="KZW391" s="104"/>
      <c r="KZX391" s="455"/>
      <c r="KZY391" s="104"/>
      <c r="KZZ391" s="104"/>
      <c r="LAA391" s="109"/>
      <c r="LAB391" s="104"/>
      <c r="LAC391" s="104"/>
      <c r="LAD391" s="119"/>
      <c r="LAE391" s="104"/>
      <c r="LAF391" s="455"/>
      <c r="LAG391" s="104"/>
      <c r="LAH391" s="104"/>
      <c r="LAI391" s="109"/>
      <c r="LAJ391" s="104"/>
      <c r="LAK391" s="104"/>
      <c r="LAL391" s="119"/>
      <c r="LAM391" s="104"/>
      <c r="LAN391" s="455"/>
      <c r="LAO391" s="104"/>
      <c r="LAP391" s="104"/>
      <c r="LAQ391" s="109"/>
      <c r="LAR391" s="104"/>
      <c r="LAS391" s="104"/>
      <c r="LAT391" s="119"/>
      <c r="LAU391" s="104"/>
      <c r="LAV391" s="455"/>
      <c r="LAW391" s="104"/>
      <c r="LAX391" s="104"/>
      <c r="LAY391" s="109"/>
      <c r="LAZ391" s="104"/>
      <c r="LBA391" s="104"/>
      <c r="LBB391" s="119"/>
      <c r="LBC391" s="104"/>
      <c r="LBD391" s="455"/>
      <c r="LBE391" s="104"/>
      <c r="LBF391" s="104"/>
      <c r="LBG391" s="109"/>
      <c r="LBH391" s="104"/>
      <c r="LBI391" s="104"/>
      <c r="LBJ391" s="119"/>
      <c r="LBK391" s="104"/>
      <c r="LBL391" s="455"/>
      <c r="LBM391" s="104"/>
      <c r="LBN391" s="104"/>
      <c r="LBO391" s="109"/>
      <c r="LBP391" s="104"/>
      <c r="LBQ391" s="104"/>
      <c r="LBR391" s="119"/>
      <c r="LBS391" s="104"/>
      <c r="LBT391" s="455"/>
      <c r="LBU391" s="104"/>
      <c r="LBV391" s="104"/>
      <c r="LBW391" s="109"/>
      <c r="LBX391" s="104"/>
      <c r="LBY391" s="104"/>
      <c r="LBZ391" s="119"/>
      <c r="LCA391" s="104"/>
      <c r="LCB391" s="455"/>
      <c r="LCC391" s="104"/>
      <c r="LCD391" s="104"/>
      <c r="LCE391" s="109"/>
      <c r="LCF391" s="104"/>
      <c r="LCG391" s="104"/>
      <c r="LCH391" s="119"/>
      <c r="LCI391" s="104"/>
      <c r="LCJ391" s="455"/>
      <c r="LCK391" s="104"/>
      <c r="LCL391" s="104"/>
      <c r="LCM391" s="109"/>
      <c r="LCN391" s="104"/>
      <c r="LCO391" s="104"/>
      <c r="LCP391" s="119"/>
      <c r="LCQ391" s="104"/>
      <c r="LCR391" s="455"/>
      <c r="LCS391" s="104"/>
      <c r="LCT391" s="104"/>
      <c r="LCU391" s="109"/>
      <c r="LCV391" s="104"/>
      <c r="LCW391" s="104"/>
      <c r="LCX391" s="119"/>
      <c r="LCY391" s="104"/>
      <c r="LCZ391" s="455"/>
      <c r="LDA391" s="104"/>
      <c r="LDB391" s="104"/>
      <c r="LDC391" s="109"/>
      <c r="LDD391" s="104"/>
      <c r="LDE391" s="104"/>
      <c r="LDF391" s="119"/>
      <c r="LDG391" s="104"/>
      <c r="LDH391" s="455"/>
      <c r="LDI391" s="104"/>
      <c r="LDJ391" s="104"/>
      <c r="LDK391" s="109"/>
      <c r="LDL391" s="104"/>
      <c r="LDM391" s="104"/>
      <c r="LDN391" s="119"/>
      <c r="LDO391" s="104"/>
      <c r="LDP391" s="455"/>
      <c r="LDQ391" s="104"/>
      <c r="LDR391" s="104"/>
      <c r="LDS391" s="109"/>
      <c r="LDT391" s="104"/>
      <c r="LDU391" s="104"/>
      <c r="LDV391" s="119"/>
      <c r="LDW391" s="104"/>
      <c r="LDX391" s="455"/>
      <c r="LDY391" s="104"/>
      <c r="LDZ391" s="104"/>
      <c r="LEA391" s="109"/>
      <c r="LEB391" s="104"/>
      <c r="LEC391" s="104"/>
      <c r="LED391" s="119"/>
      <c r="LEE391" s="104"/>
      <c r="LEF391" s="455"/>
      <c r="LEG391" s="104"/>
      <c r="LEH391" s="104"/>
      <c r="LEI391" s="109"/>
      <c r="LEJ391" s="104"/>
      <c r="LEK391" s="104"/>
      <c r="LEL391" s="119"/>
      <c r="LEM391" s="104"/>
      <c r="LEN391" s="455"/>
      <c r="LEO391" s="104"/>
      <c r="LEP391" s="104"/>
      <c r="LEQ391" s="109"/>
      <c r="LER391" s="104"/>
      <c r="LES391" s="104"/>
      <c r="LET391" s="119"/>
      <c r="LEU391" s="104"/>
      <c r="LEV391" s="455"/>
      <c r="LEW391" s="104"/>
      <c r="LEX391" s="104"/>
      <c r="LEY391" s="109"/>
      <c r="LEZ391" s="104"/>
      <c r="LFA391" s="104"/>
      <c r="LFB391" s="119"/>
      <c r="LFC391" s="104"/>
      <c r="LFD391" s="455"/>
      <c r="LFE391" s="104"/>
      <c r="LFF391" s="104"/>
      <c r="LFG391" s="109"/>
      <c r="LFH391" s="104"/>
      <c r="LFI391" s="104"/>
      <c r="LFJ391" s="119"/>
      <c r="LFK391" s="104"/>
      <c r="LFL391" s="455"/>
      <c r="LFM391" s="104"/>
      <c r="LFN391" s="104"/>
      <c r="LFO391" s="109"/>
      <c r="LFP391" s="104"/>
      <c r="LFQ391" s="104"/>
      <c r="LFR391" s="119"/>
      <c r="LFS391" s="104"/>
      <c r="LFT391" s="455"/>
      <c r="LFU391" s="104"/>
      <c r="LFV391" s="104"/>
      <c r="LFW391" s="109"/>
      <c r="LFX391" s="104"/>
      <c r="LFY391" s="104"/>
      <c r="LFZ391" s="119"/>
      <c r="LGA391" s="104"/>
      <c r="LGB391" s="455"/>
      <c r="LGC391" s="104"/>
      <c r="LGD391" s="104"/>
      <c r="LGE391" s="109"/>
      <c r="LGF391" s="104"/>
      <c r="LGG391" s="104"/>
      <c r="LGH391" s="119"/>
      <c r="LGI391" s="104"/>
      <c r="LGJ391" s="455"/>
      <c r="LGK391" s="104"/>
      <c r="LGL391" s="104"/>
      <c r="LGM391" s="109"/>
      <c r="LGN391" s="104"/>
      <c r="LGO391" s="104"/>
      <c r="LGP391" s="119"/>
      <c r="LGQ391" s="104"/>
      <c r="LGR391" s="455"/>
      <c r="LGS391" s="104"/>
      <c r="LGT391" s="104"/>
      <c r="LGU391" s="109"/>
      <c r="LGV391" s="104"/>
      <c r="LGW391" s="104"/>
      <c r="LGX391" s="119"/>
      <c r="LGY391" s="104"/>
      <c r="LGZ391" s="455"/>
      <c r="LHA391" s="104"/>
      <c r="LHB391" s="104"/>
      <c r="LHC391" s="109"/>
      <c r="LHD391" s="104"/>
      <c r="LHE391" s="104"/>
      <c r="LHF391" s="119"/>
      <c r="LHG391" s="104"/>
      <c r="LHH391" s="455"/>
      <c r="LHI391" s="104"/>
      <c r="LHJ391" s="104"/>
      <c r="LHK391" s="109"/>
      <c r="LHL391" s="104"/>
      <c r="LHM391" s="104"/>
      <c r="LHN391" s="119"/>
      <c r="LHO391" s="104"/>
      <c r="LHP391" s="455"/>
      <c r="LHQ391" s="104"/>
      <c r="LHR391" s="104"/>
      <c r="LHS391" s="109"/>
      <c r="LHT391" s="104"/>
      <c r="LHU391" s="104"/>
      <c r="LHV391" s="119"/>
      <c r="LHW391" s="104"/>
      <c r="LHX391" s="455"/>
      <c r="LHY391" s="104"/>
      <c r="LHZ391" s="104"/>
      <c r="LIA391" s="109"/>
      <c r="LIB391" s="104"/>
      <c r="LIC391" s="104"/>
      <c r="LID391" s="119"/>
      <c r="LIE391" s="104"/>
      <c r="LIF391" s="455"/>
      <c r="LIG391" s="104"/>
      <c r="LIH391" s="104"/>
      <c r="LII391" s="109"/>
      <c r="LIJ391" s="104"/>
      <c r="LIK391" s="104"/>
      <c r="LIL391" s="119"/>
      <c r="LIM391" s="104"/>
      <c r="LIN391" s="455"/>
      <c r="LIO391" s="104"/>
      <c r="LIP391" s="104"/>
      <c r="LIQ391" s="109"/>
      <c r="LIR391" s="104"/>
      <c r="LIS391" s="104"/>
      <c r="LIT391" s="119"/>
      <c r="LIU391" s="104"/>
      <c r="LIV391" s="455"/>
      <c r="LIW391" s="104"/>
      <c r="LIX391" s="104"/>
      <c r="LIY391" s="109"/>
      <c r="LIZ391" s="104"/>
      <c r="LJA391" s="104"/>
      <c r="LJB391" s="119"/>
      <c r="LJC391" s="104"/>
      <c r="LJD391" s="455"/>
      <c r="LJE391" s="104"/>
      <c r="LJF391" s="104"/>
      <c r="LJG391" s="109"/>
      <c r="LJH391" s="104"/>
      <c r="LJI391" s="104"/>
      <c r="LJJ391" s="119"/>
      <c r="LJK391" s="104"/>
      <c r="LJL391" s="455"/>
      <c r="LJM391" s="104"/>
      <c r="LJN391" s="104"/>
      <c r="LJO391" s="109"/>
      <c r="LJP391" s="104"/>
      <c r="LJQ391" s="104"/>
      <c r="LJR391" s="119"/>
      <c r="LJS391" s="104"/>
      <c r="LJT391" s="455"/>
      <c r="LJU391" s="104"/>
      <c r="LJV391" s="104"/>
      <c r="LJW391" s="109"/>
      <c r="LJX391" s="104"/>
      <c r="LJY391" s="104"/>
      <c r="LJZ391" s="119"/>
      <c r="LKA391" s="104"/>
      <c r="LKB391" s="455"/>
      <c r="LKC391" s="104"/>
      <c r="LKD391" s="104"/>
      <c r="LKE391" s="109"/>
      <c r="LKF391" s="104"/>
      <c r="LKG391" s="104"/>
      <c r="LKH391" s="119"/>
      <c r="LKI391" s="104"/>
      <c r="LKJ391" s="455"/>
      <c r="LKK391" s="104"/>
      <c r="LKL391" s="104"/>
      <c r="LKM391" s="109"/>
      <c r="LKN391" s="104"/>
      <c r="LKO391" s="104"/>
      <c r="LKP391" s="119"/>
      <c r="LKQ391" s="104"/>
      <c r="LKR391" s="455"/>
      <c r="LKS391" s="104"/>
      <c r="LKT391" s="104"/>
      <c r="LKU391" s="109"/>
      <c r="LKV391" s="104"/>
      <c r="LKW391" s="104"/>
      <c r="LKX391" s="119"/>
      <c r="LKY391" s="104"/>
      <c r="LKZ391" s="455"/>
      <c r="LLA391" s="104"/>
      <c r="LLB391" s="104"/>
      <c r="LLC391" s="109"/>
      <c r="LLD391" s="104"/>
      <c r="LLE391" s="104"/>
      <c r="LLF391" s="119"/>
      <c r="LLG391" s="104"/>
      <c r="LLH391" s="455"/>
      <c r="LLI391" s="104"/>
      <c r="LLJ391" s="104"/>
      <c r="LLK391" s="109"/>
      <c r="LLL391" s="104"/>
      <c r="LLM391" s="104"/>
      <c r="LLN391" s="119"/>
      <c r="LLO391" s="104"/>
      <c r="LLP391" s="455"/>
      <c r="LLQ391" s="104"/>
      <c r="LLR391" s="104"/>
      <c r="LLS391" s="109"/>
      <c r="LLT391" s="104"/>
      <c r="LLU391" s="104"/>
      <c r="LLV391" s="119"/>
      <c r="LLW391" s="104"/>
      <c r="LLX391" s="455"/>
      <c r="LLY391" s="104"/>
      <c r="LLZ391" s="104"/>
      <c r="LMA391" s="109"/>
      <c r="LMB391" s="104"/>
      <c r="LMC391" s="104"/>
      <c r="LMD391" s="119"/>
      <c r="LME391" s="104"/>
      <c r="LMF391" s="455"/>
      <c r="LMG391" s="104"/>
      <c r="LMH391" s="104"/>
      <c r="LMI391" s="109"/>
      <c r="LMJ391" s="104"/>
      <c r="LMK391" s="104"/>
      <c r="LML391" s="119"/>
      <c r="LMM391" s="104"/>
      <c r="LMN391" s="455"/>
      <c r="LMO391" s="104"/>
      <c r="LMP391" s="104"/>
      <c r="LMQ391" s="109"/>
      <c r="LMR391" s="104"/>
      <c r="LMS391" s="104"/>
      <c r="LMT391" s="119"/>
      <c r="LMU391" s="104"/>
      <c r="LMV391" s="455"/>
      <c r="LMW391" s="104"/>
      <c r="LMX391" s="104"/>
      <c r="LMY391" s="109"/>
      <c r="LMZ391" s="104"/>
      <c r="LNA391" s="104"/>
      <c r="LNB391" s="119"/>
      <c r="LNC391" s="104"/>
      <c r="LND391" s="455"/>
      <c r="LNE391" s="104"/>
      <c r="LNF391" s="104"/>
      <c r="LNG391" s="109"/>
      <c r="LNH391" s="104"/>
      <c r="LNI391" s="104"/>
      <c r="LNJ391" s="119"/>
      <c r="LNK391" s="104"/>
      <c r="LNL391" s="455"/>
      <c r="LNM391" s="104"/>
      <c r="LNN391" s="104"/>
      <c r="LNO391" s="109"/>
      <c r="LNP391" s="104"/>
      <c r="LNQ391" s="104"/>
      <c r="LNR391" s="119"/>
      <c r="LNS391" s="104"/>
      <c r="LNT391" s="455"/>
      <c r="LNU391" s="104"/>
      <c r="LNV391" s="104"/>
      <c r="LNW391" s="109"/>
      <c r="LNX391" s="104"/>
      <c r="LNY391" s="104"/>
      <c r="LNZ391" s="119"/>
      <c r="LOA391" s="104"/>
      <c r="LOB391" s="455"/>
      <c r="LOC391" s="104"/>
      <c r="LOD391" s="104"/>
      <c r="LOE391" s="109"/>
      <c r="LOF391" s="104"/>
      <c r="LOG391" s="104"/>
      <c r="LOH391" s="119"/>
      <c r="LOI391" s="104"/>
      <c r="LOJ391" s="455"/>
      <c r="LOK391" s="104"/>
      <c r="LOL391" s="104"/>
      <c r="LOM391" s="109"/>
      <c r="LON391" s="104"/>
      <c r="LOO391" s="104"/>
      <c r="LOP391" s="119"/>
      <c r="LOQ391" s="104"/>
      <c r="LOR391" s="455"/>
      <c r="LOS391" s="104"/>
      <c r="LOT391" s="104"/>
      <c r="LOU391" s="109"/>
      <c r="LOV391" s="104"/>
      <c r="LOW391" s="104"/>
      <c r="LOX391" s="119"/>
      <c r="LOY391" s="104"/>
      <c r="LOZ391" s="455"/>
      <c r="LPA391" s="104"/>
      <c r="LPB391" s="104"/>
      <c r="LPC391" s="109"/>
      <c r="LPD391" s="104"/>
      <c r="LPE391" s="104"/>
      <c r="LPF391" s="119"/>
      <c r="LPG391" s="104"/>
      <c r="LPH391" s="455"/>
      <c r="LPI391" s="104"/>
      <c r="LPJ391" s="104"/>
      <c r="LPK391" s="109"/>
      <c r="LPL391" s="104"/>
      <c r="LPM391" s="104"/>
      <c r="LPN391" s="119"/>
      <c r="LPO391" s="104"/>
      <c r="LPP391" s="455"/>
      <c r="LPQ391" s="104"/>
      <c r="LPR391" s="104"/>
      <c r="LPS391" s="109"/>
      <c r="LPT391" s="104"/>
      <c r="LPU391" s="104"/>
      <c r="LPV391" s="119"/>
      <c r="LPW391" s="104"/>
      <c r="LPX391" s="455"/>
      <c r="LPY391" s="104"/>
      <c r="LPZ391" s="104"/>
      <c r="LQA391" s="109"/>
      <c r="LQB391" s="104"/>
      <c r="LQC391" s="104"/>
      <c r="LQD391" s="119"/>
      <c r="LQE391" s="104"/>
      <c r="LQF391" s="455"/>
      <c r="LQG391" s="104"/>
      <c r="LQH391" s="104"/>
      <c r="LQI391" s="109"/>
      <c r="LQJ391" s="104"/>
      <c r="LQK391" s="104"/>
      <c r="LQL391" s="119"/>
      <c r="LQM391" s="104"/>
      <c r="LQN391" s="455"/>
      <c r="LQO391" s="104"/>
      <c r="LQP391" s="104"/>
      <c r="LQQ391" s="109"/>
      <c r="LQR391" s="104"/>
      <c r="LQS391" s="104"/>
      <c r="LQT391" s="119"/>
      <c r="LQU391" s="104"/>
      <c r="LQV391" s="455"/>
      <c r="LQW391" s="104"/>
      <c r="LQX391" s="104"/>
      <c r="LQY391" s="109"/>
      <c r="LQZ391" s="104"/>
      <c r="LRA391" s="104"/>
      <c r="LRB391" s="119"/>
      <c r="LRC391" s="104"/>
      <c r="LRD391" s="455"/>
      <c r="LRE391" s="104"/>
      <c r="LRF391" s="104"/>
      <c r="LRG391" s="109"/>
      <c r="LRH391" s="104"/>
      <c r="LRI391" s="104"/>
      <c r="LRJ391" s="119"/>
      <c r="LRK391" s="104"/>
      <c r="LRL391" s="455"/>
      <c r="LRM391" s="104"/>
      <c r="LRN391" s="104"/>
      <c r="LRO391" s="109"/>
      <c r="LRP391" s="104"/>
      <c r="LRQ391" s="104"/>
      <c r="LRR391" s="119"/>
      <c r="LRS391" s="104"/>
      <c r="LRT391" s="455"/>
      <c r="LRU391" s="104"/>
      <c r="LRV391" s="104"/>
      <c r="LRW391" s="109"/>
      <c r="LRX391" s="104"/>
      <c r="LRY391" s="104"/>
      <c r="LRZ391" s="119"/>
      <c r="LSA391" s="104"/>
      <c r="LSB391" s="455"/>
      <c r="LSC391" s="104"/>
      <c r="LSD391" s="104"/>
      <c r="LSE391" s="109"/>
      <c r="LSF391" s="104"/>
      <c r="LSG391" s="104"/>
      <c r="LSH391" s="119"/>
      <c r="LSI391" s="104"/>
      <c r="LSJ391" s="455"/>
      <c r="LSK391" s="104"/>
      <c r="LSL391" s="104"/>
      <c r="LSM391" s="109"/>
      <c r="LSN391" s="104"/>
      <c r="LSO391" s="104"/>
      <c r="LSP391" s="119"/>
      <c r="LSQ391" s="104"/>
      <c r="LSR391" s="455"/>
      <c r="LSS391" s="104"/>
      <c r="LST391" s="104"/>
      <c r="LSU391" s="109"/>
      <c r="LSV391" s="104"/>
      <c r="LSW391" s="104"/>
      <c r="LSX391" s="119"/>
      <c r="LSY391" s="104"/>
      <c r="LSZ391" s="455"/>
      <c r="LTA391" s="104"/>
      <c r="LTB391" s="104"/>
      <c r="LTC391" s="109"/>
      <c r="LTD391" s="104"/>
      <c r="LTE391" s="104"/>
      <c r="LTF391" s="119"/>
      <c r="LTG391" s="104"/>
      <c r="LTH391" s="455"/>
      <c r="LTI391" s="104"/>
      <c r="LTJ391" s="104"/>
      <c r="LTK391" s="109"/>
      <c r="LTL391" s="104"/>
      <c r="LTM391" s="104"/>
      <c r="LTN391" s="119"/>
      <c r="LTO391" s="104"/>
      <c r="LTP391" s="455"/>
      <c r="LTQ391" s="104"/>
      <c r="LTR391" s="104"/>
      <c r="LTS391" s="109"/>
      <c r="LTT391" s="104"/>
      <c r="LTU391" s="104"/>
      <c r="LTV391" s="119"/>
      <c r="LTW391" s="104"/>
      <c r="LTX391" s="455"/>
      <c r="LTY391" s="104"/>
      <c r="LTZ391" s="104"/>
      <c r="LUA391" s="109"/>
      <c r="LUB391" s="104"/>
      <c r="LUC391" s="104"/>
      <c r="LUD391" s="119"/>
      <c r="LUE391" s="104"/>
      <c r="LUF391" s="455"/>
      <c r="LUG391" s="104"/>
      <c r="LUH391" s="104"/>
      <c r="LUI391" s="109"/>
      <c r="LUJ391" s="104"/>
      <c r="LUK391" s="104"/>
      <c r="LUL391" s="119"/>
      <c r="LUM391" s="104"/>
      <c r="LUN391" s="455"/>
      <c r="LUO391" s="104"/>
      <c r="LUP391" s="104"/>
      <c r="LUQ391" s="109"/>
      <c r="LUR391" s="104"/>
      <c r="LUS391" s="104"/>
      <c r="LUT391" s="119"/>
      <c r="LUU391" s="104"/>
      <c r="LUV391" s="455"/>
      <c r="LUW391" s="104"/>
      <c r="LUX391" s="104"/>
      <c r="LUY391" s="109"/>
      <c r="LUZ391" s="104"/>
      <c r="LVA391" s="104"/>
      <c r="LVB391" s="119"/>
      <c r="LVC391" s="104"/>
      <c r="LVD391" s="455"/>
      <c r="LVE391" s="104"/>
      <c r="LVF391" s="104"/>
      <c r="LVG391" s="109"/>
      <c r="LVH391" s="104"/>
      <c r="LVI391" s="104"/>
      <c r="LVJ391" s="119"/>
      <c r="LVK391" s="104"/>
      <c r="LVL391" s="455"/>
      <c r="LVM391" s="104"/>
      <c r="LVN391" s="104"/>
      <c r="LVO391" s="109"/>
      <c r="LVP391" s="104"/>
      <c r="LVQ391" s="104"/>
      <c r="LVR391" s="119"/>
      <c r="LVS391" s="104"/>
      <c r="LVT391" s="455"/>
      <c r="LVU391" s="104"/>
      <c r="LVV391" s="104"/>
      <c r="LVW391" s="109"/>
      <c r="LVX391" s="104"/>
      <c r="LVY391" s="104"/>
      <c r="LVZ391" s="119"/>
      <c r="LWA391" s="104"/>
      <c r="LWB391" s="455"/>
      <c r="LWC391" s="104"/>
      <c r="LWD391" s="104"/>
      <c r="LWE391" s="109"/>
      <c r="LWF391" s="104"/>
      <c r="LWG391" s="104"/>
      <c r="LWH391" s="119"/>
      <c r="LWI391" s="104"/>
      <c r="LWJ391" s="455"/>
      <c r="LWK391" s="104"/>
      <c r="LWL391" s="104"/>
      <c r="LWM391" s="109"/>
      <c r="LWN391" s="104"/>
      <c r="LWO391" s="104"/>
      <c r="LWP391" s="119"/>
      <c r="LWQ391" s="104"/>
      <c r="LWR391" s="455"/>
      <c r="LWS391" s="104"/>
      <c r="LWT391" s="104"/>
      <c r="LWU391" s="109"/>
      <c r="LWV391" s="104"/>
      <c r="LWW391" s="104"/>
      <c r="LWX391" s="119"/>
      <c r="LWY391" s="104"/>
      <c r="LWZ391" s="455"/>
      <c r="LXA391" s="104"/>
      <c r="LXB391" s="104"/>
      <c r="LXC391" s="109"/>
      <c r="LXD391" s="104"/>
      <c r="LXE391" s="104"/>
      <c r="LXF391" s="119"/>
      <c r="LXG391" s="104"/>
      <c r="LXH391" s="455"/>
      <c r="LXI391" s="104"/>
      <c r="LXJ391" s="104"/>
      <c r="LXK391" s="109"/>
      <c r="LXL391" s="104"/>
      <c r="LXM391" s="104"/>
      <c r="LXN391" s="119"/>
      <c r="LXO391" s="104"/>
      <c r="LXP391" s="455"/>
      <c r="LXQ391" s="104"/>
      <c r="LXR391" s="104"/>
      <c r="LXS391" s="109"/>
      <c r="LXT391" s="104"/>
      <c r="LXU391" s="104"/>
      <c r="LXV391" s="119"/>
      <c r="LXW391" s="104"/>
      <c r="LXX391" s="455"/>
      <c r="LXY391" s="104"/>
      <c r="LXZ391" s="104"/>
      <c r="LYA391" s="109"/>
      <c r="LYB391" s="104"/>
      <c r="LYC391" s="104"/>
      <c r="LYD391" s="119"/>
      <c r="LYE391" s="104"/>
      <c r="LYF391" s="455"/>
      <c r="LYG391" s="104"/>
      <c r="LYH391" s="104"/>
      <c r="LYI391" s="109"/>
      <c r="LYJ391" s="104"/>
      <c r="LYK391" s="104"/>
      <c r="LYL391" s="119"/>
      <c r="LYM391" s="104"/>
      <c r="LYN391" s="455"/>
      <c r="LYO391" s="104"/>
      <c r="LYP391" s="104"/>
      <c r="LYQ391" s="109"/>
      <c r="LYR391" s="104"/>
      <c r="LYS391" s="104"/>
      <c r="LYT391" s="119"/>
      <c r="LYU391" s="104"/>
      <c r="LYV391" s="455"/>
      <c r="LYW391" s="104"/>
      <c r="LYX391" s="104"/>
      <c r="LYY391" s="109"/>
      <c r="LYZ391" s="104"/>
      <c r="LZA391" s="104"/>
      <c r="LZB391" s="119"/>
      <c r="LZC391" s="104"/>
      <c r="LZD391" s="455"/>
      <c r="LZE391" s="104"/>
      <c r="LZF391" s="104"/>
      <c r="LZG391" s="109"/>
      <c r="LZH391" s="104"/>
      <c r="LZI391" s="104"/>
      <c r="LZJ391" s="119"/>
      <c r="LZK391" s="104"/>
      <c r="LZL391" s="455"/>
      <c r="LZM391" s="104"/>
      <c r="LZN391" s="104"/>
      <c r="LZO391" s="109"/>
      <c r="LZP391" s="104"/>
      <c r="LZQ391" s="104"/>
      <c r="LZR391" s="119"/>
      <c r="LZS391" s="104"/>
      <c r="LZT391" s="455"/>
      <c r="LZU391" s="104"/>
      <c r="LZV391" s="104"/>
      <c r="LZW391" s="109"/>
      <c r="LZX391" s="104"/>
      <c r="LZY391" s="104"/>
      <c r="LZZ391" s="119"/>
      <c r="MAA391" s="104"/>
      <c r="MAB391" s="455"/>
      <c r="MAC391" s="104"/>
      <c r="MAD391" s="104"/>
      <c r="MAE391" s="109"/>
      <c r="MAF391" s="104"/>
      <c r="MAG391" s="104"/>
      <c r="MAH391" s="119"/>
      <c r="MAI391" s="104"/>
      <c r="MAJ391" s="455"/>
      <c r="MAK391" s="104"/>
      <c r="MAL391" s="104"/>
      <c r="MAM391" s="109"/>
      <c r="MAN391" s="104"/>
      <c r="MAO391" s="104"/>
      <c r="MAP391" s="119"/>
      <c r="MAQ391" s="104"/>
      <c r="MAR391" s="455"/>
      <c r="MAS391" s="104"/>
      <c r="MAT391" s="104"/>
      <c r="MAU391" s="109"/>
      <c r="MAV391" s="104"/>
      <c r="MAW391" s="104"/>
      <c r="MAX391" s="119"/>
      <c r="MAY391" s="104"/>
      <c r="MAZ391" s="455"/>
      <c r="MBA391" s="104"/>
      <c r="MBB391" s="104"/>
      <c r="MBC391" s="109"/>
      <c r="MBD391" s="104"/>
      <c r="MBE391" s="104"/>
      <c r="MBF391" s="119"/>
      <c r="MBG391" s="104"/>
      <c r="MBH391" s="455"/>
      <c r="MBI391" s="104"/>
      <c r="MBJ391" s="104"/>
      <c r="MBK391" s="109"/>
      <c r="MBL391" s="104"/>
      <c r="MBM391" s="104"/>
      <c r="MBN391" s="119"/>
      <c r="MBO391" s="104"/>
      <c r="MBP391" s="455"/>
      <c r="MBQ391" s="104"/>
      <c r="MBR391" s="104"/>
      <c r="MBS391" s="109"/>
      <c r="MBT391" s="104"/>
      <c r="MBU391" s="104"/>
      <c r="MBV391" s="119"/>
      <c r="MBW391" s="104"/>
      <c r="MBX391" s="455"/>
      <c r="MBY391" s="104"/>
      <c r="MBZ391" s="104"/>
      <c r="MCA391" s="109"/>
      <c r="MCB391" s="104"/>
      <c r="MCC391" s="104"/>
      <c r="MCD391" s="119"/>
      <c r="MCE391" s="104"/>
      <c r="MCF391" s="455"/>
      <c r="MCG391" s="104"/>
      <c r="MCH391" s="104"/>
      <c r="MCI391" s="109"/>
      <c r="MCJ391" s="104"/>
      <c r="MCK391" s="104"/>
      <c r="MCL391" s="119"/>
      <c r="MCM391" s="104"/>
      <c r="MCN391" s="455"/>
      <c r="MCO391" s="104"/>
      <c r="MCP391" s="104"/>
      <c r="MCQ391" s="109"/>
      <c r="MCR391" s="104"/>
      <c r="MCS391" s="104"/>
      <c r="MCT391" s="119"/>
      <c r="MCU391" s="104"/>
      <c r="MCV391" s="455"/>
      <c r="MCW391" s="104"/>
      <c r="MCX391" s="104"/>
      <c r="MCY391" s="109"/>
      <c r="MCZ391" s="104"/>
      <c r="MDA391" s="104"/>
      <c r="MDB391" s="119"/>
      <c r="MDC391" s="104"/>
      <c r="MDD391" s="455"/>
      <c r="MDE391" s="104"/>
      <c r="MDF391" s="104"/>
      <c r="MDG391" s="109"/>
      <c r="MDH391" s="104"/>
      <c r="MDI391" s="104"/>
      <c r="MDJ391" s="119"/>
      <c r="MDK391" s="104"/>
      <c r="MDL391" s="455"/>
      <c r="MDM391" s="104"/>
      <c r="MDN391" s="104"/>
      <c r="MDO391" s="109"/>
      <c r="MDP391" s="104"/>
      <c r="MDQ391" s="104"/>
      <c r="MDR391" s="119"/>
      <c r="MDS391" s="104"/>
      <c r="MDT391" s="455"/>
      <c r="MDU391" s="104"/>
      <c r="MDV391" s="104"/>
      <c r="MDW391" s="109"/>
      <c r="MDX391" s="104"/>
      <c r="MDY391" s="104"/>
      <c r="MDZ391" s="119"/>
      <c r="MEA391" s="104"/>
      <c r="MEB391" s="455"/>
      <c r="MEC391" s="104"/>
      <c r="MED391" s="104"/>
      <c r="MEE391" s="109"/>
      <c r="MEF391" s="104"/>
      <c r="MEG391" s="104"/>
      <c r="MEH391" s="119"/>
      <c r="MEI391" s="104"/>
      <c r="MEJ391" s="455"/>
      <c r="MEK391" s="104"/>
      <c r="MEL391" s="104"/>
      <c r="MEM391" s="109"/>
      <c r="MEN391" s="104"/>
      <c r="MEO391" s="104"/>
      <c r="MEP391" s="119"/>
      <c r="MEQ391" s="104"/>
      <c r="MER391" s="455"/>
      <c r="MES391" s="104"/>
      <c r="MET391" s="104"/>
      <c r="MEU391" s="109"/>
      <c r="MEV391" s="104"/>
      <c r="MEW391" s="104"/>
      <c r="MEX391" s="119"/>
      <c r="MEY391" s="104"/>
      <c r="MEZ391" s="455"/>
      <c r="MFA391" s="104"/>
      <c r="MFB391" s="104"/>
      <c r="MFC391" s="109"/>
      <c r="MFD391" s="104"/>
      <c r="MFE391" s="104"/>
      <c r="MFF391" s="119"/>
      <c r="MFG391" s="104"/>
      <c r="MFH391" s="455"/>
      <c r="MFI391" s="104"/>
      <c r="MFJ391" s="104"/>
      <c r="MFK391" s="109"/>
      <c r="MFL391" s="104"/>
      <c r="MFM391" s="104"/>
      <c r="MFN391" s="119"/>
      <c r="MFO391" s="104"/>
      <c r="MFP391" s="455"/>
      <c r="MFQ391" s="104"/>
      <c r="MFR391" s="104"/>
      <c r="MFS391" s="109"/>
      <c r="MFT391" s="104"/>
      <c r="MFU391" s="104"/>
      <c r="MFV391" s="119"/>
      <c r="MFW391" s="104"/>
      <c r="MFX391" s="455"/>
      <c r="MFY391" s="104"/>
      <c r="MFZ391" s="104"/>
      <c r="MGA391" s="109"/>
      <c r="MGB391" s="104"/>
      <c r="MGC391" s="104"/>
      <c r="MGD391" s="119"/>
      <c r="MGE391" s="104"/>
      <c r="MGF391" s="455"/>
      <c r="MGG391" s="104"/>
      <c r="MGH391" s="104"/>
      <c r="MGI391" s="109"/>
      <c r="MGJ391" s="104"/>
      <c r="MGK391" s="104"/>
      <c r="MGL391" s="119"/>
      <c r="MGM391" s="104"/>
      <c r="MGN391" s="455"/>
      <c r="MGO391" s="104"/>
      <c r="MGP391" s="104"/>
      <c r="MGQ391" s="109"/>
      <c r="MGR391" s="104"/>
      <c r="MGS391" s="104"/>
      <c r="MGT391" s="119"/>
      <c r="MGU391" s="104"/>
      <c r="MGV391" s="455"/>
      <c r="MGW391" s="104"/>
      <c r="MGX391" s="104"/>
      <c r="MGY391" s="109"/>
      <c r="MGZ391" s="104"/>
      <c r="MHA391" s="104"/>
      <c r="MHB391" s="119"/>
      <c r="MHC391" s="104"/>
      <c r="MHD391" s="455"/>
      <c r="MHE391" s="104"/>
      <c r="MHF391" s="104"/>
      <c r="MHG391" s="109"/>
      <c r="MHH391" s="104"/>
      <c r="MHI391" s="104"/>
      <c r="MHJ391" s="119"/>
      <c r="MHK391" s="104"/>
      <c r="MHL391" s="455"/>
      <c r="MHM391" s="104"/>
      <c r="MHN391" s="104"/>
      <c r="MHO391" s="109"/>
      <c r="MHP391" s="104"/>
      <c r="MHQ391" s="104"/>
      <c r="MHR391" s="119"/>
      <c r="MHS391" s="104"/>
      <c r="MHT391" s="455"/>
      <c r="MHU391" s="104"/>
      <c r="MHV391" s="104"/>
      <c r="MHW391" s="109"/>
      <c r="MHX391" s="104"/>
      <c r="MHY391" s="104"/>
      <c r="MHZ391" s="119"/>
      <c r="MIA391" s="104"/>
      <c r="MIB391" s="455"/>
      <c r="MIC391" s="104"/>
      <c r="MID391" s="104"/>
      <c r="MIE391" s="109"/>
      <c r="MIF391" s="104"/>
      <c r="MIG391" s="104"/>
      <c r="MIH391" s="119"/>
      <c r="MII391" s="104"/>
      <c r="MIJ391" s="455"/>
      <c r="MIK391" s="104"/>
      <c r="MIL391" s="104"/>
      <c r="MIM391" s="109"/>
      <c r="MIN391" s="104"/>
      <c r="MIO391" s="104"/>
      <c r="MIP391" s="119"/>
      <c r="MIQ391" s="104"/>
      <c r="MIR391" s="455"/>
      <c r="MIS391" s="104"/>
      <c r="MIT391" s="104"/>
      <c r="MIU391" s="109"/>
      <c r="MIV391" s="104"/>
      <c r="MIW391" s="104"/>
      <c r="MIX391" s="119"/>
      <c r="MIY391" s="104"/>
      <c r="MIZ391" s="455"/>
      <c r="MJA391" s="104"/>
      <c r="MJB391" s="104"/>
      <c r="MJC391" s="109"/>
      <c r="MJD391" s="104"/>
      <c r="MJE391" s="104"/>
      <c r="MJF391" s="119"/>
      <c r="MJG391" s="104"/>
      <c r="MJH391" s="455"/>
      <c r="MJI391" s="104"/>
      <c r="MJJ391" s="104"/>
      <c r="MJK391" s="109"/>
      <c r="MJL391" s="104"/>
      <c r="MJM391" s="104"/>
      <c r="MJN391" s="119"/>
      <c r="MJO391" s="104"/>
      <c r="MJP391" s="455"/>
      <c r="MJQ391" s="104"/>
      <c r="MJR391" s="104"/>
      <c r="MJS391" s="109"/>
      <c r="MJT391" s="104"/>
      <c r="MJU391" s="104"/>
      <c r="MJV391" s="119"/>
      <c r="MJW391" s="104"/>
      <c r="MJX391" s="455"/>
      <c r="MJY391" s="104"/>
      <c r="MJZ391" s="104"/>
      <c r="MKA391" s="109"/>
      <c r="MKB391" s="104"/>
      <c r="MKC391" s="104"/>
      <c r="MKD391" s="119"/>
      <c r="MKE391" s="104"/>
      <c r="MKF391" s="455"/>
      <c r="MKG391" s="104"/>
      <c r="MKH391" s="104"/>
      <c r="MKI391" s="109"/>
      <c r="MKJ391" s="104"/>
      <c r="MKK391" s="104"/>
      <c r="MKL391" s="119"/>
      <c r="MKM391" s="104"/>
      <c r="MKN391" s="455"/>
      <c r="MKO391" s="104"/>
      <c r="MKP391" s="104"/>
      <c r="MKQ391" s="109"/>
      <c r="MKR391" s="104"/>
      <c r="MKS391" s="104"/>
      <c r="MKT391" s="119"/>
      <c r="MKU391" s="104"/>
      <c r="MKV391" s="455"/>
      <c r="MKW391" s="104"/>
      <c r="MKX391" s="104"/>
      <c r="MKY391" s="109"/>
      <c r="MKZ391" s="104"/>
      <c r="MLA391" s="104"/>
      <c r="MLB391" s="119"/>
      <c r="MLC391" s="104"/>
      <c r="MLD391" s="455"/>
      <c r="MLE391" s="104"/>
      <c r="MLF391" s="104"/>
      <c r="MLG391" s="109"/>
      <c r="MLH391" s="104"/>
      <c r="MLI391" s="104"/>
      <c r="MLJ391" s="119"/>
      <c r="MLK391" s="104"/>
      <c r="MLL391" s="455"/>
      <c r="MLM391" s="104"/>
      <c r="MLN391" s="104"/>
      <c r="MLO391" s="109"/>
      <c r="MLP391" s="104"/>
      <c r="MLQ391" s="104"/>
      <c r="MLR391" s="119"/>
      <c r="MLS391" s="104"/>
      <c r="MLT391" s="455"/>
      <c r="MLU391" s="104"/>
      <c r="MLV391" s="104"/>
      <c r="MLW391" s="109"/>
      <c r="MLX391" s="104"/>
      <c r="MLY391" s="104"/>
      <c r="MLZ391" s="119"/>
      <c r="MMA391" s="104"/>
      <c r="MMB391" s="455"/>
      <c r="MMC391" s="104"/>
      <c r="MMD391" s="104"/>
      <c r="MME391" s="109"/>
      <c r="MMF391" s="104"/>
      <c r="MMG391" s="104"/>
      <c r="MMH391" s="119"/>
      <c r="MMI391" s="104"/>
      <c r="MMJ391" s="455"/>
      <c r="MMK391" s="104"/>
      <c r="MML391" s="104"/>
      <c r="MMM391" s="109"/>
      <c r="MMN391" s="104"/>
      <c r="MMO391" s="104"/>
      <c r="MMP391" s="119"/>
      <c r="MMQ391" s="104"/>
      <c r="MMR391" s="455"/>
      <c r="MMS391" s="104"/>
      <c r="MMT391" s="104"/>
      <c r="MMU391" s="109"/>
      <c r="MMV391" s="104"/>
      <c r="MMW391" s="104"/>
      <c r="MMX391" s="119"/>
      <c r="MMY391" s="104"/>
      <c r="MMZ391" s="455"/>
      <c r="MNA391" s="104"/>
      <c r="MNB391" s="104"/>
      <c r="MNC391" s="109"/>
      <c r="MND391" s="104"/>
      <c r="MNE391" s="104"/>
      <c r="MNF391" s="119"/>
      <c r="MNG391" s="104"/>
      <c r="MNH391" s="455"/>
      <c r="MNI391" s="104"/>
      <c r="MNJ391" s="104"/>
      <c r="MNK391" s="109"/>
      <c r="MNL391" s="104"/>
      <c r="MNM391" s="104"/>
      <c r="MNN391" s="119"/>
      <c r="MNO391" s="104"/>
      <c r="MNP391" s="455"/>
      <c r="MNQ391" s="104"/>
      <c r="MNR391" s="104"/>
      <c r="MNS391" s="109"/>
      <c r="MNT391" s="104"/>
      <c r="MNU391" s="104"/>
      <c r="MNV391" s="119"/>
      <c r="MNW391" s="104"/>
      <c r="MNX391" s="455"/>
      <c r="MNY391" s="104"/>
      <c r="MNZ391" s="104"/>
      <c r="MOA391" s="109"/>
      <c r="MOB391" s="104"/>
      <c r="MOC391" s="104"/>
      <c r="MOD391" s="119"/>
      <c r="MOE391" s="104"/>
      <c r="MOF391" s="455"/>
      <c r="MOG391" s="104"/>
      <c r="MOH391" s="104"/>
      <c r="MOI391" s="109"/>
      <c r="MOJ391" s="104"/>
      <c r="MOK391" s="104"/>
      <c r="MOL391" s="119"/>
      <c r="MOM391" s="104"/>
      <c r="MON391" s="455"/>
      <c r="MOO391" s="104"/>
      <c r="MOP391" s="104"/>
      <c r="MOQ391" s="109"/>
      <c r="MOR391" s="104"/>
      <c r="MOS391" s="104"/>
      <c r="MOT391" s="119"/>
      <c r="MOU391" s="104"/>
      <c r="MOV391" s="455"/>
      <c r="MOW391" s="104"/>
      <c r="MOX391" s="104"/>
      <c r="MOY391" s="109"/>
      <c r="MOZ391" s="104"/>
      <c r="MPA391" s="104"/>
      <c r="MPB391" s="119"/>
      <c r="MPC391" s="104"/>
      <c r="MPD391" s="455"/>
      <c r="MPE391" s="104"/>
      <c r="MPF391" s="104"/>
      <c r="MPG391" s="109"/>
      <c r="MPH391" s="104"/>
      <c r="MPI391" s="104"/>
      <c r="MPJ391" s="119"/>
      <c r="MPK391" s="104"/>
      <c r="MPL391" s="455"/>
      <c r="MPM391" s="104"/>
      <c r="MPN391" s="104"/>
      <c r="MPO391" s="109"/>
      <c r="MPP391" s="104"/>
      <c r="MPQ391" s="104"/>
      <c r="MPR391" s="119"/>
      <c r="MPS391" s="104"/>
      <c r="MPT391" s="455"/>
      <c r="MPU391" s="104"/>
      <c r="MPV391" s="104"/>
      <c r="MPW391" s="109"/>
      <c r="MPX391" s="104"/>
      <c r="MPY391" s="104"/>
      <c r="MPZ391" s="119"/>
      <c r="MQA391" s="104"/>
      <c r="MQB391" s="455"/>
      <c r="MQC391" s="104"/>
      <c r="MQD391" s="104"/>
      <c r="MQE391" s="109"/>
      <c r="MQF391" s="104"/>
      <c r="MQG391" s="104"/>
      <c r="MQH391" s="119"/>
      <c r="MQI391" s="104"/>
      <c r="MQJ391" s="455"/>
      <c r="MQK391" s="104"/>
      <c r="MQL391" s="104"/>
      <c r="MQM391" s="109"/>
      <c r="MQN391" s="104"/>
      <c r="MQO391" s="104"/>
      <c r="MQP391" s="119"/>
      <c r="MQQ391" s="104"/>
      <c r="MQR391" s="455"/>
      <c r="MQS391" s="104"/>
      <c r="MQT391" s="104"/>
      <c r="MQU391" s="109"/>
      <c r="MQV391" s="104"/>
      <c r="MQW391" s="104"/>
      <c r="MQX391" s="119"/>
      <c r="MQY391" s="104"/>
      <c r="MQZ391" s="455"/>
      <c r="MRA391" s="104"/>
      <c r="MRB391" s="104"/>
      <c r="MRC391" s="109"/>
      <c r="MRD391" s="104"/>
      <c r="MRE391" s="104"/>
      <c r="MRF391" s="119"/>
      <c r="MRG391" s="104"/>
      <c r="MRH391" s="455"/>
      <c r="MRI391" s="104"/>
      <c r="MRJ391" s="104"/>
      <c r="MRK391" s="109"/>
      <c r="MRL391" s="104"/>
      <c r="MRM391" s="104"/>
      <c r="MRN391" s="119"/>
      <c r="MRO391" s="104"/>
      <c r="MRP391" s="455"/>
      <c r="MRQ391" s="104"/>
      <c r="MRR391" s="104"/>
      <c r="MRS391" s="109"/>
      <c r="MRT391" s="104"/>
      <c r="MRU391" s="104"/>
      <c r="MRV391" s="119"/>
      <c r="MRW391" s="104"/>
      <c r="MRX391" s="455"/>
      <c r="MRY391" s="104"/>
      <c r="MRZ391" s="104"/>
      <c r="MSA391" s="109"/>
      <c r="MSB391" s="104"/>
      <c r="MSC391" s="104"/>
      <c r="MSD391" s="119"/>
      <c r="MSE391" s="104"/>
      <c r="MSF391" s="455"/>
      <c r="MSG391" s="104"/>
      <c r="MSH391" s="104"/>
      <c r="MSI391" s="109"/>
      <c r="MSJ391" s="104"/>
      <c r="MSK391" s="104"/>
      <c r="MSL391" s="119"/>
      <c r="MSM391" s="104"/>
      <c r="MSN391" s="455"/>
      <c r="MSO391" s="104"/>
      <c r="MSP391" s="104"/>
      <c r="MSQ391" s="109"/>
      <c r="MSR391" s="104"/>
      <c r="MSS391" s="104"/>
      <c r="MST391" s="119"/>
      <c r="MSU391" s="104"/>
      <c r="MSV391" s="455"/>
      <c r="MSW391" s="104"/>
      <c r="MSX391" s="104"/>
      <c r="MSY391" s="109"/>
      <c r="MSZ391" s="104"/>
      <c r="MTA391" s="104"/>
      <c r="MTB391" s="119"/>
      <c r="MTC391" s="104"/>
      <c r="MTD391" s="455"/>
      <c r="MTE391" s="104"/>
      <c r="MTF391" s="104"/>
      <c r="MTG391" s="109"/>
      <c r="MTH391" s="104"/>
      <c r="MTI391" s="104"/>
      <c r="MTJ391" s="119"/>
      <c r="MTK391" s="104"/>
      <c r="MTL391" s="455"/>
      <c r="MTM391" s="104"/>
      <c r="MTN391" s="104"/>
      <c r="MTO391" s="109"/>
      <c r="MTP391" s="104"/>
      <c r="MTQ391" s="104"/>
      <c r="MTR391" s="119"/>
      <c r="MTS391" s="104"/>
      <c r="MTT391" s="455"/>
      <c r="MTU391" s="104"/>
      <c r="MTV391" s="104"/>
      <c r="MTW391" s="109"/>
      <c r="MTX391" s="104"/>
      <c r="MTY391" s="104"/>
      <c r="MTZ391" s="119"/>
      <c r="MUA391" s="104"/>
      <c r="MUB391" s="455"/>
      <c r="MUC391" s="104"/>
      <c r="MUD391" s="104"/>
      <c r="MUE391" s="109"/>
      <c r="MUF391" s="104"/>
      <c r="MUG391" s="104"/>
      <c r="MUH391" s="119"/>
      <c r="MUI391" s="104"/>
      <c r="MUJ391" s="455"/>
      <c r="MUK391" s="104"/>
      <c r="MUL391" s="104"/>
      <c r="MUM391" s="109"/>
      <c r="MUN391" s="104"/>
      <c r="MUO391" s="104"/>
      <c r="MUP391" s="119"/>
      <c r="MUQ391" s="104"/>
      <c r="MUR391" s="455"/>
      <c r="MUS391" s="104"/>
      <c r="MUT391" s="104"/>
      <c r="MUU391" s="109"/>
      <c r="MUV391" s="104"/>
      <c r="MUW391" s="104"/>
      <c r="MUX391" s="119"/>
      <c r="MUY391" s="104"/>
      <c r="MUZ391" s="455"/>
      <c r="MVA391" s="104"/>
      <c r="MVB391" s="104"/>
      <c r="MVC391" s="109"/>
      <c r="MVD391" s="104"/>
      <c r="MVE391" s="104"/>
      <c r="MVF391" s="119"/>
      <c r="MVG391" s="104"/>
      <c r="MVH391" s="455"/>
      <c r="MVI391" s="104"/>
      <c r="MVJ391" s="104"/>
      <c r="MVK391" s="109"/>
      <c r="MVL391" s="104"/>
      <c r="MVM391" s="104"/>
      <c r="MVN391" s="119"/>
      <c r="MVO391" s="104"/>
      <c r="MVP391" s="455"/>
      <c r="MVQ391" s="104"/>
      <c r="MVR391" s="104"/>
      <c r="MVS391" s="109"/>
      <c r="MVT391" s="104"/>
      <c r="MVU391" s="104"/>
      <c r="MVV391" s="119"/>
      <c r="MVW391" s="104"/>
      <c r="MVX391" s="455"/>
      <c r="MVY391" s="104"/>
      <c r="MVZ391" s="104"/>
      <c r="MWA391" s="109"/>
      <c r="MWB391" s="104"/>
      <c r="MWC391" s="104"/>
      <c r="MWD391" s="119"/>
      <c r="MWE391" s="104"/>
      <c r="MWF391" s="455"/>
      <c r="MWG391" s="104"/>
      <c r="MWH391" s="104"/>
      <c r="MWI391" s="109"/>
      <c r="MWJ391" s="104"/>
      <c r="MWK391" s="104"/>
      <c r="MWL391" s="119"/>
      <c r="MWM391" s="104"/>
      <c r="MWN391" s="455"/>
      <c r="MWO391" s="104"/>
      <c r="MWP391" s="104"/>
      <c r="MWQ391" s="109"/>
      <c r="MWR391" s="104"/>
      <c r="MWS391" s="104"/>
      <c r="MWT391" s="119"/>
      <c r="MWU391" s="104"/>
      <c r="MWV391" s="455"/>
      <c r="MWW391" s="104"/>
      <c r="MWX391" s="104"/>
      <c r="MWY391" s="109"/>
      <c r="MWZ391" s="104"/>
      <c r="MXA391" s="104"/>
      <c r="MXB391" s="119"/>
      <c r="MXC391" s="104"/>
      <c r="MXD391" s="455"/>
      <c r="MXE391" s="104"/>
      <c r="MXF391" s="104"/>
      <c r="MXG391" s="109"/>
      <c r="MXH391" s="104"/>
      <c r="MXI391" s="104"/>
      <c r="MXJ391" s="119"/>
      <c r="MXK391" s="104"/>
      <c r="MXL391" s="455"/>
      <c r="MXM391" s="104"/>
      <c r="MXN391" s="104"/>
      <c r="MXO391" s="109"/>
      <c r="MXP391" s="104"/>
      <c r="MXQ391" s="104"/>
      <c r="MXR391" s="119"/>
      <c r="MXS391" s="104"/>
      <c r="MXT391" s="455"/>
      <c r="MXU391" s="104"/>
      <c r="MXV391" s="104"/>
      <c r="MXW391" s="109"/>
      <c r="MXX391" s="104"/>
      <c r="MXY391" s="104"/>
      <c r="MXZ391" s="119"/>
      <c r="MYA391" s="104"/>
      <c r="MYB391" s="455"/>
      <c r="MYC391" s="104"/>
      <c r="MYD391" s="104"/>
      <c r="MYE391" s="109"/>
      <c r="MYF391" s="104"/>
      <c r="MYG391" s="104"/>
      <c r="MYH391" s="119"/>
      <c r="MYI391" s="104"/>
      <c r="MYJ391" s="455"/>
      <c r="MYK391" s="104"/>
      <c r="MYL391" s="104"/>
      <c r="MYM391" s="109"/>
      <c r="MYN391" s="104"/>
      <c r="MYO391" s="104"/>
      <c r="MYP391" s="119"/>
      <c r="MYQ391" s="104"/>
      <c r="MYR391" s="455"/>
      <c r="MYS391" s="104"/>
      <c r="MYT391" s="104"/>
      <c r="MYU391" s="109"/>
      <c r="MYV391" s="104"/>
      <c r="MYW391" s="104"/>
      <c r="MYX391" s="119"/>
      <c r="MYY391" s="104"/>
      <c r="MYZ391" s="455"/>
      <c r="MZA391" s="104"/>
      <c r="MZB391" s="104"/>
      <c r="MZC391" s="109"/>
      <c r="MZD391" s="104"/>
      <c r="MZE391" s="104"/>
      <c r="MZF391" s="119"/>
      <c r="MZG391" s="104"/>
      <c r="MZH391" s="455"/>
      <c r="MZI391" s="104"/>
      <c r="MZJ391" s="104"/>
      <c r="MZK391" s="109"/>
      <c r="MZL391" s="104"/>
      <c r="MZM391" s="104"/>
      <c r="MZN391" s="119"/>
      <c r="MZO391" s="104"/>
      <c r="MZP391" s="455"/>
      <c r="MZQ391" s="104"/>
      <c r="MZR391" s="104"/>
      <c r="MZS391" s="109"/>
      <c r="MZT391" s="104"/>
      <c r="MZU391" s="104"/>
      <c r="MZV391" s="119"/>
      <c r="MZW391" s="104"/>
      <c r="MZX391" s="455"/>
      <c r="MZY391" s="104"/>
      <c r="MZZ391" s="104"/>
      <c r="NAA391" s="109"/>
      <c r="NAB391" s="104"/>
      <c r="NAC391" s="104"/>
      <c r="NAD391" s="119"/>
      <c r="NAE391" s="104"/>
      <c r="NAF391" s="455"/>
      <c r="NAG391" s="104"/>
      <c r="NAH391" s="104"/>
      <c r="NAI391" s="109"/>
      <c r="NAJ391" s="104"/>
      <c r="NAK391" s="104"/>
      <c r="NAL391" s="119"/>
      <c r="NAM391" s="104"/>
      <c r="NAN391" s="455"/>
      <c r="NAO391" s="104"/>
      <c r="NAP391" s="104"/>
      <c r="NAQ391" s="109"/>
      <c r="NAR391" s="104"/>
      <c r="NAS391" s="104"/>
      <c r="NAT391" s="119"/>
      <c r="NAU391" s="104"/>
      <c r="NAV391" s="455"/>
      <c r="NAW391" s="104"/>
      <c r="NAX391" s="104"/>
      <c r="NAY391" s="109"/>
      <c r="NAZ391" s="104"/>
      <c r="NBA391" s="104"/>
      <c r="NBB391" s="119"/>
      <c r="NBC391" s="104"/>
      <c r="NBD391" s="455"/>
      <c r="NBE391" s="104"/>
      <c r="NBF391" s="104"/>
      <c r="NBG391" s="109"/>
      <c r="NBH391" s="104"/>
      <c r="NBI391" s="104"/>
      <c r="NBJ391" s="119"/>
      <c r="NBK391" s="104"/>
      <c r="NBL391" s="455"/>
      <c r="NBM391" s="104"/>
      <c r="NBN391" s="104"/>
      <c r="NBO391" s="109"/>
      <c r="NBP391" s="104"/>
      <c r="NBQ391" s="104"/>
      <c r="NBR391" s="119"/>
      <c r="NBS391" s="104"/>
      <c r="NBT391" s="455"/>
      <c r="NBU391" s="104"/>
      <c r="NBV391" s="104"/>
      <c r="NBW391" s="109"/>
      <c r="NBX391" s="104"/>
      <c r="NBY391" s="104"/>
      <c r="NBZ391" s="119"/>
      <c r="NCA391" s="104"/>
      <c r="NCB391" s="455"/>
      <c r="NCC391" s="104"/>
      <c r="NCD391" s="104"/>
      <c r="NCE391" s="109"/>
      <c r="NCF391" s="104"/>
      <c r="NCG391" s="104"/>
      <c r="NCH391" s="119"/>
      <c r="NCI391" s="104"/>
      <c r="NCJ391" s="455"/>
      <c r="NCK391" s="104"/>
      <c r="NCL391" s="104"/>
      <c r="NCM391" s="109"/>
      <c r="NCN391" s="104"/>
      <c r="NCO391" s="104"/>
      <c r="NCP391" s="119"/>
      <c r="NCQ391" s="104"/>
      <c r="NCR391" s="455"/>
      <c r="NCS391" s="104"/>
      <c r="NCT391" s="104"/>
      <c r="NCU391" s="109"/>
      <c r="NCV391" s="104"/>
      <c r="NCW391" s="104"/>
      <c r="NCX391" s="119"/>
      <c r="NCY391" s="104"/>
      <c r="NCZ391" s="455"/>
      <c r="NDA391" s="104"/>
      <c r="NDB391" s="104"/>
      <c r="NDC391" s="109"/>
      <c r="NDD391" s="104"/>
      <c r="NDE391" s="104"/>
      <c r="NDF391" s="119"/>
      <c r="NDG391" s="104"/>
      <c r="NDH391" s="455"/>
      <c r="NDI391" s="104"/>
      <c r="NDJ391" s="104"/>
      <c r="NDK391" s="109"/>
      <c r="NDL391" s="104"/>
      <c r="NDM391" s="104"/>
      <c r="NDN391" s="119"/>
      <c r="NDO391" s="104"/>
      <c r="NDP391" s="455"/>
      <c r="NDQ391" s="104"/>
      <c r="NDR391" s="104"/>
      <c r="NDS391" s="109"/>
      <c r="NDT391" s="104"/>
      <c r="NDU391" s="104"/>
      <c r="NDV391" s="119"/>
      <c r="NDW391" s="104"/>
      <c r="NDX391" s="455"/>
      <c r="NDY391" s="104"/>
      <c r="NDZ391" s="104"/>
      <c r="NEA391" s="109"/>
      <c r="NEB391" s="104"/>
      <c r="NEC391" s="104"/>
      <c r="NED391" s="119"/>
      <c r="NEE391" s="104"/>
      <c r="NEF391" s="455"/>
      <c r="NEG391" s="104"/>
      <c r="NEH391" s="104"/>
      <c r="NEI391" s="109"/>
      <c r="NEJ391" s="104"/>
      <c r="NEK391" s="104"/>
      <c r="NEL391" s="119"/>
      <c r="NEM391" s="104"/>
      <c r="NEN391" s="455"/>
      <c r="NEO391" s="104"/>
      <c r="NEP391" s="104"/>
      <c r="NEQ391" s="109"/>
      <c r="NER391" s="104"/>
      <c r="NES391" s="104"/>
      <c r="NET391" s="119"/>
      <c r="NEU391" s="104"/>
      <c r="NEV391" s="455"/>
      <c r="NEW391" s="104"/>
      <c r="NEX391" s="104"/>
      <c r="NEY391" s="109"/>
      <c r="NEZ391" s="104"/>
      <c r="NFA391" s="104"/>
      <c r="NFB391" s="119"/>
      <c r="NFC391" s="104"/>
      <c r="NFD391" s="455"/>
      <c r="NFE391" s="104"/>
      <c r="NFF391" s="104"/>
      <c r="NFG391" s="109"/>
      <c r="NFH391" s="104"/>
      <c r="NFI391" s="104"/>
      <c r="NFJ391" s="119"/>
      <c r="NFK391" s="104"/>
      <c r="NFL391" s="455"/>
      <c r="NFM391" s="104"/>
      <c r="NFN391" s="104"/>
      <c r="NFO391" s="109"/>
      <c r="NFP391" s="104"/>
      <c r="NFQ391" s="104"/>
      <c r="NFR391" s="119"/>
      <c r="NFS391" s="104"/>
      <c r="NFT391" s="455"/>
      <c r="NFU391" s="104"/>
      <c r="NFV391" s="104"/>
      <c r="NFW391" s="109"/>
      <c r="NFX391" s="104"/>
      <c r="NFY391" s="104"/>
      <c r="NFZ391" s="119"/>
      <c r="NGA391" s="104"/>
      <c r="NGB391" s="455"/>
      <c r="NGC391" s="104"/>
      <c r="NGD391" s="104"/>
      <c r="NGE391" s="109"/>
      <c r="NGF391" s="104"/>
      <c r="NGG391" s="104"/>
      <c r="NGH391" s="119"/>
      <c r="NGI391" s="104"/>
      <c r="NGJ391" s="455"/>
      <c r="NGK391" s="104"/>
      <c r="NGL391" s="104"/>
      <c r="NGM391" s="109"/>
      <c r="NGN391" s="104"/>
      <c r="NGO391" s="104"/>
      <c r="NGP391" s="119"/>
      <c r="NGQ391" s="104"/>
      <c r="NGR391" s="455"/>
      <c r="NGS391" s="104"/>
      <c r="NGT391" s="104"/>
      <c r="NGU391" s="109"/>
      <c r="NGV391" s="104"/>
      <c r="NGW391" s="104"/>
      <c r="NGX391" s="119"/>
      <c r="NGY391" s="104"/>
      <c r="NGZ391" s="455"/>
      <c r="NHA391" s="104"/>
      <c r="NHB391" s="104"/>
      <c r="NHC391" s="109"/>
      <c r="NHD391" s="104"/>
      <c r="NHE391" s="104"/>
      <c r="NHF391" s="119"/>
      <c r="NHG391" s="104"/>
      <c r="NHH391" s="455"/>
      <c r="NHI391" s="104"/>
      <c r="NHJ391" s="104"/>
      <c r="NHK391" s="109"/>
      <c r="NHL391" s="104"/>
      <c r="NHM391" s="104"/>
      <c r="NHN391" s="119"/>
      <c r="NHO391" s="104"/>
      <c r="NHP391" s="455"/>
      <c r="NHQ391" s="104"/>
      <c r="NHR391" s="104"/>
      <c r="NHS391" s="109"/>
      <c r="NHT391" s="104"/>
      <c r="NHU391" s="104"/>
      <c r="NHV391" s="119"/>
      <c r="NHW391" s="104"/>
      <c r="NHX391" s="455"/>
      <c r="NHY391" s="104"/>
      <c r="NHZ391" s="104"/>
      <c r="NIA391" s="109"/>
      <c r="NIB391" s="104"/>
      <c r="NIC391" s="104"/>
      <c r="NID391" s="119"/>
      <c r="NIE391" s="104"/>
      <c r="NIF391" s="455"/>
      <c r="NIG391" s="104"/>
      <c r="NIH391" s="104"/>
      <c r="NII391" s="109"/>
      <c r="NIJ391" s="104"/>
      <c r="NIK391" s="104"/>
      <c r="NIL391" s="119"/>
      <c r="NIM391" s="104"/>
      <c r="NIN391" s="455"/>
      <c r="NIO391" s="104"/>
      <c r="NIP391" s="104"/>
      <c r="NIQ391" s="109"/>
      <c r="NIR391" s="104"/>
      <c r="NIS391" s="104"/>
      <c r="NIT391" s="119"/>
      <c r="NIU391" s="104"/>
      <c r="NIV391" s="455"/>
      <c r="NIW391" s="104"/>
      <c r="NIX391" s="104"/>
      <c r="NIY391" s="109"/>
      <c r="NIZ391" s="104"/>
      <c r="NJA391" s="104"/>
      <c r="NJB391" s="119"/>
      <c r="NJC391" s="104"/>
      <c r="NJD391" s="455"/>
      <c r="NJE391" s="104"/>
      <c r="NJF391" s="104"/>
      <c r="NJG391" s="109"/>
      <c r="NJH391" s="104"/>
      <c r="NJI391" s="104"/>
      <c r="NJJ391" s="119"/>
      <c r="NJK391" s="104"/>
      <c r="NJL391" s="455"/>
      <c r="NJM391" s="104"/>
      <c r="NJN391" s="104"/>
      <c r="NJO391" s="109"/>
      <c r="NJP391" s="104"/>
      <c r="NJQ391" s="104"/>
      <c r="NJR391" s="119"/>
      <c r="NJS391" s="104"/>
      <c r="NJT391" s="455"/>
      <c r="NJU391" s="104"/>
      <c r="NJV391" s="104"/>
      <c r="NJW391" s="109"/>
      <c r="NJX391" s="104"/>
      <c r="NJY391" s="104"/>
      <c r="NJZ391" s="119"/>
      <c r="NKA391" s="104"/>
      <c r="NKB391" s="455"/>
      <c r="NKC391" s="104"/>
      <c r="NKD391" s="104"/>
      <c r="NKE391" s="109"/>
      <c r="NKF391" s="104"/>
      <c r="NKG391" s="104"/>
      <c r="NKH391" s="119"/>
      <c r="NKI391" s="104"/>
      <c r="NKJ391" s="455"/>
      <c r="NKK391" s="104"/>
      <c r="NKL391" s="104"/>
      <c r="NKM391" s="109"/>
      <c r="NKN391" s="104"/>
      <c r="NKO391" s="104"/>
      <c r="NKP391" s="119"/>
      <c r="NKQ391" s="104"/>
      <c r="NKR391" s="455"/>
      <c r="NKS391" s="104"/>
      <c r="NKT391" s="104"/>
      <c r="NKU391" s="109"/>
      <c r="NKV391" s="104"/>
      <c r="NKW391" s="104"/>
      <c r="NKX391" s="119"/>
      <c r="NKY391" s="104"/>
      <c r="NKZ391" s="455"/>
      <c r="NLA391" s="104"/>
      <c r="NLB391" s="104"/>
      <c r="NLC391" s="109"/>
      <c r="NLD391" s="104"/>
      <c r="NLE391" s="104"/>
      <c r="NLF391" s="119"/>
      <c r="NLG391" s="104"/>
      <c r="NLH391" s="455"/>
      <c r="NLI391" s="104"/>
      <c r="NLJ391" s="104"/>
      <c r="NLK391" s="109"/>
      <c r="NLL391" s="104"/>
      <c r="NLM391" s="104"/>
      <c r="NLN391" s="119"/>
      <c r="NLO391" s="104"/>
      <c r="NLP391" s="455"/>
      <c r="NLQ391" s="104"/>
      <c r="NLR391" s="104"/>
      <c r="NLS391" s="109"/>
      <c r="NLT391" s="104"/>
      <c r="NLU391" s="104"/>
      <c r="NLV391" s="119"/>
      <c r="NLW391" s="104"/>
      <c r="NLX391" s="455"/>
      <c r="NLY391" s="104"/>
      <c r="NLZ391" s="104"/>
      <c r="NMA391" s="109"/>
      <c r="NMB391" s="104"/>
      <c r="NMC391" s="104"/>
      <c r="NMD391" s="119"/>
      <c r="NME391" s="104"/>
      <c r="NMF391" s="455"/>
      <c r="NMG391" s="104"/>
      <c r="NMH391" s="104"/>
      <c r="NMI391" s="109"/>
      <c r="NMJ391" s="104"/>
      <c r="NMK391" s="104"/>
      <c r="NML391" s="119"/>
      <c r="NMM391" s="104"/>
      <c r="NMN391" s="455"/>
      <c r="NMO391" s="104"/>
      <c r="NMP391" s="104"/>
      <c r="NMQ391" s="109"/>
      <c r="NMR391" s="104"/>
      <c r="NMS391" s="104"/>
      <c r="NMT391" s="119"/>
      <c r="NMU391" s="104"/>
      <c r="NMV391" s="455"/>
      <c r="NMW391" s="104"/>
      <c r="NMX391" s="104"/>
      <c r="NMY391" s="109"/>
      <c r="NMZ391" s="104"/>
      <c r="NNA391" s="104"/>
      <c r="NNB391" s="119"/>
      <c r="NNC391" s="104"/>
      <c r="NND391" s="455"/>
      <c r="NNE391" s="104"/>
      <c r="NNF391" s="104"/>
      <c r="NNG391" s="109"/>
      <c r="NNH391" s="104"/>
      <c r="NNI391" s="104"/>
      <c r="NNJ391" s="119"/>
      <c r="NNK391" s="104"/>
      <c r="NNL391" s="455"/>
      <c r="NNM391" s="104"/>
      <c r="NNN391" s="104"/>
      <c r="NNO391" s="109"/>
      <c r="NNP391" s="104"/>
      <c r="NNQ391" s="104"/>
      <c r="NNR391" s="119"/>
      <c r="NNS391" s="104"/>
      <c r="NNT391" s="455"/>
      <c r="NNU391" s="104"/>
      <c r="NNV391" s="104"/>
      <c r="NNW391" s="109"/>
      <c r="NNX391" s="104"/>
      <c r="NNY391" s="104"/>
      <c r="NNZ391" s="119"/>
      <c r="NOA391" s="104"/>
      <c r="NOB391" s="455"/>
      <c r="NOC391" s="104"/>
      <c r="NOD391" s="104"/>
      <c r="NOE391" s="109"/>
      <c r="NOF391" s="104"/>
      <c r="NOG391" s="104"/>
      <c r="NOH391" s="119"/>
      <c r="NOI391" s="104"/>
      <c r="NOJ391" s="455"/>
      <c r="NOK391" s="104"/>
      <c r="NOL391" s="104"/>
      <c r="NOM391" s="109"/>
      <c r="NON391" s="104"/>
      <c r="NOO391" s="104"/>
      <c r="NOP391" s="119"/>
      <c r="NOQ391" s="104"/>
      <c r="NOR391" s="455"/>
      <c r="NOS391" s="104"/>
      <c r="NOT391" s="104"/>
      <c r="NOU391" s="109"/>
      <c r="NOV391" s="104"/>
      <c r="NOW391" s="104"/>
      <c r="NOX391" s="119"/>
      <c r="NOY391" s="104"/>
      <c r="NOZ391" s="455"/>
      <c r="NPA391" s="104"/>
      <c r="NPB391" s="104"/>
      <c r="NPC391" s="109"/>
      <c r="NPD391" s="104"/>
      <c r="NPE391" s="104"/>
      <c r="NPF391" s="119"/>
      <c r="NPG391" s="104"/>
      <c r="NPH391" s="455"/>
      <c r="NPI391" s="104"/>
      <c r="NPJ391" s="104"/>
      <c r="NPK391" s="109"/>
      <c r="NPL391" s="104"/>
      <c r="NPM391" s="104"/>
      <c r="NPN391" s="119"/>
      <c r="NPO391" s="104"/>
      <c r="NPP391" s="455"/>
      <c r="NPQ391" s="104"/>
      <c r="NPR391" s="104"/>
      <c r="NPS391" s="109"/>
      <c r="NPT391" s="104"/>
      <c r="NPU391" s="104"/>
      <c r="NPV391" s="119"/>
      <c r="NPW391" s="104"/>
      <c r="NPX391" s="455"/>
      <c r="NPY391" s="104"/>
      <c r="NPZ391" s="104"/>
      <c r="NQA391" s="109"/>
      <c r="NQB391" s="104"/>
      <c r="NQC391" s="104"/>
      <c r="NQD391" s="119"/>
      <c r="NQE391" s="104"/>
      <c r="NQF391" s="455"/>
      <c r="NQG391" s="104"/>
      <c r="NQH391" s="104"/>
      <c r="NQI391" s="109"/>
      <c r="NQJ391" s="104"/>
      <c r="NQK391" s="104"/>
      <c r="NQL391" s="119"/>
      <c r="NQM391" s="104"/>
      <c r="NQN391" s="455"/>
      <c r="NQO391" s="104"/>
      <c r="NQP391" s="104"/>
      <c r="NQQ391" s="109"/>
      <c r="NQR391" s="104"/>
      <c r="NQS391" s="104"/>
      <c r="NQT391" s="119"/>
      <c r="NQU391" s="104"/>
      <c r="NQV391" s="455"/>
      <c r="NQW391" s="104"/>
      <c r="NQX391" s="104"/>
      <c r="NQY391" s="109"/>
      <c r="NQZ391" s="104"/>
      <c r="NRA391" s="104"/>
      <c r="NRB391" s="119"/>
      <c r="NRC391" s="104"/>
      <c r="NRD391" s="455"/>
      <c r="NRE391" s="104"/>
      <c r="NRF391" s="104"/>
      <c r="NRG391" s="109"/>
      <c r="NRH391" s="104"/>
      <c r="NRI391" s="104"/>
      <c r="NRJ391" s="119"/>
      <c r="NRK391" s="104"/>
      <c r="NRL391" s="455"/>
      <c r="NRM391" s="104"/>
      <c r="NRN391" s="104"/>
      <c r="NRO391" s="109"/>
      <c r="NRP391" s="104"/>
      <c r="NRQ391" s="104"/>
      <c r="NRR391" s="119"/>
      <c r="NRS391" s="104"/>
      <c r="NRT391" s="455"/>
      <c r="NRU391" s="104"/>
      <c r="NRV391" s="104"/>
      <c r="NRW391" s="109"/>
      <c r="NRX391" s="104"/>
      <c r="NRY391" s="104"/>
      <c r="NRZ391" s="119"/>
      <c r="NSA391" s="104"/>
      <c r="NSB391" s="455"/>
      <c r="NSC391" s="104"/>
      <c r="NSD391" s="104"/>
      <c r="NSE391" s="109"/>
      <c r="NSF391" s="104"/>
      <c r="NSG391" s="104"/>
      <c r="NSH391" s="119"/>
      <c r="NSI391" s="104"/>
      <c r="NSJ391" s="455"/>
      <c r="NSK391" s="104"/>
      <c r="NSL391" s="104"/>
      <c r="NSM391" s="109"/>
      <c r="NSN391" s="104"/>
      <c r="NSO391" s="104"/>
      <c r="NSP391" s="119"/>
      <c r="NSQ391" s="104"/>
      <c r="NSR391" s="455"/>
      <c r="NSS391" s="104"/>
      <c r="NST391" s="104"/>
      <c r="NSU391" s="109"/>
      <c r="NSV391" s="104"/>
      <c r="NSW391" s="104"/>
      <c r="NSX391" s="119"/>
      <c r="NSY391" s="104"/>
      <c r="NSZ391" s="455"/>
      <c r="NTA391" s="104"/>
      <c r="NTB391" s="104"/>
      <c r="NTC391" s="109"/>
      <c r="NTD391" s="104"/>
      <c r="NTE391" s="104"/>
      <c r="NTF391" s="119"/>
      <c r="NTG391" s="104"/>
      <c r="NTH391" s="455"/>
      <c r="NTI391" s="104"/>
      <c r="NTJ391" s="104"/>
      <c r="NTK391" s="109"/>
      <c r="NTL391" s="104"/>
      <c r="NTM391" s="104"/>
      <c r="NTN391" s="119"/>
      <c r="NTO391" s="104"/>
      <c r="NTP391" s="455"/>
      <c r="NTQ391" s="104"/>
      <c r="NTR391" s="104"/>
      <c r="NTS391" s="109"/>
      <c r="NTT391" s="104"/>
      <c r="NTU391" s="104"/>
      <c r="NTV391" s="119"/>
      <c r="NTW391" s="104"/>
      <c r="NTX391" s="455"/>
      <c r="NTY391" s="104"/>
      <c r="NTZ391" s="104"/>
      <c r="NUA391" s="109"/>
      <c r="NUB391" s="104"/>
      <c r="NUC391" s="104"/>
      <c r="NUD391" s="119"/>
      <c r="NUE391" s="104"/>
      <c r="NUF391" s="455"/>
      <c r="NUG391" s="104"/>
      <c r="NUH391" s="104"/>
      <c r="NUI391" s="109"/>
      <c r="NUJ391" s="104"/>
      <c r="NUK391" s="104"/>
      <c r="NUL391" s="119"/>
      <c r="NUM391" s="104"/>
      <c r="NUN391" s="455"/>
      <c r="NUO391" s="104"/>
      <c r="NUP391" s="104"/>
      <c r="NUQ391" s="109"/>
      <c r="NUR391" s="104"/>
      <c r="NUS391" s="104"/>
      <c r="NUT391" s="119"/>
      <c r="NUU391" s="104"/>
      <c r="NUV391" s="455"/>
      <c r="NUW391" s="104"/>
      <c r="NUX391" s="104"/>
      <c r="NUY391" s="109"/>
      <c r="NUZ391" s="104"/>
      <c r="NVA391" s="104"/>
      <c r="NVB391" s="119"/>
      <c r="NVC391" s="104"/>
      <c r="NVD391" s="455"/>
      <c r="NVE391" s="104"/>
      <c r="NVF391" s="104"/>
      <c r="NVG391" s="109"/>
      <c r="NVH391" s="104"/>
      <c r="NVI391" s="104"/>
      <c r="NVJ391" s="119"/>
      <c r="NVK391" s="104"/>
      <c r="NVL391" s="455"/>
      <c r="NVM391" s="104"/>
      <c r="NVN391" s="104"/>
      <c r="NVO391" s="109"/>
      <c r="NVP391" s="104"/>
      <c r="NVQ391" s="104"/>
      <c r="NVR391" s="119"/>
      <c r="NVS391" s="104"/>
      <c r="NVT391" s="455"/>
      <c r="NVU391" s="104"/>
      <c r="NVV391" s="104"/>
      <c r="NVW391" s="109"/>
      <c r="NVX391" s="104"/>
      <c r="NVY391" s="104"/>
      <c r="NVZ391" s="119"/>
      <c r="NWA391" s="104"/>
      <c r="NWB391" s="455"/>
      <c r="NWC391" s="104"/>
      <c r="NWD391" s="104"/>
      <c r="NWE391" s="109"/>
      <c r="NWF391" s="104"/>
      <c r="NWG391" s="104"/>
      <c r="NWH391" s="119"/>
      <c r="NWI391" s="104"/>
      <c r="NWJ391" s="455"/>
      <c r="NWK391" s="104"/>
      <c r="NWL391" s="104"/>
      <c r="NWM391" s="109"/>
      <c r="NWN391" s="104"/>
      <c r="NWO391" s="104"/>
      <c r="NWP391" s="119"/>
      <c r="NWQ391" s="104"/>
      <c r="NWR391" s="455"/>
      <c r="NWS391" s="104"/>
      <c r="NWT391" s="104"/>
      <c r="NWU391" s="109"/>
      <c r="NWV391" s="104"/>
      <c r="NWW391" s="104"/>
      <c r="NWX391" s="119"/>
      <c r="NWY391" s="104"/>
      <c r="NWZ391" s="455"/>
      <c r="NXA391" s="104"/>
      <c r="NXB391" s="104"/>
      <c r="NXC391" s="109"/>
      <c r="NXD391" s="104"/>
      <c r="NXE391" s="104"/>
      <c r="NXF391" s="119"/>
      <c r="NXG391" s="104"/>
      <c r="NXH391" s="455"/>
      <c r="NXI391" s="104"/>
      <c r="NXJ391" s="104"/>
      <c r="NXK391" s="109"/>
      <c r="NXL391" s="104"/>
      <c r="NXM391" s="104"/>
      <c r="NXN391" s="119"/>
      <c r="NXO391" s="104"/>
      <c r="NXP391" s="455"/>
      <c r="NXQ391" s="104"/>
      <c r="NXR391" s="104"/>
      <c r="NXS391" s="109"/>
      <c r="NXT391" s="104"/>
      <c r="NXU391" s="104"/>
      <c r="NXV391" s="119"/>
      <c r="NXW391" s="104"/>
      <c r="NXX391" s="455"/>
      <c r="NXY391" s="104"/>
      <c r="NXZ391" s="104"/>
      <c r="NYA391" s="109"/>
      <c r="NYB391" s="104"/>
      <c r="NYC391" s="104"/>
      <c r="NYD391" s="119"/>
      <c r="NYE391" s="104"/>
      <c r="NYF391" s="455"/>
      <c r="NYG391" s="104"/>
      <c r="NYH391" s="104"/>
      <c r="NYI391" s="109"/>
      <c r="NYJ391" s="104"/>
      <c r="NYK391" s="104"/>
      <c r="NYL391" s="119"/>
      <c r="NYM391" s="104"/>
      <c r="NYN391" s="455"/>
      <c r="NYO391" s="104"/>
      <c r="NYP391" s="104"/>
      <c r="NYQ391" s="109"/>
      <c r="NYR391" s="104"/>
      <c r="NYS391" s="104"/>
      <c r="NYT391" s="119"/>
      <c r="NYU391" s="104"/>
      <c r="NYV391" s="455"/>
      <c r="NYW391" s="104"/>
      <c r="NYX391" s="104"/>
      <c r="NYY391" s="109"/>
      <c r="NYZ391" s="104"/>
      <c r="NZA391" s="104"/>
      <c r="NZB391" s="119"/>
      <c r="NZC391" s="104"/>
      <c r="NZD391" s="455"/>
      <c r="NZE391" s="104"/>
      <c r="NZF391" s="104"/>
      <c r="NZG391" s="109"/>
      <c r="NZH391" s="104"/>
      <c r="NZI391" s="104"/>
      <c r="NZJ391" s="119"/>
      <c r="NZK391" s="104"/>
      <c r="NZL391" s="455"/>
      <c r="NZM391" s="104"/>
      <c r="NZN391" s="104"/>
      <c r="NZO391" s="109"/>
      <c r="NZP391" s="104"/>
      <c r="NZQ391" s="104"/>
      <c r="NZR391" s="119"/>
      <c r="NZS391" s="104"/>
      <c r="NZT391" s="455"/>
      <c r="NZU391" s="104"/>
      <c r="NZV391" s="104"/>
      <c r="NZW391" s="109"/>
      <c r="NZX391" s="104"/>
      <c r="NZY391" s="104"/>
      <c r="NZZ391" s="119"/>
      <c r="OAA391" s="104"/>
      <c r="OAB391" s="455"/>
      <c r="OAC391" s="104"/>
      <c r="OAD391" s="104"/>
      <c r="OAE391" s="109"/>
      <c r="OAF391" s="104"/>
      <c r="OAG391" s="104"/>
      <c r="OAH391" s="119"/>
      <c r="OAI391" s="104"/>
      <c r="OAJ391" s="455"/>
      <c r="OAK391" s="104"/>
      <c r="OAL391" s="104"/>
      <c r="OAM391" s="109"/>
      <c r="OAN391" s="104"/>
      <c r="OAO391" s="104"/>
      <c r="OAP391" s="119"/>
      <c r="OAQ391" s="104"/>
      <c r="OAR391" s="455"/>
      <c r="OAS391" s="104"/>
      <c r="OAT391" s="104"/>
      <c r="OAU391" s="109"/>
      <c r="OAV391" s="104"/>
      <c r="OAW391" s="104"/>
      <c r="OAX391" s="119"/>
      <c r="OAY391" s="104"/>
      <c r="OAZ391" s="455"/>
      <c r="OBA391" s="104"/>
      <c r="OBB391" s="104"/>
      <c r="OBC391" s="109"/>
      <c r="OBD391" s="104"/>
      <c r="OBE391" s="104"/>
      <c r="OBF391" s="119"/>
      <c r="OBG391" s="104"/>
      <c r="OBH391" s="455"/>
      <c r="OBI391" s="104"/>
      <c r="OBJ391" s="104"/>
      <c r="OBK391" s="109"/>
      <c r="OBL391" s="104"/>
      <c r="OBM391" s="104"/>
      <c r="OBN391" s="119"/>
      <c r="OBO391" s="104"/>
      <c r="OBP391" s="455"/>
      <c r="OBQ391" s="104"/>
      <c r="OBR391" s="104"/>
      <c r="OBS391" s="109"/>
      <c r="OBT391" s="104"/>
      <c r="OBU391" s="104"/>
      <c r="OBV391" s="119"/>
      <c r="OBW391" s="104"/>
      <c r="OBX391" s="455"/>
      <c r="OBY391" s="104"/>
      <c r="OBZ391" s="104"/>
      <c r="OCA391" s="109"/>
      <c r="OCB391" s="104"/>
      <c r="OCC391" s="104"/>
      <c r="OCD391" s="119"/>
      <c r="OCE391" s="104"/>
      <c r="OCF391" s="455"/>
      <c r="OCG391" s="104"/>
      <c r="OCH391" s="104"/>
      <c r="OCI391" s="109"/>
      <c r="OCJ391" s="104"/>
      <c r="OCK391" s="104"/>
      <c r="OCL391" s="119"/>
      <c r="OCM391" s="104"/>
      <c r="OCN391" s="455"/>
      <c r="OCO391" s="104"/>
      <c r="OCP391" s="104"/>
      <c r="OCQ391" s="109"/>
      <c r="OCR391" s="104"/>
      <c r="OCS391" s="104"/>
      <c r="OCT391" s="119"/>
      <c r="OCU391" s="104"/>
      <c r="OCV391" s="455"/>
      <c r="OCW391" s="104"/>
      <c r="OCX391" s="104"/>
      <c r="OCY391" s="109"/>
      <c r="OCZ391" s="104"/>
      <c r="ODA391" s="104"/>
      <c r="ODB391" s="119"/>
      <c r="ODC391" s="104"/>
      <c r="ODD391" s="455"/>
      <c r="ODE391" s="104"/>
      <c r="ODF391" s="104"/>
      <c r="ODG391" s="109"/>
      <c r="ODH391" s="104"/>
      <c r="ODI391" s="104"/>
      <c r="ODJ391" s="119"/>
      <c r="ODK391" s="104"/>
      <c r="ODL391" s="455"/>
      <c r="ODM391" s="104"/>
      <c r="ODN391" s="104"/>
      <c r="ODO391" s="109"/>
      <c r="ODP391" s="104"/>
      <c r="ODQ391" s="104"/>
      <c r="ODR391" s="119"/>
      <c r="ODS391" s="104"/>
      <c r="ODT391" s="455"/>
      <c r="ODU391" s="104"/>
      <c r="ODV391" s="104"/>
      <c r="ODW391" s="109"/>
      <c r="ODX391" s="104"/>
      <c r="ODY391" s="104"/>
      <c r="ODZ391" s="119"/>
      <c r="OEA391" s="104"/>
      <c r="OEB391" s="455"/>
      <c r="OEC391" s="104"/>
      <c r="OED391" s="104"/>
      <c r="OEE391" s="109"/>
      <c r="OEF391" s="104"/>
      <c r="OEG391" s="104"/>
      <c r="OEH391" s="119"/>
      <c r="OEI391" s="104"/>
      <c r="OEJ391" s="455"/>
      <c r="OEK391" s="104"/>
      <c r="OEL391" s="104"/>
      <c r="OEM391" s="109"/>
      <c r="OEN391" s="104"/>
      <c r="OEO391" s="104"/>
      <c r="OEP391" s="119"/>
      <c r="OEQ391" s="104"/>
      <c r="OER391" s="455"/>
      <c r="OES391" s="104"/>
      <c r="OET391" s="104"/>
      <c r="OEU391" s="109"/>
      <c r="OEV391" s="104"/>
      <c r="OEW391" s="104"/>
      <c r="OEX391" s="119"/>
      <c r="OEY391" s="104"/>
      <c r="OEZ391" s="455"/>
      <c r="OFA391" s="104"/>
      <c r="OFB391" s="104"/>
      <c r="OFC391" s="109"/>
      <c r="OFD391" s="104"/>
      <c r="OFE391" s="104"/>
      <c r="OFF391" s="119"/>
      <c r="OFG391" s="104"/>
      <c r="OFH391" s="455"/>
      <c r="OFI391" s="104"/>
      <c r="OFJ391" s="104"/>
      <c r="OFK391" s="109"/>
      <c r="OFL391" s="104"/>
      <c r="OFM391" s="104"/>
      <c r="OFN391" s="119"/>
      <c r="OFO391" s="104"/>
      <c r="OFP391" s="455"/>
      <c r="OFQ391" s="104"/>
      <c r="OFR391" s="104"/>
      <c r="OFS391" s="109"/>
      <c r="OFT391" s="104"/>
      <c r="OFU391" s="104"/>
      <c r="OFV391" s="119"/>
      <c r="OFW391" s="104"/>
      <c r="OFX391" s="455"/>
      <c r="OFY391" s="104"/>
      <c r="OFZ391" s="104"/>
      <c r="OGA391" s="109"/>
      <c r="OGB391" s="104"/>
      <c r="OGC391" s="104"/>
      <c r="OGD391" s="119"/>
      <c r="OGE391" s="104"/>
      <c r="OGF391" s="455"/>
      <c r="OGG391" s="104"/>
      <c r="OGH391" s="104"/>
      <c r="OGI391" s="109"/>
      <c r="OGJ391" s="104"/>
      <c r="OGK391" s="104"/>
      <c r="OGL391" s="119"/>
      <c r="OGM391" s="104"/>
      <c r="OGN391" s="455"/>
      <c r="OGO391" s="104"/>
      <c r="OGP391" s="104"/>
      <c r="OGQ391" s="109"/>
      <c r="OGR391" s="104"/>
      <c r="OGS391" s="104"/>
      <c r="OGT391" s="119"/>
      <c r="OGU391" s="104"/>
      <c r="OGV391" s="455"/>
      <c r="OGW391" s="104"/>
      <c r="OGX391" s="104"/>
      <c r="OGY391" s="109"/>
      <c r="OGZ391" s="104"/>
      <c r="OHA391" s="104"/>
      <c r="OHB391" s="119"/>
      <c r="OHC391" s="104"/>
      <c r="OHD391" s="455"/>
      <c r="OHE391" s="104"/>
      <c r="OHF391" s="104"/>
      <c r="OHG391" s="109"/>
      <c r="OHH391" s="104"/>
      <c r="OHI391" s="104"/>
      <c r="OHJ391" s="119"/>
      <c r="OHK391" s="104"/>
      <c r="OHL391" s="455"/>
      <c r="OHM391" s="104"/>
      <c r="OHN391" s="104"/>
      <c r="OHO391" s="109"/>
      <c r="OHP391" s="104"/>
      <c r="OHQ391" s="104"/>
      <c r="OHR391" s="119"/>
      <c r="OHS391" s="104"/>
      <c r="OHT391" s="455"/>
      <c r="OHU391" s="104"/>
      <c r="OHV391" s="104"/>
      <c r="OHW391" s="109"/>
      <c r="OHX391" s="104"/>
      <c r="OHY391" s="104"/>
      <c r="OHZ391" s="119"/>
      <c r="OIA391" s="104"/>
      <c r="OIB391" s="455"/>
      <c r="OIC391" s="104"/>
      <c r="OID391" s="104"/>
      <c r="OIE391" s="109"/>
      <c r="OIF391" s="104"/>
      <c r="OIG391" s="104"/>
      <c r="OIH391" s="119"/>
      <c r="OII391" s="104"/>
      <c r="OIJ391" s="455"/>
      <c r="OIK391" s="104"/>
      <c r="OIL391" s="104"/>
      <c r="OIM391" s="109"/>
      <c r="OIN391" s="104"/>
      <c r="OIO391" s="104"/>
      <c r="OIP391" s="119"/>
      <c r="OIQ391" s="104"/>
      <c r="OIR391" s="455"/>
      <c r="OIS391" s="104"/>
      <c r="OIT391" s="104"/>
      <c r="OIU391" s="109"/>
      <c r="OIV391" s="104"/>
      <c r="OIW391" s="104"/>
      <c r="OIX391" s="119"/>
      <c r="OIY391" s="104"/>
      <c r="OIZ391" s="455"/>
      <c r="OJA391" s="104"/>
      <c r="OJB391" s="104"/>
      <c r="OJC391" s="109"/>
      <c r="OJD391" s="104"/>
      <c r="OJE391" s="104"/>
      <c r="OJF391" s="119"/>
      <c r="OJG391" s="104"/>
      <c r="OJH391" s="455"/>
      <c r="OJI391" s="104"/>
      <c r="OJJ391" s="104"/>
      <c r="OJK391" s="109"/>
      <c r="OJL391" s="104"/>
      <c r="OJM391" s="104"/>
      <c r="OJN391" s="119"/>
      <c r="OJO391" s="104"/>
      <c r="OJP391" s="455"/>
      <c r="OJQ391" s="104"/>
      <c r="OJR391" s="104"/>
      <c r="OJS391" s="109"/>
      <c r="OJT391" s="104"/>
      <c r="OJU391" s="104"/>
      <c r="OJV391" s="119"/>
      <c r="OJW391" s="104"/>
      <c r="OJX391" s="455"/>
      <c r="OJY391" s="104"/>
      <c r="OJZ391" s="104"/>
      <c r="OKA391" s="109"/>
      <c r="OKB391" s="104"/>
      <c r="OKC391" s="104"/>
      <c r="OKD391" s="119"/>
      <c r="OKE391" s="104"/>
      <c r="OKF391" s="455"/>
      <c r="OKG391" s="104"/>
      <c r="OKH391" s="104"/>
      <c r="OKI391" s="109"/>
      <c r="OKJ391" s="104"/>
      <c r="OKK391" s="104"/>
      <c r="OKL391" s="119"/>
      <c r="OKM391" s="104"/>
      <c r="OKN391" s="455"/>
      <c r="OKO391" s="104"/>
      <c r="OKP391" s="104"/>
      <c r="OKQ391" s="109"/>
      <c r="OKR391" s="104"/>
      <c r="OKS391" s="104"/>
      <c r="OKT391" s="119"/>
      <c r="OKU391" s="104"/>
      <c r="OKV391" s="455"/>
      <c r="OKW391" s="104"/>
      <c r="OKX391" s="104"/>
      <c r="OKY391" s="109"/>
      <c r="OKZ391" s="104"/>
      <c r="OLA391" s="104"/>
      <c r="OLB391" s="119"/>
      <c r="OLC391" s="104"/>
      <c r="OLD391" s="455"/>
      <c r="OLE391" s="104"/>
      <c r="OLF391" s="104"/>
      <c r="OLG391" s="109"/>
      <c r="OLH391" s="104"/>
      <c r="OLI391" s="104"/>
      <c r="OLJ391" s="119"/>
      <c r="OLK391" s="104"/>
      <c r="OLL391" s="455"/>
      <c r="OLM391" s="104"/>
      <c r="OLN391" s="104"/>
      <c r="OLO391" s="109"/>
      <c r="OLP391" s="104"/>
      <c r="OLQ391" s="104"/>
      <c r="OLR391" s="119"/>
      <c r="OLS391" s="104"/>
      <c r="OLT391" s="455"/>
      <c r="OLU391" s="104"/>
      <c r="OLV391" s="104"/>
      <c r="OLW391" s="109"/>
      <c r="OLX391" s="104"/>
      <c r="OLY391" s="104"/>
      <c r="OLZ391" s="119"/>
      <c r="OMA391" s="104"/>
      <c r="OMB391" s="455"/>
      <c r="OMC391" s="104"/>
      <c r="OMD391" s="104"/>
      <c r="OME391" s="109"/>
      <c r="OMF391" s="104"/>
      <c r="OMG391" s="104"/>
      <c r="OMH391" s="119"/>
      <c r="OMI391" s="104"/>
      <c r="OMJ391" s="455"/>
      <c r="OMK391" s="104"/>
      <c r="OML391" s="104"/>
      <c r="OMM391" s="109"/>
      <c r="OMN391" s="104"/>
      <c r="OMO391" s="104"/>
      <c r="OMP391" s="119"/>
      <c r="OMQ391" s="104"/>
      <c r="OMR391" s="455"/>
      <c r="OMS391" s="104"/>
      <c r="OMT391" s="104"/>
      <c r="OMU391" s="109"/>
      <c r="OMV391" s="104"/>
      <c r="OMW391" s="104"/>
      <c r="OMX391" s="119"/>
      <c r="OMY391" s="104"/>
      <c r="OMZ391" s="455"/>
      <c r="ONA391" s="104"/>
      <c r="ONB391" s="104"/>
      <c r="ONC391" s="109"/>
      <c r="OND391" s="104"/>
      <c r="ONE391" s="104"/>
      <c r="ONF391" s="119"/>
      <c r="ONG391" s="104"/>
      <c r="ONH391" s="455"/>
      <c r="ONI391" s="104"/>
      <c r="ONJ391" s="104"/>
      <c r="ONK391" s="109"/>
      <c r="ONL391" s="104"/>
      <c r="ONM391" s="104"/>
      <c r="ONN391" s="119"/>
      <c r="ONO391" s="104"/>
      <c r="ONP391" s="455"/>
      <c r="ONQ391" s="104"/>
      <c r="ONR391" s="104"/>
      <c r="ONS391" s="109"/>
      <c r="ONT391" s="104"/>
      <c r="ONU391" s="104"/>
      <c r="ONV391" s="119"/>
      <c r="ONW391" s="104"/>
      <c r="ONX391" s="455"/>
      <c r="ONY391" s="104"/>
      <c r="ONZ391" s="104"/>
      <c r="OOA391" s="109"/>
      <c r="OOB391" s="104"/>
      <c r="OOC391" s="104"/>
      <c r="OOD391" s="119"/>
      <c r="OOE391" s="104"/>
      <c r="OOF391" s="455"/>
      <c r="OOG391" s="104"/>
      <c r="OOH391" s="104"/>
      <c r="OOI391" s="109"/>
      <c r="OOJ391" s="104"/>
      <c r="OOK391" s="104"/>
      <c r="OOL391" s="119"/>
      <c r="OOM391" s="104"/>
      <c r="OON391" s="455"/>
      <c r="OOO391" s="104"/>
      <c r="OOP391" s="104"/>
      <c r="OOQ391" s="109"/>
      <c r="OOR391" s="104"/>
      <c r="OOS391" s="104"/>
      <c r="OOT391" s="119"/>
      <c r="OOU391" s="104"/>
      <c r="OOV391" s="455"/>
      <c r="OOW391" s="104"/>
      <c r="OOX391" s="104"/>
      <c r="OOY391" s="109"/>
      <c r="OOZ391" s="104"/>
      <c r="OPA391" s="104"/>
      <c r="OPB391" s="119"/>
      <c r="OPC391" s="104"/>
      <c r="OPD391" s="455"/>
      <c r="OPE391" s="104"/>
      <c r="OPF391" s="104"/>
      <c r="OPG391" s="109"/>
      <c r="OPH391" s="104"/>
      <c r="OPI391" s="104"/>
      <c r="OPJ391" s="119"/>
      <c r="OPK391" s="104"/>
      <c r="OPL391" s="455"/>
      <c r="OPM391" s="104"/>
      <c r="OPN391" s="104"/>
      <c r="OPO391" s="109"/>
      <c r="OPP391" s="104"/>
      <c r="OPQ391" s="104"/>
      <c r="OPR391" s="119"/>
      <c r="OPS391" s="104"/>
      <c r="OPT391" s="455"/>
      <c r="OPU391" s="104"/>
      <c r="OPV391" s="104"/>
      <c r="OPW391" s="109"/>
      <c r="OPX391" s="104"/>
      <c r="OPY391" s="104"/>
      <c r="OPZ391" s="119"/>
      <c r="OQA391" s="104"/>
      <c r="OQB391" s="455"/>
      <c r="OQC391" s="104"/>
      <c r="OQD391" s="104"/>
      <c r="OQE391" s="109"/>
      <c r="OQF391" s="104"/>
      <c r="OQG391" s="104"/>
      <c r="OQH391" s="119"/>
      <c r="OQI391" s="104"/>
      <c r="OQJ391" s="455"/>
      <c r="OQK391" s="104"/>
      <c r="OQL391" s="104"/>
      <c r="OQM391" s="109"/>
      <c r="OQN391" s="104"/>
      <c r="OQO391" s="104"/>
      <c r="OQP391" s="119"/>
      <c r="OQQ391" s="104"/>
      <c r="OQR391" s="455"/>
      <c r="OQS391" s="104"/>
      <c r="OQT391" s="104"/>
      <c r="OQU391" s="109"/>
      <c r="OQV391" s="104"/>
      <c r="OQW391" s="104"/>
      <c r="OQX391" s="119"/>
      <c r="OQY391" s="104"/>
      <c r="OQZ391" s="455"/>
      <c r="ORA391" s="104"/>
      <c r="ORB391" s="104"/>
      <c r="ORC391" s="109"/>
      <c r="ORD391" s="104"/>
      <c r="ORE391" s="104"/>
      <c r="ORF391" s="119"/>
      <c r="ORG391" s="104"/>
      <c r="ORH391" s="455"/>
      <c r="ORI391" s="104"/>
      <c r="ORJ391" s="104"/>
      <c r="ORK391" s="109"/>
      <c r="ORL391" s="104"/>
      <c r="ORM391" s="104"/>
      <c r="ORN391" s="119"/>
      <c r="ORO391" s="104"/>
      <c r="ORP391" s="455"/>
      <c r="ORQ391" s="104"/>
      <c r="ORR391" s="104"/>
      <c r="ORS391" s="109"/>
      <c r="ORT391" s="104"/>
      <c r="ORU391" s="104"/>
      <c r="ORV391" s="119"/>
      <c r="ORW391" s="104"/>
      <c r="ORX391" s="455"/>
      <c r="ORY391" s="104"/>
      <c r="ORZ391" s="104"/>
      <c r="OSA391" s="109"/>
      <c r="OSB391" s="104"/>
      <c r="OSC391" s="104"/>
      <c r="OSD391" s="119"/>
      <c r="OSE391" s="104"/>
      <c r="OSF391" s="455"/>
      <c r="OSG391" s="104"/>
      <c r="OSH391" s="104"/>
      <c r="OSI391" s="109"/>
      <c r="OSJ391" s="104"/>
      <c r="OSK391" s="104"/>
      <c r="OSL391" s="119"/>
      <c r="OSM391" s="104"/>
      <c r="OSN391" s="455"/>
      <c r="OSO391" s="104"/>
      <c r="OSP391" s="104"/>
      <c r="OSQ391" s="109"/>
      <c r="OSR391" s="104"/>
      <c r="OSS391" s="104"/>
      <c r="OST391" s="119"/>
      <c r="OSU391" s="104"/>
      <c r="OSV391" s="455"/>
      <c r="OSW391" s="104"/>
      <c r="OSX391" s="104"/>
      <c r="OSY391" s="109"/>
      <c r="OSZ391" s="104"/>
      <c r="OTA391" s="104"/>
      <c r="OTB391" s="119"/>
      <c r="OTC391" s="104"/>
      <c r="OTD391" s="455"/>
      <c r="OTE391" s="104"/>
      <c r="OTF391" s="104"/>
      <c r="OTG391" s="109"/>
      <c r="OTH391" s="104"/>
      <c r="OTI391" s="104"/>
      <c r="OTJ391" s="119"/>
      <c r="OTK391" s="104"/>
      <c r="OTL391" s="455"/>
      <c r="OTM391" s="104"/>
      <c r="OTN391" s="104"/>
      <c r="OTO391" s="109"/>
      <c r="OTP391" s="104"/>
      <c r="OTQ391" s="104"/>
      <c r="OTR391" s="119"/>
      <c r="OTS391" s="104"/>
      <c r="OTT391" s="455"/>
      <c r="OTU391" s="104"/>
      <c r="OTV391" s="104"/>
      <c r="OTW391" s="109"/>
      <c r="OTX391" s="104"/>
      <c r="OTY391" s="104"/>
      <c r="OTZ391" s="119"/>
      <c r="OUA391" s="104"/>
      <c r="OUB391" s="455"/>
      <c r="OUC391" s="104"/>
      <c r="OUD391" s="104"/>
      <c r="OUE391" s="109"/>
      <c r="OUF391" s="104"/>
      <c r="OUG391" s="104"/>
      <c r="OUH391" s="119"/>
      <c r="OUI391" s="104"/>
      <c r="OUJ391" s="455"/>
      <c r="OUK391" s="104"/>
      <c r="OUL391" s="104"/>
      <c r="OUM391" s="109"/>
      <c r="OUN391" s="104"/>
      <c r="OUO391" s="104"/>
      <c r="OUP391" s="119"/>
      <c r="OUQ391" s="104"/>
      <c r="OUR391" s="455"/>
      <c r="OUS391" s="104"/>
      <c r="OUT391" s="104"/>
      <c r="OUU391" s="109"/>
      <c r="OUV391" s="104"/>
      <c r="OUW391" s="104"/>
      <c r="OUX391" s="119"/>
      <c r="OUY391" s="104"/>
      <c r="OUZ391" s="455"/>
      <c r="OVA391" s="104"/>
      <c r="OVB391" s="104"/>
      <c r="OVC391" s="109"/>
      <c r="OVD391" s="104"/>
      <c r="OVE391" s="104"/>
      <c r="OVF391" s="119"/>
      <c r="OVG391" s="104"/>
      <c r="OVH391" s="455"/>
      <c r="OVI391" s="104"/>
      <c r="OVJ391" s="104"/>
      <c r="OVK391" s="109"/>
      <c r="OVL391" s="104"/>
      <c r="OVM391" s="104"/>
      <c r="OVN391" s="119"/>
      <c r="OVO391" s="104"/>
      <c r="OVP391" s="455"/>
      <c r="OVQ391" s="104"/>
      <c r="OVR391" s="104"/>
      <c r="OVS391" s="109"/>
      <c r="OVT391" s="104"/>
      <c r="OVU391" s="104"/>
      <c r="OVV391" s="119"/>
      <c r="OVW391" s="104"/>
      <c r="OVX391" s="455"/>
      <c r="OVY391" s="104"/>
      <c r="OVZ391" s="104"/>
      <c r="OWA391" s="109"/>
      <c r="OWB391" s="104"/>
      <c r="OWC391" s="104"/>
      <c r="OWD391" s="119"/>
      <c r="OWE391" s="104"/>
      <c r="OWF391" s="455"/>
      <c r="OWG391" s="104"/>
      <c r="OWH391" s="104"/>
      <c r="OWI391" s="109"/>
      <c r="OWJ391" s="104"/>
      <c r="OWK391" s="104"/>
      <c r="OWL391" s="119"/>
      <c r="OWM391" s="104"/>
      <c r="OWN391" s="455"/>
      <c r="OWO391" s="104"/>
      <c r="OWP391" s="104"/>
      <c r="OWQ391" s="109"/>
      <c r="OWR391" s="104"/>
      <c r="OWS391" s="104"/>
      <c r="OWT391" s="119"/>
      <c r="OWU391" s="104"/>
      <c r="OWV391" s="455"/>
      <c r="OWW391" s="104"/>
      <c r="OWX391" s="104"/>
      <c r="OWY391" s="109"/>
      <c r="OWZ391" s="104"/>
      <c r="OXA391" s="104"/>
      <c r="OXB391" s="119"/>
      <c r="OXC391" s="104"/>
      <c r="OXD391" s="455"/>
      <c r="OXE391" s="104"/>
      <c r="OXF391" s="104"/>
      <c r="OXG391" s="109"/>
      <c r="OXH391" s="104"/>
      <c r="OXI391" s="104"/>
      <c r="OXJ391" s="119"/>
      <c r="OXK391" s="104"/>
      <c r="OXL391" s="455"/>
      <c r="OXM391" s="104"/>
      <c r="OXN391" s="104"/>
      <c r="OXO391" s="109"/>
      <c r="OXP391" s="104"/>
      <c r="OXQ391" s="104"/>
      <c r="OXR391" s="119"/>
      <c r="OXS391" s="104"/>
      <c r="OXT391" s="455"/>
      <c r="OXU391" s="104"/>
      <c r="OXV391" s="104"/>
      <c r="OXW391" s="109"/>
      <c r="OXX391" s="104"/>
      <c r="OXY391" s="104"/>
      <c r="OXZ391" s="119"/>
      <c r="OYA391" s="104"/>
      <c r="OYB391" s="455"/>
      <c r="OYC391" s="104"/>
      <c r="OYD391" s="104"/>
      <c r="OYE391" s="109"/>
      <c r="OYF391" s="104"/>
      <c r="OYG391" s="104"/>
      <c r="OYH391" s="119"/>
      <c r="OYI391" s="104"/>
      <c r="OYJ391" s="455"/>
      <c r="OYK391" s="104"/>
      <c r="OYL391" s="104"/>
      <c r="OYM391" s="109"/>
      <c r="OYN391" s="104"/>
      <c r="OYO391" s="104"/>
      <c r="OYP391" s="119"/>
      <c r="OYQ391" s="104"/>
      <c r="OYR391" s="455"/>
      <c r="OYS391" s="104"/>
      <c r="OYT391" s="104"/>
      <c r="OYU391" s="109"/>
      <c r="OYV391" s="104"/>
      <c r="OYW391" s="104"/>
      <c r="OYX391" s="119"/>
      <c r="OYY391" s="104"/>
      <c r="OYZ391" s="455"/>
      <c r="OZA391" s="104"/>
      <c r="OZB391" s="104"/>
      <c r="OZC391" s="109"/>
      <c r="OZD391" s="104"/>
      <c r="OZE391" s="104"/>
      <c r="OZF391" s="119"/>
      <c r="OZG391" s="104"/>
      <c r="OZH391" s="455"/>
      <c r="OZI391" s="104"/>
      <c r="OZJ391" s="104"/>
      <c r="OZK391" s="109"/>
      <c r="OZL391" s="104"/>
      <c r="OZM391" s="104"/>
      <c r="OZN391" s="119"/>
      <c r="OZO391" s="104"/>
      <c r="OZP391" s="455"/>
      <c r="OZQ391" s="104"/>
      <c r="OZR391" s="104"/>
      <c r="OZS391" s="109"/>
      <c r="OZT391" s="104"/>
      <c r="OZU391" s="104"/>
      <c r="OZV391" s="119"/>
      <c r="OZW391" s="104"/>
      <c r="OZX391" s="455"/>
      <c r="OZY391" s="104"/>
      <c r="OZZ391" s="104"/>
      <c r="PAA391" s="109"/>
      <c r="PAB391" s="104"/>
      <c r="PAC391" s="104"/>
      <c r="PAD391" s="119"/>
      <c r="PAE391" s="104"/>
      <c r="PAF391" s="455"/>
      <c r="PAG391" s="104"/>
      <c r="PAH391" s="104"/>
      <c r="PAI391" s="109"/>
      <c r="PAJ391" s="104"/>
      <c r="PAK391" s="104"/>
      <c r="PAL391" s="119"/>
      <c r="PAM391" s="104"/>
      <c r="PAN391" s="455"/>
      <c r="PAO391" s="104"/>
      <c r="PAP391" s="104"/>
      <c r="PAQ391" s="109"/>
      <c r="PAR391" s="104"/>
      <c r="PAS391" s="104"/>
      <c r="PAT391" s="119"/>
      <c r="PAU391" s="104"/>
      <c r="PAV391" s="455"/>
      <c r="PAW391" s="104"/>
      <c r="PAX391" s="104"/>
      <c r="PAY391" s="109"/>
      <c r="PAZ391" s="104"/>
      <c r="PBA391" s="104"/>
      <c r="PBB391" s="119"/>
      <c r="PBC391" s="104"/>
      <c r="PBD391" s="455"/>
      <c r="PBE391" s="104"/>
      <c r="PBF391" s="104"/>
      <c r="PBG391" s="109"/>
      <c r="PBH391" s="104"/>
      <c r="PBI391" s="104"/>
      <c r="PBJ391" s="119"/>
      <c r="PBK391" s="104"/>
      <c r="PBL391" s="455"/>
      <c r="PBM391" s="104"/>
      <c r="PBN391" s="104"/>
      <c r="PBO391" s="109"/>
      <c r="PBP391" s="104"/>
      <c r="PBQ391" s="104"/>
      <c r="PBR391" s="119"/>
      <c r="PBS391" s="104"/>
      <c r="PBT391" s="455"/>
      <c r="PBU391" s="104"/>
      <c r="PBV391" s="104"/>
      <c r="PBW391" s="109"/>
      <c r="PBX391" s="104"/>
      <c r="PBY391" s="104"/>
      <c r="PBZ391" s="119"/>
      <c r="PCA391" s="104"/>
      <c r="PCB391" s="455"/>
      <c r="PCC391" s="104"/>
      <c r="PCD391" s="104"/>
      <c r="PCE391" s="109"/>
      <c r="PCF391" s="104"/>
      <c r="PCG391" s="104"/>
      <c r="PCH391" s="119"/>
      <c r="PCI391" s="104"/>
      <c r="PCJ391" s="455"/>
      <c r="PCK391" s="104"/>
      <c r="PCL391" s="104"/>
      <c r="PCM391" s="109"/>
      <c r="PCN391" s="104"/>
      <c r="PCO391" s="104"/>
      <c r="PCP391" s="119"/>
      <c r="PCQ391" s="104"/>
      <c r="PCR391" s="455"/>
      <c r="PCS391" s="104"/>
      <c r="PCT391" s="104"/>
      <c r="PCU391" s="109"/>
      <c r="PCV391" s="104"/>
      <c r="PCW391" s="104"/>
      <c r="PCX391" s="119"/>
      <c r="PCY391" s="104"/>
      <c r="PCZ391" s="455"/>
      <c r="PDA391" s="104"/>
      <c r="PDB391" s="104"/>
      <c r="PDC391" s="109"/>
      <c r="PDD391" s="104"/>
      <c r="PDE391" s="104"/>
      <c r="PDF391" s="119"/>
      <c r="PDG391" s="104"/>
      <c r="PDH391" s="455"/>
      <c r="PDI391" s="104"/>
      <c r="PDJ391" s="104"/>
      <c r="PDK391" s="109"/>
      <c r="PDL391" s="104"/>
      <c r="PDM391" s="104"/>
      <c r="PDN391" s="119"/>
      <c r="PDO391" s="104"/>
      <c r="PDP391" s="455"/>
      <c r="PDQ391" s="104"/>
      <c r="PDR391" s="104"/>
      <c r="PDS391" s="109"/>
      <c r="PDT391" s="104"/>
      <c r="PDU391" s="104"/>
      <c r="PDV391" s="119"/>
      <c r="PDW391" s="104"/>
      <c r="PDX391" s="455"/>
      <c r="PDY391" s="104"/>
      <c r="PDZ391" s="104"/>
      <c r="PEA391" s="109"/>
      <c r="PEB391" s="104"/>
      <c r="PEC391" s="104"/>
      <c r="PED391" s="119"/>
      <c r="PEE391" s="104"/>
      <c r="PEF391" s="455"/>
      <c r="PEG391" s="104"/>
      <c r="PEH391" s="104"/>
      <c r="PEI391" s="109"/>
      <c r="PEJ391" s="104"/>
      <c r="PEK391" s="104"/>
      <c r="PEL391" s="119"/>
      <c r="PEM391" s="104"/>
      <c r="PEN391" s="455"/>
      <c r="PEO391" s="104"/>
      <c r="PEP391" s="104"/>
      <c r="PEQ391" s="109"/>
      <c r="PER391" s="104"/>
      <c r="PES391" s="104"/>
      <c r="PET391" s="119"/>
      <c r="PEU391" s="104"/>
      <c r="PEV391" s="455"/>
      <c r="PEW391" s="104"/>
      <c r="PEX391" s="104"/>
      <c r="PEY391" s="109"/>
      <c r="PEZ391" s="104"/>
      <c r="PFA391" s="104"/>
      <c r="PFB391" s="119"/>
      <c r="PFC391" s="104"/>
      <c r="PFD391" s="455"/>
      <c r="PFE391" s="104"/>
      <c r="PFF391" s="104"/>
      <c r="PFG391" s="109"/>
      <c r="PFH391" s="104"/>
      <c r="PFI391" s="104"/>
      <c r="PFJ391" s="119"/>
      <c r="PFK391" s="104"/>
      <c r="PFL391" s="455"/>
      <c r="PFM391" s="104"/>
      <c r="PFN391" s="104"/>
      <c r="PFO391" s="109"/>
      <c r="PFP391" s="104"/>
      <c r="PFQ391" s="104"/>
      <c r="PFR391" s="119"/>
      <c r="PFS391" s="104"/>
      <c r="PFT391" s="455"/>
      <c r="PFU391" s="104"/>
      <c r="PFV391" s="104"/>
      <c r="PFW391" s="109"/>
      <c r="PFX391" s="104"/>
      <c r="PFY391" s="104"/>
      <c r="PFZ391" s="119"/>
      <c r="PGA391" s="104"/>
      <c r="PGB391" s="455"/>
      <c r="PGC391" s="104"/>
      <c r="PGD391" s="104"/>
      <c r="PGE391" s="109"/>
      <c r="PGF391" s="104"/>
      <c r="PGG391" s="104"/>
      <c r="PGH391" s="119"/>
      <c r="PGI391" s="104"/>
      <c r="PGJ391" s="455"/>
      <c r="PGK391" s="104"/>
      <c r="PGL391" s="104"/>
      <c r="PGM391" s="109"/>
      <c r="PGN391" s="104"/>
      <c r="PGO391" s="104"/>
      <c r="PGP391" s="119"/>
      <c r="PGQ391" s="104"/>
      <c r="PGR391" s="455"/>
      <c r="PGS391" s="104"/>
      <c r="PGT391" s="104"/>
      <c r="PGU391" s="109"/>
      <c r="PGV391" s="104"/>
      <c r="PGW391" s="104"/>
      <c r="PGX391" s="119"/>
      <c r="PGY391" s="104"/>
      <c r="PGZ391" s="455"/>
      <c r="PHA391" s="104"/>
      <c r="PHB391" s="104"/>
      <c r="PHC391" s="109"/>
      <c r="PHD391" s="104"/>
      <c r="PHE391" s="104"/>
      <c r="PHF391" s="119"/>
      <c r="PHG391" s="104"/>
      <c r="PHH391" s="455"/>
      <c r="PHI391" s="104"/>
      <c r="PHJ391" s="104"/>
      <c r="PHK391" s="109"/>
      <c r="PHL391" s="104"/>
      <c r="PHM391" s="104"/>
      <c r="PHN391" s="119"/>
      <c r="PHO391" s="104"/>
      <c r="PHP391" s="455"/>
      <c r="PHQ391" s="104"/>
      <c r="PHR391" s="104"/>
      <c r="PHS391" s="109"/>
      <c r="PHT391" s="104"/>
      <c r="PHU391" s="104"/>
      <c r="PHV391" s="119"/>
      <c r="PHW391" s="104"/>
      <c r="PHX391" s="455"/>
      <c r="PHY391" s="104"/>
      <c r="PHZ391" s="104"/>
      <c r="PIA391" s="109"/>
      <c r="PIB391" s="104"/>
      <c r="PIC391" s="104"/>
      <c r="PID391" s="119"/>
      <c r="PIE391" s="104"/>
      <c r="PIF391" s="455"/>
      <c r="PIG391" s="104"/>
      <c r="PIH391" s="104"/>
      <c r="PII391" s="109"/>
      <c r="PIJ391" s="104"/>
      <c r="PIK391" s="104"/>
      <c r="PIL391" s="119"/>
      <c r="PIM391" s="104"/>
      <c r="PIN391" s="455"/>
      <c r="PIO391" s="104"/>
      <c r="PIP391" s="104"/>
      <c r="PIQ391" s="109"/>
      <c r="PIR391" s="104"/>
      <c r="PIS391" s="104"/>
      <c r="PIT391" s="119"/>
      <c r="PIU391" s="104"/>
      <c r="PIV391" s="455"/>
      <c r="PIW391" s="104"/>
      <c r="PIX391" s="104"/>
      <c r="PIY391" s="109"/>
      <c r="PIZ391" s="104"/>
      <c r="PJA391" s="104"/>
      <c r="PJB391" s="119"/>
      <c r="PJC391" s="104"/>
      <c r="PJD391" s="455"/>
      <c r="PJE391" s="104"/>
      <c r="PJF391" s="104"/>
      <c r="PJG391" s="109"/>
      <c r="PJH391" s="104"/>
      <c r="PJI391" s="104"/>
      <c r="PJJ391" s="119"/>
      <c r="PJK391" s="104"/>
      <c r="PJL391" s="455"/>
      <c r="PJM391" s="104"/>
      <c r="PJN391" s="104"/>
      <c r="PJO391" s="109"/>
      <c r="PJP391" s="104"/>
      <c r="PJQ391" s="104"/>
      <c r="PJR391" s="119"/>
      <c r="PJS391" s="104"/>
      <c r="PJT391" s="455"/>
      <c r="PJU391" s="104"/>
      <c r="PJV391" s="104"/>
      <c r="PJW391" s="109"/>
      <c r="PJX391" s="104"/>
      <c r="PJY391" s="104"/>
      <c r="PJZ391" s="119"/>
      <c r="PKA391" s="104"/>
      <c r="PKB391" s="455"/>
      <c r="PKC391" s="104"/>
      <c r="PKD391" s="104"/>
      <c r="PKE391" s="109"/>
      <c r="PKF391" s="104"/>
      <c r="PKG391" s="104"/>
      <c r="PKH391" s="119"/>
      <c r="PKI391" s="104"/>
      <c r="PKJ391" s="455"/>
      <c r="PKK391" s="104"/>
      <c r="PKL391" s="104"/>
      <c r="PKM391" s="109"/>
      <c r="PKN391" s="104"/>
      <c r="PKO391" s="104"/>
      <c r="PKP391" s="119"/>
      <c r="PKQ391" s="104"/>
      <c r="PKR391" s="455"/>
      <c r="PKS391" s="104"/>
      <c r="PKT391" s="104"/>
      <c r="PKU391" s="109"/>
      <c r="PKV391" s="104"/>
      <c r="PKW391" s="104"/>
      <c r="PKX391" s="119"/>
      <c r="PKY391" s="104"/>
      <c r="PKZ391" s="455"/>
      <c r="PLA391" s="104"/>
      <c r="PLB391" s="104"/>
      <c r="PLC391" s="109"/>
      <c r="PLD391" s="104"/>
      <c r="PLE391" s="104"/>
      <c r="PLF391" s="119"/>
      <c r="PLG391" s="104"/>
      <c r="PLH391" s="455"/>
      <c r="PLI391" s="104"/>
      <c r="PLJ391" s="104"/>
      <c r="PLK391" s="109"/>
      <c r="PLL391" s="104"/>
      <c r="PLM391" s="104"/>
      <c r="PLN391" s="119"/>
      <c r="PLO391" s="104"/>
      <c r="PLP391" s="455"/>
      <c r="PLQ391" s="104"/>
      <c r="PLR391" s="104"/>
      <c r="PLS391" s="109"/>
      <c r="PLT391" s="104"/>
      <c r="PLU391" s="104"/>
      <c r="PLV391" s="119"/>
      <c r="PLW391" s="104"/>
      <c r="PLX391" s="455"/>
      <c r="PLY391" s="104"/>
      <c r="PLZ391" s="104"/>
      <c r="PMA391" s="109"/>
      <c r="PMB391" s="104"/>
      <c r="PMC391" s="104"/>
      <c r="PMD391" s="119"/>
      <c r="PME391" s="104"/>
      <c r="PMF391" s="455"/>
      <c r="PMG391" s="104"/>
      <c r="PMH391" s="104"/>
      <c r="PMI391" s="109"/>
      <c r="PMJ391" s="104"/>
      <c r="PMK391" s="104"/>
      <c r="PML391" s="119"/>
      <c r="PMM391" s="104"/>
      <c r="PMN391" s="455"/>
      <c r="PMO391" s="104"/>
      <c r="PMP391" s="104"/>
      <c r="PMQ391" s="109"/>
      <c r="PMR391" s="104"/>
      <c r="PMS391" s="104"/>
      <c r="PMT391" s="119"/>
      <c r="PMU391" s="104"/>
      <c r="PMV391" s="455"/>
      <c r="PMW391" s="104"/>
      <c r="PMX391" s="104"/>
      <c r="PMY391" s="109"/>
      <c r="PMZ391" s="104"/>
      <c r="PNA391" s="104"/>
      <c r="PNB391" s="119"/>
      <c r="PNC391" s="104"/>
      <c r="PND391" s="455"/>
      <c r="PNE391" s="104"/>
      <c r="PNF391" s="104"/>
      <c r="PNG391" s="109"/>
      <c r="PNH391" s="104"/>
      <c r="PNI391" s="104"/>
      <c r="PNJ391" s="119"/>
      <c r="PNK391" s="104"/>
      <c r="PNL391" s="455"/>
      <c r="PNM391" s="104"/>
      <c r="PNN391" s="104"/>
      <c r="PNO391" s="109"/>
      <c r="PNP391" s="104"/>
      <c r="PNQ391" s="104"/>
      <c r="PNR391" s="119"/>
      <c r="PNS391" s="104"/>
      <c r="PNT391" s="455"/>
      <c r="PNU391" s="104"/>
      <c r="PNV391" s="104"/>
      <c r="PNW391" s="109"/>
      <c r="PNX391" s="104"/>
      <c r="PNY391" s="104"/>
      <c r="PNZ391" s="119"/>
      <c r="POA391" s="104"/>
      <c r="POB391" s="455"/>
      <c r="POC391" s="104"/>
      <c r="POD391" s="104"/>
      <c r="POE391" s="109"/>
      <c r="POF391" s="104"/>
      <c r="POG391" s="104"/>
      <c r="POH391" s="119"/>
      <c r="POI391" s="104"/>
      <c r="POJ391" s="455"/>
      <c r="POK391" s="104"/>
      <c r="POL391" s="104"/>
      <c r="POM391" s="109"/>
      <c r="PON391" s="104"/>
      <c r="POO391" s="104"/>
      <c r="POP391" s="119"/>
      <c r="POQ391" s="104"/>
      <c r="POR391" s="455"/>
      <c r="POS391" s="104"/>
      <c r="POT391" s="104"/>
      <c r="POU391" s="109"/>
      <c r="POV391" s="104"/>
      <c r="POW391" s="104"/>
      <c r="POX391" s="119"/>
      <c r="POY391" s="104"/>
      <c r="POZ391" s="455"/>
      <c r="PPA391" s="104"/>
      <c r="PPB391" s="104"/>
      <c r="PPC391" s="109"/>
      <c r="PPD391" s="104"/>
      <c r="PPE391" s="104"/>
      <c r="PPF391" s="119"/>
      <c r="PPG391" s="104"/>
      <c r="PPH391" s="455"/>
      <c r="PPI391" s="104"/>
      <c r="PPJ391" s="104"/>
      <c r="PPK391" s="109"/>
      <c r="PPL391" s="104"/>
      <c r="PPM391" s="104"/>
      <c r="PPN391" s="119"/>
      <c r="PPO391" s="104"/>
      <c r="PPP391" s="455"/>
      <c r="PPQ391" s="104"/>
      <c r="PPR391" s="104"/>
      <c r="PPS391" s="109"/>
      <c r="PPT391" s="104"/>
      <c r="PPU391" s="104"/>
      <c r="PPV391" s="119"/>
      <c r="PPW391" s="104"/>
      <c r="PPX391" s="455"/>
      <c r="PPY391" s="104"/>
      <c r="PPZ391" s="104"/>
      <c r="PQA391" s="109"/>
      <c r="PQB391" s="104"/>
      <c r="PQC391" s="104"/>
      <c r="PQD391" s="119"/>
      <c r="PQE391" s="104"/>
      <c r="PQF391" s="455"/>
      <c r="PQG391" s="104"/>
      <c r="PQH391" s="104"/>
      <c r="PQI391" s="109"/>
      <c r="PQJ391" s="104"/>
      <c r="PQK391" s="104"/>
      <c r="PQL391" s="119"/>
      <c r="PQM391" s="104"/>
      <c r="PQN391" s="455"/>
      <c r="PQO391" s="104"/>
      <c r="PQP391" s="104"/>
      <c r="PQQ391" s="109"/>
      <c r="PQR391" s="104"/>
      <c r="PQS391" s="104"/>
      <c r="PQT391" s="119"/>
      <c r="PQU391" s="104"/>
      <c r="PQV391" s="455"/>
      <c r="PQW391" s="104"/>
      <c r="PQX391" s="104"/>
      <c r="PQY391" s="109"/>
      <c r="PQZ391" s="104"/>
      <c r="PRA391" s="104"/>
      <c r="PRB391" s="119"/>
      <c r="PRC391" s="104"/>
      <c r="PRD391" s="455"/>
      <c r="PRE391" s="104"/>
      <c r="PRF391" s="104"/>
      <c r="PRG391" s="109"/>
      <c r="PRH391" s="104"/>
      <c r="PRI391" s="104"/>
      <c r="PRJ391" s="119"/>
      <c r="PRK391" s="104"/>
      <c r="PRL391" s="455"/>
      <c r="PRM391" s="104"/>
      <c r="PRN391" s="104"/>
      <c r="PRO391" s="109"/>
      <c r="PRP391" s="104"/>
      <c r="PRQ391" s="104"/>
      <c r="PRR391" s="119"/>
      <c r="PRS391" s="104"/>
      <c r="PRT391" s="455"/>
      <c r="PRU391" s="104"/>
      <c r="PRV391" s="104"/>
      <c r="PRW391" s="109"/>
      <c r="PRX391" s="104"/>
      <c r="PRY391" s="104"/>
      <c r="PRZ391" s="119"/>
      <c r="PSA391" s="104"/>
      <c r="PSB391" s="455"/>
      <c r="PSC391" s="104"/>
      <c r="PSD391" s="104"/>
      <c r="PSE391" s="109"/>
      <c r="PSF391" s="104"/>
      <c r="PSG391" s="104"/>
      <c r="PSH391" s="119"/>
      <c r="PSI391" s="104"/>
      <c r="PSJ391" s="455"/>
      <c r="PSK391" s="104"/>
      <c r="PSL391" s="104"/>
      <c r="PSM391" s="109"/>
      <c r="PSN391" s="104"/>
      <c r="PSO391" s="104"/>
      <c r="PSP391" s="119"/>
      <c r="PSQ391" s="104"/>
      <c r="PSR391" s="455"/>
      <c r="PSS391" s="104"/>
      <c r="PST391" s="104"/>
      <c r="PSU391" s="109"/>
      <c r="PSV391" s="104"/>
      <c r="PSW391" s="104"/>
      <c r="PSX391" s="119"/>
      <c r="PSY391" s="104"/>
      <c r="PSZ391" s="455"/>
      <c r="PTA391" s="104"/>
      <c r="PTB391" s="104"/>
      <c r="PTC391" s="109"/>
      <c r="PTD391" s="104"/>
      <c r="PTE391" s="104"/>
      <c r="PTF391" s="119"/>
      <c r="PTG391" s="104"/>
      <c r="PTH391" s="455"/>
      <c r="PTI391" s="104"/>
      <c r="PTJ391" s="104"/>
      <c r="PTK391" s="109"/>
      <c r="PTL391" s="104"/>
      <c r="PTM391" s="104"/>
      <c r="PTN391" s="119"/>
      <c r="PTO391" s="104"/>
      <c r="PTP391" s="455"/>
      <c r="PTQ391" s="104"/>
      <c r="PTR391" s="104"/>
      <c r="PTS391" s="109"/>
      <c r="PTT391" s="104"/>
      <c r="PTU391" s="104"/>
      <c r="PTV391" s="119"/>
      <c r="PTW391" s="104"/>
      <c r="PTX391" s="455"/>
      <c r="PTY391" s="104"/>
      <c r="PTZ391" s="104"/>
      <c r="PUA391" s="109"/>
      <c r="PUB391" s="104"/>
      <c r="PUC391" s="104"/>
      <c r="PUD391" s="119"/>
      <c r="PUE391" s="104"/>
      <c r="PUF391" s="455"/>
      <c r="PUG391" s="104"/>
      <c r="PUH391" s="104"/>
      <c r="PUI391" s="109"/>
      <c r="PUJ391" s="104"/>
      <c r="PUK391" s="104"/>
      <c r="PUL391" s="119"/>
      <c r="PUM391" s="104"/>
      <c r="PUN391" s="455"/>
      <c r="PUO391" s="104"/>
      <c r="PUP391" s="104"/>
      <c r="PUQ391" s="109"/>
      <c r="PUR391" s="104"/>
      <c r="PUS391" s="104"/>
      <c r="PUT391" s="119"/>
      <c r="PUU391" s="104"/>
      <c r="PUV391" s="455"/>
      <c r="PUW391" s="104"/>
      <c r="PUX391" s="104"/>
      <c r="PUY391" s="109"/>
      <c r="PUZ391" s="104"/>
      <c r="PVA391" s="104"/>
      <c r="PVB391" s="119"/>
      <c r="PVC391" s="104"/>
      <c r="PVD391" s="455"/>
      <c r="PVE391" s="104"/>
      <c r="PVF391" s="104"/>
      <c r="PVG391" s="109"/>
      <c r="PVH391" s="104"/>
      <c r="PVI391" s="104"/>
      <c r="PVJ391" s="119"/>
      <c r="PVK391" s="104"/>
      <c r="PVL391" s="455"/>
      <c r="PVM391" s="104"/>
      <c r="PVN391" s="104"/>
      <c r="PVO391" s="109"/>
      <c r="PVP391" s="104"/>
      <c r="PVQ391" s="104"/>
      <c r="PVR391" s="119"/>
      <c r="PVS391" s="104"/>
      <c r="PVT391" s="455"/>
      <c r="PVU391" s="104"/>
      <c r="PVV391" s="104"/>
      <c r="PVW391" s="109"/>
      <c r="PVX391" s="104"/>
      <c r="PVY391" s="104"/>
      <c r="PVZ391" s="119"/>
      <c r="PWA391" s="104"/>
      <c r="PWB391" s="455"/>
      <c r="PWC391" s="104"/>
      <c r="PWD391" s="104"/>
      <c r="PWE391" s="109"/>
      <c r="PWF391" s="104"/>
      <c r="PWG391" s="104"/>
      <c r="PWH391" s="119"/>
      <c r="PWI391" s="104"/>
      <c r="PWJ391" s="455"/>
      <c r="PWK391" s="104"/>
      <c r="PWL391" s="104"/>
      <c r="PWM391" s="109"/>
      <c r="PWN391" s="104"/>
      <c r="PWO391" s="104"/>
      <c r="PWP391" s="119"/>
      <c r="PWQ391" s="104"/>
      <c r="PWR391" s="455"/>
      <c r="PWS391" s="104"/>
      <c r="PWT391" s="104"/>
      <c r="PWU391" s="109"/>
      <c r="PWV391" s="104"/>
      <c r="PWW391" s="104"/>
      <c r="PWX391" s="119"/>
      <c r="PWY391" s="104"/>
      <c r="PWZ391" s="455"/>
      <c r="PXA391" s="104"/>
      <c r="PXB391" s="104"/>
      <c r="PXC391" s="109"/>
      <c r="PXD391" s="104"/>
      <c r="PXE391" s="104"/>
      <c r="PXF391" s="119"/>
      <c r="PXG391" s="104"/>
      <c r="PXH391" s="455"/>
      <c r="PXI391" s="104"/>
      <c r="PXJ391" s="104"/>
      <c r="PXK391" s="109"/>
      <c r="PXL391" s="104"/>
      <c r="PXM391" s="104"/>
      <c r="PXN391" s="119"/>
      <c r="PXO391" s="104"/>
      <c r="PXP391" s="455"/>
      <c r="PXQ391" s="104"/>
      <c r="PXR391" s="104"/>
      <c r="PXS391" s="109"/>
      <c r="PXT391" s="104"/>
      <c r="PXU391" s="104"/>
      <c r="PXV391" s="119"/>
      <c r="PXW391" s="104"/>
      <c r="PXX391" s="455"/>
      <c r="PXY391" s="104"/>
      <c r="PXZ391" s="104"/>
      <c r="PYA391" s="109"/>
      <c r="PYB391" s="104"/>
      <c r="PYC391" s="104"/>
      <c r="PYD391" s="119"/>
      <c r="PYE391" s="104"/>
      <c r="PYF391" s="455"/>
      <c r="PYG391" s="104"/>
      <c r="PYH391" s="104"/>
      <c r="PYI391" s="109"/>
      <c r="PYJ391" s="104"/>
      <c r="PYK391" s="104"/>
      <c r="PYL391" s="119"/>
      <c r="PYM391" s="104"/>
      <c r="PYN391" s="455"/>
      <c r="PYO391" s="104"/>
      <c r="PYP391" s="104"/>
      <c r="PYQ391" s="109"/>
      <c r="PYR391" s="104"/>
      <c r="PYS391" s="104"/>
      <c r="PYT391" s="119"/>
      <c r="PYU391" s="104"/>
      <c r="PYV391" s="455"/>
      <c r="PYW391" s="104"/>
      <c r="PYX391" s="104"/>
      <c r="PYY391" s="109"/>
      <c r="PYZ391" s="104"/>
      <c r="PZA391" s="104"/>
      <c r="PZB391" s="119"/>
      <c r="PZC391" s="104"/>
      <c r="PZD391" s="455"/>
      <c r="PZE391" s="104"/>
      <c r="PZF391" s="104"/>
      <c r="PZG391" s="109"/>
      <c r="PZH391" s="104"/>
      <c r="PZI391" s="104"/>
      <c r="PZJ391" s="119"/>
      <c r="PZK391" s="104"/>
      <c r="PZL391" s="455"/>
      <c r="PZM391" s="104"/>
      <c r="PZN391" s="104"/>
      <c r="PZO391" s="109"/>
      <c r="PZP391" s="104"/>
      <c r="PZQ391" s="104"/>
      <c r="PZR391" s="119"/>
      <c r="PZS391" s="104"/>
      <c r="PZT391" s="455"/>
      <c r="PZU391" s="104"/>
      <c r="PZV391" s="104"/>
      <c r="PZW391" s="109"/>
      <c r="PZX391" s="104"/>
      <c r="PZY391" s="104"/>
      <c r="PZZ391" s="119"/>
      <c r="QAA391" s="104"/>
      <c r="QAB391" s="455"/>
      <c r="QAC391" s="104"/>
      <c r="QAD391" s="104"/>
      <c r="QAE391" s="109"/>
      <c r="QAF391" s="104"/>
      <c r="QAG391" s="104"/>
      <c r="QAH391" s="119"/>
      <c r="QAI391" s="104"/>
      <c r="QAJ391" s="455"/>
      <c r="QAK391" s="104"/>
      <c r="QAL391" s="104"/>
      <c r="QAM391" s="109"/>
      <c r="QAN391" s="104"/>
      <c r="QAO391" s="104"/>
      <c r="QAP391" s="119"/>
      <c r="QAQ391" s="104"/>
      <c r="QAR391" s="455"/>
      <c r="QAS391" s="104"/>
      <c r="QAT391" s="104"/>
      <c r="QAU391" s="109"/>
      <c r="QAV391" s="104"/>
      <c r="QAW391" s="104"/>
      <c r="QAX391" s="119"/>
      <c r="QAY391" s="104"/>
      <c r="QAZ391" s="455"/>
      <c r="QBA391" s="104"/>
      <c r="QBB391" s="104"/>
      <c r="QBC391" s="109"/>
      <c r="QBD391" s="104"/>
      <c r="QBE391" s="104"/>
      <c r="QBF391" s="119"/>
      <c r="QBG391" s="104"/>
      <c r="QBH391" s="455"/>
      <c r="QBI391" s="104"/>
      <c r="QBJ391" s="104"/>
      <c r="QBK391" s="109"/>
      <c r="QBL391" s="104"/>
      <c r="QBM391" s="104"/>
      <c r="QBN391" s="119"/>
      <c r="QBO391" s="104"/>
      <c r="QBP391" s="455"/>
      <c r="QBQ391" s="104"/>
      <c r="QBR391" s="104"/>
      <c r="QBS391" s="109"/>
      <c r="QBT391" s="104"/>
      <c r="QBU391" s="104"/>
      <c r="QBV391" s="119"/>
      <c r="QBW391" s="104"/>
      <c r="QBX391" s="455"/>
      <c r="QBY391" s="104"/>
      <c r="QBZ391" s="104"/>
      <c r="QCA391" s="109"/>
      <c r="QCB391" s="104"/>
      <c r="QCC391" s="104"/>
      <c r="QCD391" s="119"/>
      <c r="QCE391" s="104"/>
      <c r="QCF391" s="455"/>
      <c r="QCG391" s="104"/>
      <c r="QCH391" s="104"/>
      <c r="QCI391" s="109"/>
      <c r="QCJ391" s="104"/>
      <c r="QCK391" s="104"/>
      <c r="QCL391" s="119"/>
      <c r="QCM391" s="104"/>
      <c r="QCN391" s="455"/>
      <c r="QCO391" s="104"/>
      <c r="QCP391" s="104"/>
      <c r="QCQ391" s="109"/>
      <c r="QCR391" s="104"/>
      <c r="QCS391" s="104"/>
      <c r="QCT391" s="119"/>
      <c r="QCU391" s="104"/>
      <c r="QCV391" s="455"/>
      <c r="QCW391" s="104"/>
      <c r="QCX391" s="104"/>
      <c r="QCY391" s="109"/>
      <c r="QCZ391" s="104"/>
      <c r="QDA391" s="104"/>
      <c r="QDB391" s="119"/>
      <c r="QDC391" s="104"/>
      <c r="QDD391" s="455"/>
      <c r="QDE391" s="104"/>
      <c r="QDF391" s="104"/>
      <c r="QDG391" s="109"/>
      <c r="QDH391" s="104"/>
      <c r="QDI391" s="104"/>
      <c r="QDJ391" s="119"/>
      <c r="QDK391" s="104"/>
      <c r="QDL391" s="455"/>
      <c r="QDM391" s="104"/>
      <c r="QDN391" s="104"/>
      <c r="QDO391" s="109"/>
      <c r="QDP391" s="104"/>
      <c r="QDQ391" s="104"/>
      <c r="QDR391" s="119"/>
      <c r="QDS391" s="104"/>
      <c r="QDT391" s="455"/>
      <c r="QDU391" s="104"/>
      <c r="QDV391" s="104"/>
      <c r="QDW391" s="109"/>
      <c r="QDX391" s="104"/>
      <c r="QDY391" s="104"/>
      <c r="QDZ391" s="119"/>
      <c r="QEA391" s="104"/>
      <c r="QEB391" s="455"/>
      <c r="QEC391" s="104"/>
      <c r="QED391" s="104"/>
      <c r="QEE391" s="109"/>
      <c r="QEF391" s="104"/>
      <c r="QEG391" s="104"/>
      <c r="QEH391" s="119"/>
      <c r="QEI391" s="104"/>
      <c r="QEJ391" s="455"/>
      <c r="QEK391" s="104"/>
      <c r="QEL391" s="104"/>
      <c r="QEM391" s="109"/>
      <c r="QEN391" s="104"/>
      <c r="QEO391" s="104"/>
      <c r="QEP391" s="119"/>
      <c r="QEQ391" s="104"/>
      <c r="QER391" s="455"/>
      <c r="QES391" s="104"/>
      <c r="QET391" s="104"/>
      <c r="QEU391" s="109"/>
      <c r="QEV391" s="104"/>
      <c r="QEW391" s="104"/>
      <c r="QEX391" s="119"/>
      <c r="QEY391" s="104"/>
      <c r="QEZ391" s="455"/>
      <c r="QFA391" s="104"/>
      <c r="QFB391" s="104"/>
      <c r="QFC391" s="109"/>
      <c r="QFD391" s="104"/>
      <c r="QFE391" s="104"/>
      <c r="QFF391" s="119"/>
      <c r="QFG391" s="104"/>
      <c r="QFH391" s="455"/>
      <c r="QFI391" s="104"/>
      <c r="QFJ391" s="104"/>
      <c r="QFK391" s="109"/>
      <c r="QFL391" s="104"/>
      <c r="QFM391" s="104"/>
      <c r="QFN391" s="119"/>
      <c r="QFO391" s="104"/>
      <c r="QFP391" s="455"/>
      <c r="QFQ391" s="104"/>
      <c r="QFR391" s="104"/>
      <c r="QFS391" s="109"/>
      <c r="QFT391" s="104"/>
      <c r="QFU391" s="104"/>
      <c r="QFV391" s="119"/>
      <c r="QFW391" s="104"/>
      <c r="QFX391" s="455"/>
      <c r="QFY391" s="104"/>
      <c r="QFZ391" s="104"/>
      <c r="QGA391" s="109"/>
      <c r="QGB391" s="104"/>
      <c r="QGC391" s="104"/>
      <c r="QGD391" s="119"/>
      <c r="QGE391" s="104"/>
      <c r="QGF391" s="455"/>
      <c r="QGG391" s="104"/>
      <c r="QGH391" s="104"/>
      <c r="QGI391" s="109"/>
      <c r="QGJ391" s="104"/>
      <c r="QGK391" s="104"/>
      <c r="QGL391" s="119"/>
      <c r="QGM391" s="104"/>
      <c r="QGN391" s="455"/>
      <c r="QGO391" s="104"/>
      <c r="QGP391" s="104"/>
      <c r="QGQ391" s="109"/>
      <c r="QGR391" s="104"/>
      <c r="QGS391" s="104"/>
      <c r="QGT391" s="119"/>
      <c r="QGU391" s="104"/>
      <c r="QGV391" s="455"/>
      <c r="QGW391" s="104"/>
      <c r="QGX391" s="104"/>
      <c r="QGY391" s="109"/>
      <c r="QGZ391" s="104"/>
      <c r="QHA391" s="104"/>
      <c r="QHB391" s="119"/>
      <c r="QHC391" s="104"/>
      <c r="QHD391" s="455"/>
      <c r="QHE391" s="104"/>
      <c r="QHF391" s="104"/>
      <c r="QHG391" s="109"/>
      <c r="QHH391" s="104"/>
      <c r="QHI391" s="104"/>
      <c r="QHJ391" s="119"/>
      <c r="QHK391" s="104"/>
      <c r="QHL391" s="455"/>
      <c r="QHM391" s="104"/>
      <c r="QHN391" s="104"/>
      <c r="QHO391" s="109"/>
      <c r="QHP391" s="104"/>
      <c r="QHQ391" s="104"/>
      <c r="QHR391" s="119"/>
      <c r="QHS391" s="104"/>
      <c r="QHT391" s="455"/>
      <c r="QHU391" s="104"/>
      <c r="QHV391" s="104"/>
      <c r="QHW391" s="109"/>
      <c r="QHX391" s="104"/>
      <c r="QHY391" s="104"/>
      <c r="QHZ391" s="119"/>
      <c r="QIA391" s="104"/>
      <c r="QIB391" s="455"/>
      <c r="QIC391" s="104"/>
      <c r="QID391" s="104"/>
      <c r="QIE391" s="109"/>
      <c r="QIF391" s="104"/>
      <c r="QIG391" s="104"/>
      <c r="QIH391" s="119"/>
      <c r="QII391" s="104"/>
      <c r="QIJ391" s="455"/>
      <c r="QIK391" s="104"/>
      <c r="QIL391" s="104"/>
      <c r="QIM391" s="109"/>
      <c r="QIN391" s="104"/>
      <c r="QIO391" s="104"/>
      <c r="QIP391" s="119"/>
      <c r="QIQ391" s="104"/>
      <c r="QIR391" s="455"/>
      <c r="QIS391" s="104"/>
      <c r="QIT391" s="104"/>
      <c r="QIU391" s="109"/>
      <c r="QIV391" s="104"/>
      <c r="QIW391" s="104"/>
      <c r="QIX391" s="119"/>
      <c r="QIY391" s="104"/>
      <c r="QIZ391" s="455"/>
      <c r="QJA391" s="104"/>
      <c r="QJB391" s="104"/>
      <c r="QJC391" s="109"/>
      <c r="QJD391" s="104"/>
      <c r="QJE391" s="104"/>
      <c r="QJF391" s="119"/>
      <c r="QJG391" s="104"/>
      <c r="QJH391" s="455"/>
      <c r="QJI391" s="104"/>
      <c r="QJJ391" s="104"/>
      <c r="QJK391" s="109"/>
      <c r="QJL391" s="104"/>
      <c r="QJM391" s="104"/>
      <c r="QJN391" s="119"/>
      <c r="QJO391" s="104"/>
      <c r="QJP391" s="455"/>
      <c r="QJQ391" s="104"/>
      <c r="QJR391" s="104"/>
      <c r="QJS391" s="109"/>
      <c r="QJT391" s="104"/>
      <c r="QJU391" s="104"/>
      <c r="QJV391" s="119"/>
      <c r="QJW391" s="104"/>
      <c r="QJX391" s="455"/>
      <c r="QJY391" s="104"/>
      <c r="QJZ391" s="104"/>
      <c r="QKA391" s="109"/>
      <c r="QKB391" s="104"/>
      <c r="QKC391" s="104"/>
      <c r="QKD391" s="119"/>
      <c r="QKE391" s="104"/>
      <c r="QKF391" s="455"/>
      <c r="QKG391" s="104"/>
      <c r="QKH391" s="104"/>
      <c r="QKI391" s="109"/>
      <c r="QKJ391" s="104"/>
      <c r="QKK391" s="104"/>
      <c r="QKL391" s="119"/>
      <c r="QKM391" s="104"/>
      <c r="QKN391" s="455"/>
      <c r="QKO391" s="104"/>
      <c r="QKP391" s="104"/>
      <c r="QKQ391" s="109"/>
      <c r="QKR391" s="104"/>
      <c r="QKS391" s="104"/>
      <c r="QKT391" s="119"/>
      <c r="QKU391" s="104"/>
      <c r="QKV391" s="455"/>
      <c r="QKW391" s="104"/>
      <c r="QKX391" s="104"/>
      <c r="QKY391" s="109"/>
      <c r="QKZ391" s="104"/>
      <c r="QLA391" s="104"/>
      <c r="QLB391" s="119"/>
      <c r="QLC391" s="104"/>
      <c r="QLD391" s="455"/>
      <c r="QLE391" s="104"/>
      <c r="QLF391" s="104"/>
      <c r="QLG391" s="109"/>
      <c r="QLH391" s="104"/>
      <c r="QLI391" s="104"/>
      <c r="QLJ391" s="119"/>
      <c r="QLK391" s="104"/>
      <c r="QLL391" s="455"/>
      <c r="QLM391" s="104"/>
      <c r="QLN391" s="104"/>
      <c r="QLO391" s="109"/>
      <c r="QLP391" s="104"/>
      <c r="QLQ391" s="104"/>
      <c r="QLR391" s="119"/>
      <c r="QLS391" s="104"/>
      <c r="QLT391" s="455"/>
      <c r="QLU391" s="104"/>
      <c r="QLV391" s="104"/>
      <c r="QLW391" s="109"/>
      <c r="QLX391" s="104"/>
      <c r="QLY391" s="104"/>
      <c r="QLZ391" s="119"/>
      <c r="QMA391" s="104"/>
      <c r="QMB391" s="455"/>
      <c r="QMC391" s="104"/>
      <c r="QMD391" s="104"/>
      <c r="QME391" s="109"/>
      <c r="QMF391" s="104"/>
      <c r="QMG391" s="104"/>
      <c r="QMH391" s="119"/>
      <c r="QMI391" s="104"/>
      <c r="QMJ391" s="455"/>
      <c r="QMK391" s="104"/>
      <c r="QML391" s="104"/>
      <c r="QMM391" s="109"/>
      <c r="QMN391" s="104"/>
      <c r="QMO391" s="104"/>
      <c r="QMP391" s="119"/>
      <c r="QMQ391" s="104"/>
      <c r="QMR391" s="455"/>
      <c r="QMS391" s="104"/>
      <c r="QMT391" s="104"/>
      <c r="QMU391" s="109"/>
      <c r="QMV391" s="104"/>
      <c r="QMW391" s="104"/>
      <c r="QMX391" s="119"/>
      <c r="QMY391" s="104"/>
      <c r="QMZ391" s="455"/>
      <c r="QNA391" s="104"/>
      <c r="QNB391" s="104"/>
      <c r="QNC391" s="109"/>
      <c r="QND391" s="104"/>
      <c r="QNE391" s="104"/>
      <c r="QNF391" s="119"/>
      <c r="QNG391" s="104"/>
      <c r="QNH391" s="455"/>
      <c r="QNI391" s="104"/>
      <c r="QNJ391" s="104"/>
      <c r="QNK391" s="109"/>
      <c r="QNL391" s="104"/>
      <c r="QNM391" s="104"/>
      <c r="QNN391" s="119"/>
      <c r="QNO391" s="104"/>
      <c r="QNP391" s="455"/>
      <c r="QNQ391" s="104"/>
      <c r="QNR391" s="104"/>
      <c r="QNS391" s="109"/>
      <c r="QNT391" s="104"/>
      <c r="QNU391" s="104"/>
      <c r="QNV391" s="119"/>
      <c r="QNW391" s="104"/>
      <c r="QNX391" s="455"/>
      <c r="QNY391" s="104"/>
      <c r="QNZ391" s="104"/>
      <c r="QOA391" s="109"/>
      <c r="QOB391" s="104"/>
      <c r="QOC391" s="104"/>
      <c r="QOD391" s="119"/>
      <c r="QOE391" s="104"/>
      <c r="QOF391" s="455"/>
      <c r="QOG391" s="104"/>
      <c r="QOH391" s="104"/>
      <c r="QOI391" s="109"/>
      <c r="QOJ391" s="104"/>
      <c r="QOK391" s="104"/>
      <c r="QOL391" s="119"/>
      <c r="QOM391" s="104"/>
      <c r="QON391" s="455"/>
      <c r="QOO391" s="104"/>
      <c r="QOP391" s="104"/>
      <c r="QOQ391" s="109"/>
      <c r="QOR391" s="104"/>
      <c r="QOS391" s="104"/>
      <c r="QOT391" s="119"/>
      <c r="QOU391" s="104"/>
      <c r="QOV391" s="455"/>
      <c r="QOW391" s="104"/>
      <c r="QOX391" s="104"/>
      <c r="QOY391" s="109"/>
      <c r="QOZ391" s="104"/>
      <c r="QPA391" s="104"/>
      <c r="QPB391" s="119"/>
      <c r="QPC391" s="104"/>
      <c r="QPD391" s="455"/>
      <c r="QPE391" s="104"/>
      <c r="QPF391" s="104"/>
      <c r="QPG391" s="109"/>
      <c r="QPH391" s="104"/>
      <c r="QPI391" s="104"/>
      <c r="QPJ391" s="119"/>
      <c r="QPK391" s="104"/>
      <c r="QPL391" s="455"/>
      <c r="QPM391" s="104"/>
      <c r="QPN391" s="104"/>
      <c r="QPO391" s="109"/>
      <c r="QPP391" s="104"/>
      <c r="QPQ391" s="104"/>
      <c r="QPR391" s="119"/>
      <c r="QPS391" s="104"/>
      <c r="QPT391" s="455"/>
      <c r="QPU391" s="104"/>
      <c r="QPV391" s="104"/>
      <c r="QPW391" s="109"/>
      <c r="QPX391" s="104"/>
      <c r="QPY391" s="104"/>
      <c r="QPZ391" s="119"/>
      <c r="QQA391" s="104"/>
      <c r="QQB391" s="455"/>
      <c r="QQC391" s="104"/>
      <c r="QQD391" s="104"/>
      <c r="QQE391" s="109"/>
      <c r="QQF391" s="104"/>
      <c r="QQG391" s="104"/>
      <c r="QQH391" s="119"/>
      <c r="QQI391" s="104"/>
      <c r="QQJ391" s="455"/>
      <c r="QQK391" s="104"/>
      <c r="QQL391" s="104"/>
      <c r="QQM391" s="109"/>
      <c r="QQN391" s="104"/>
      <c r="QQO391" s="104"/>
      <c r="QQP391" s="119"/>
      <c r="QQQ391" s="104"/>
      <c r="QQR391" s="455"/>
      <c r="QQS391" s="104"/>
      <c r="QQT391" s="104"/>
      <c r="QQU391" s="109"/>
      <c r="QQV391" s="104"/>
      <c r="QQW391" s="104"/>
      <c r="QQX391" s="119"/>
      <c r="QQY391" s="104"/>
      <c r="QQZ391" s="455"/>
      <c r="QRA391" s="104"/>
      <c r="QRB391" s="104"/>
      <c r="QRC391" s="109"/>
      <c r="QRD391" s="104"/>
      <c r="QRE391" s="104"/>
      <c r="QRF391" s="119"/>
      <c r="QRG391" s="104"/>
      <c r="QRH391" s="455"/>
      <c r="QRI391" s="104"/>
      <c r="QRJ391" s="104"/>
      <c r="QRK391" s="109"/>
      <c r="QRL391" s="104"/>
      <c r="QRM391" s="104"/>
      <c r="QRN391" s="119"/>
      <c r="QRO391" s="104"/>
      <c r="QRP391" s="455"/>
      <c r="QRQ391" s="104"/>
      <c r="QRR391" s="104"/>
      <c r="QRS391" s="109"/>
      <c r="QRT391" s="104"/>
      <c r="QRU391" s="104"/>
      <c r="QRV391" s="119"/>
      <c r="QRW391" s="104"/>
      <c r="QRX391" s="455"/>
      <c r="QRY391" s="104"/>
      <c r="QRZ391" s="104"/>
      <c r="QSA391" s="109"/>
      <c r="QSB391" s="104"/>
      <c r="QSC391" s="104"/>
      <c r="QSD391" s="119"/>
      <c r="QSE391" s="104"/>
      <c r="QSF391" s="455"/>
      <c r="QSG391" s="104"/>
      <c r="QSH391" s="104"/>
      <c r="QSI391" s="109"/>
      <c r="QSJ391" s="104"/>
      <c r="QSK391" s="104"/>
      <c r="QSL391" s="119"/>
      <c r="QSM391" s="104"/>
      <c r="QSN391" s="455"/>
      <c r="QSO391" s="104"/>
      <c r="QSP391" s="104"/>
      <c r="QSQ391" s="109"/>
      <c r="QSR391" s="104"/>
      <c r="QSS391" s="104"/>
      <c r="QST391" s="119"/>
      <c r="QSU391" s="104"/>
      <c r="QSV391" s="455"/>
      <c r="QSW391" s="104"/>
      <c r="QSX391" s="104"/>
      <c r="QSY391" s="109"/>
      <c r="QSZ391" s="104"/>
      <c r="QTA391" s="104"/>
      <c r="QTB391" s="119"/>
      <c r="QTC391" s="104"/>
      <c r="QTD391" s="455"/>
      <c r="QTE391" s="104"/>
      <c r="QTF391" s="104"/>
      <c r="QTG391" s="109"/>
      <c r="QTH391" s="104"/>
      <c r="QTI391" s="104"/>
      <c r="QTJ391" s="119"/>
      <c r="QTK391" s="104"/>
      <c r="QTL391" s="455"/>
      <c r="QTM391" s="104"/>
      <c r="QTN391" s="104"/>
      <c r="QTO391" s="109"/>
      <c r="QTP391" s="104"/>
      <c r="QTQ391" s="104"/>
      <c r="QTR391" s="119"/>
      <c r="QTS391" s="104"/>
      <c r="QTT391" s="455"/>
      <c r="QTU391" s="104"/>
      <c r="QTV391" s="104"/>
      <c r="QTW391" s="109"/>
      <c r="QTX391" s="104"/>
      <c r="QTY391" s="104"/>
      <c r="QTZ391" s="119"/>
      <c r="QUA391" s="104"/>
      <c r="QUB391" s="455"/>
      <c r="QUC391" s="104"/>
      <c r="QUD391" s="104"/>
      <c r="QUE391" s="109"/>
      <c r="QUF391" s="104"/>
      <c r="QUG391" s="104"/>
      <c r="QUH391" s="119"/>
      <c r="QUI391" s="104"/>
      <c r="QUJ391" s="455"/>
      <c r="QUK391" s="104"/>
      <c r="QUL391" s="104"/>
      <c r="QUM391" s="109"/>
      <c r="QUN391" s="104"/>
      <c r="QUO391" s="104"/>
      <c r="QUP391" s="119"/>
      <c r="QUQ391" s="104"/>
      <c r="QUR391" s="455"/>
      <c r="QUS391" s="104"/>
      <c r="QUT391" s="104"/>
      <c r="QUU391" s="109"/>
      <c r="QUV391" s="104"/>
      <c r="QUW391" s="104"/>
      <c r="QUX391" s="119"/>
      <c r="QUY391" s="104"/>
      <c r="QUZ391" s="455"/>
      <c r="QVA391" s="104"/>
      <c r="QVB391" s="104"/>
      <c r="QVC391" s="109"/>
      <c r="QVD391" s="104"/>
      <c r="QVE391" s="104"/>
      <c r="QVF391" s="119"/>
      <c r="QVG391" s="104"/>
      <c r="QVH391" s="455"/>
      <c r="QVI391" s="104"/>
      <c r="QVJ391" s="104"/>
      <c r="QVK391" s="109"/>
      <c r="QVL391" s="104"/>
      <c r="QVM391" s="104"/>
      <c r="QVN391" s="119"/>
      <c r="QVO391" s="104"/>
      <c r="QVP391" s="455"/>
      <c r="QVQ391" s="104"/>
      <c r="QVR391" s="104"/>
      <c r="QVS391" s="109"/>
      <c r="QVT391" s="104"/>
      <c r="QVU391" s="104"/>
      <c r="QVV391" s="119"/>
      <c r="QVW391" s="104"/>
      <c r="QVX391" s="455"/>
      <c r="QVY391" s="104"/>
      <c r="QVZ391" s="104"/>
      <c r="QWA391" s="109"/>
      <c r="QWB391" s="104"/>
      <c r="QWC391" s="104"/>
      <c r="QWD391" s="119"/>
      <c r="QWE391" s="104"/>
      <c r="QWF391" s="455"/>
      <c r="QWG391" s="104"/>
      <c r="QWH391" s="104"/>
      <c r="QWI391" s="109"/>
      <c r="QWJ391" s="104"/>
      <c r="QWK391" s="104"/>
      <c r="QWL391" s="119"/>
      <c r="QWM391" s="104"/>
      <c r="QWN391" s="455"/>
      <c r="QWO391" s="104"/>
      <c r="QWP391" s="104"/>
      <c r="QWQ391" s="109"/>
      <c r="QWR391" s="104"/>
      <c r="QWS391" s="104"/>
      <c r="QWT391" s="119"/>
      <c r="QWU391" s="104"/>
      <c r="QWV391" s="455"/>
      <c r="QWW391" s="104"/>
      <c r="QWX391" s="104"/>
      <c r="QWY391" s="109"/>
      <c r="QWZ391" s="104"/>
      <c r="QXA391" s="104"/>
      <c r="QXB391" s="119"/>
      <c r="QXC391" s="104"/>
      <c r="QXD391" s="455"/>
      <c r="QXE391" s="104"/>
      <c r="QXF391" s="104"/>
      <c r="QXG391" s="109"/>
      <c r="QXH391" s="104"/>
      <c r="QXI391" s="104"/>
      <c r="QXJ391" s="119"/>
      <c r="QXK391" s="104"/>
      <c r="QXL391" s="455"/>
      <c r="QXM391" s="104"/>
      <c r="QXN391" s="104"/>
      <c r="QXO391" s="109"/>
      <c r="QXP391" s="104"/>
      <c r="QXQ391" s="104"/>
      <c r="QXR391" s="119"/>
      <c r="QXS391" s="104"/>
      <c r="QXT391" s="455"/>
      <c r="QXU391" s="104"/>
      <c r="QXV391" s="104"/>
      <c r="QXW391" s="109"/>
      <c r="QXX391" s="104"/>
      <c r="QXY391" s="104"/>
      <c r="QXZ391" s="119"/>
      <c r="QYA391" s="104"/>
      <c r="QYB391" s="455"/>
      <c r="QYC391" s="104"/>
      <c r="QYD391" s="104"/>
      <c r="QYE391" s="109"/>
      <c r="QYF391" s="104"/>
      <c r="QYG391" s="104"/>
      <c r="QYH391" s="119"/>
      <c r="QYI391" s="104"/>
      <c r="QYJ391" s="455"/>
      <c r="QYK391" s="104"/>
      <c r="QYL391" s="104"/>
      <c r="QYM391" s="109"/>
      <c r="QYN391" s="104"/>
      <c r="QYO391" s="104"/>
      <c r="QYP391" s="119"/>
      <c r="QYQ391" s="104"/>
      <c r="QYR391" s="455"/>
      <c r="QYS391" s="104"/>
      <c r="QYT391" s="104"/>
      <c r="QYU391" s="109"/>
      <c r="QYV391" s="104"/>
      <c r="QYW391" s="104"/>
      <c r="QYX391" s="119"/>
      <c r="QYY391" s="104"/>
      <c r="QYZ391" s="455"/>
      <c r="QZA391" s="104"/>
      <c r="QZB391" s="104"/>
      <c r="QZC391" s="109"/>
      <c r="QZD391" s="104"/>
      <c r="QZE391" s="104"/>
      <c r="QZF391" s="119"/>
      <c r="QZG391" s="104"/>
      <c r="QZH391" s="455"/>
      <c r="QZI391" s="104"/>
      <c r="QZJ391" s="104"/>
      <c r="QZK391" s="109"/>
      <c r="QZL391" s="104"/>
      <c r="QZM391" s="104"/>
      <c r="QZN391" s="119"/>
      <c r="QZO391" s="104"/>
      <c r="QZP391" s="455"/>
      <c r="QZQ391" s="104"/>
      <c r="QZR391" s="104"/>
      <c r="QZS391" s="109"/>
      <c r="QZT391" s="104"/>
      <c r="QZU391" s="104"/>
      <c r="QZV391" s="119"/>
      <c r="QZW391" s="104"/>
      <c r="QZX391" s="455"/>
      <c r="QZY391" s="104"/>
      <c r="QZZ391" s="104"/>
      <c r="RAA391" s="109"/>
      <c r="RAB391" s="104"/>
      <c r="RAC391" s="104"/>
      <c r="RAD391" s="119"/>
      <c r="RAE391" s="104"/>
      <c r="RAF391" s="455"/>
      <c r="RAG391" s="104"/>
      <c r="RAH391" s="104"/>
      <c r="RAI391" s="109"/>
      <c r="RAJ391" s="104"/>
      <c r="RAK391" s="104"/>
      <c r="RAL391" s="119"/>
      <c r="RAM391" s="104"/>
      <c r="RAN391" s="455"/>
      <c r="RAO391" s="104"/>
      <c r="RAP391" s="104"/>
      <c r="RAQ391" s="109"/>
      <c r="RAR391" s="104"/>
      <c r="RAS391" s="104"/>
      <c r="RAT391" s="119"/>
      <c r="RAU391" s="104"/>
      <c r="RAV391" s="455"/>
      <c r="RAW391" s="104"/>
      <c r="RAX391" s="104"/>
      <c r="RAY391" s="109"/>
      <c r="RAZ391" s="104"/>
      <c r="RBA391" s="104"/>
      <c r="RBB391" s="119"/>
      <c r="RBC391" s="104"/>
      <c r="RBD391" s="455"/>
      <c r="RBE391" s="104"/>
      <c r="RBF391" s="104"/>
      <c r="RBG391" s="109"/>
      <c r="RBH391" s="104"/>
      <c r="RBI391" s="104"/>
      <c r="RBJ391" s="119"/>
      <c r="RBK391" s="104"/>
      <c r="RBL391" s="455"/>
      <c r="RBM391" s="104"/>
      <c r="RBN391" s="104"/>
      <c r="RBO391" s="109"/>
      <c r="RBP391" s="104"/>
      <c r="RBQ391" s="104"/>
      <c r="RBR391" s="119"/>
      <c r="RBS391" s="104"/>
      <c r="RBT391" s="455"/>
      <c r="RBU391" s="104"/>
      <c r="RBV391" s="104"/>
      <c r="RBW391" s="109"/>
      <c r="RBX391" s="104"/>
      <c r="RBY391" s="104"/>
      <c r="RBZ391" s="119"/>
      <c r="RCA391" s="104"/>
      <c r="RCB391" s="455"/>
      <c r="RCC391" s="104"/>
      <c r="RCD391" s="104"/>
      <c r="RCE391" s="109"/>
      <c r="RCF391" s="104"/>
      <c r="RCG391" s="104"/>
      <c r="RCH391" s="119"/>
      <c r="RCI391" s="104"/>
      <c r="RCJ391" s="455"/>
      <c r="RCK391" s="104"/>
      <c r="RCL391" s="104"/>
      <c r="RCM391" s="109"/>
      <c r="RCN391" s="104"/>
      <c r="RCO391" s="104"/>
      <c r="RCP391" s="119"/>
      <c r="RCQ391" s="104"/>
      <c r="RCR391" s="455"/>
      <c r="RCS391" s="104"/>
      <c r="RCT391" s="104"/>
      <c r="RCU391" s="109"/>
      <c r="RCV391" s="104"/>
      <c r="RCW391" s="104"/>
      <c r="RCX391" s="119"/>
      <c r="RCY391" s="104"/>
      <c r="RCZ391" s="455"/>
      <c r="RDA391" s="104"/>
      <c r="RDB391" s="104"/>
      <c r="RDC391" s="109"/>
      <c r="RDD391" s="104"/>
      <c r="RDE391" s="104"/>
      <c r="RDF391" s="119"/>
      <c r="RDG391" s="104"/>
      <c r="RDH391" s="455"/>
      <c r="RDI391" s="104"/>
      <c r="RDJ391" s="104"/>
      <c r="RDK391" s="109"/>
      <c r="RDL391" s="104"/>
      <c r="RDM391" s="104"/>
      <c r="RDN391" s="119"/>
      <c r="RDO391" s="104"/>
      <c r="RDP391" s="455"/>
      <c r="RDQ391" s="104"/>
      <c r="RDR391" s="104"/>
      <c r="RDS391" s="109"/>
      <c r="RDT391" s="104"/>
      <c r="RDU391" s="104"/>
      <c r="RDV391" s="119"/>
      <c r="RDW391" s="104"/>
      <c r="RDX391" s="455"/>
      <c r="RDY391" s="104"/>
      <c r="RDZ391" s="104"/>
      <c r="REA391" s="109"/>
      <c r="REB391" s="104"/>
      <c r="REC391" s="104"/>
      <c r="RED391" s="119"/>
      <c r="REE391" s="104"/>
      <c r="REF391" s="455"/>
      <c r="REG391" s="104"/>
      <c r="REH391" s="104"/>
      <c r="REI391" s="109"/>
      <c r="REJ391" s="104"/>
      <c r="REK391" s="104"/>
      <c r="REL391" s="119"/>
      <c r="REM391" s="104"/>
      <c r="REN391" s="455"/>
      <c r="REO391" s="104"/>
      <c r="REP391" s="104"/>
      <c r="REQ391" s="109"/>
      <c r="RER391" s="104"/>
      <c r="RES391" s="104"/>
      <c r="RET391" s="119"/>
      <c r="REU391" s="104"/>
      <c r="REV391" s="455"/>
      <c r="REW391" s="104"/>
      <c r="REX391" s="104"/>
      <c r="REY391" s="109"/>
      <c r="REZ391" s="104"/>
      <c r="RFA391" s="104"/>
      <c r="RFB391" s="119"/>
      <c r="RFC391" s="104"/>
      <c r="RFD391" s="455"/>
      <c r="RFE391" s="104"/>
      <c r="RFF391" s="104"/>
      <c r="RFG391" s="109"/>
      <c r="RFH391" s="104"/>
      <c r="RFI391" s="104"/>
      <c r="RFJ391" s="119"/>
      <c r="RFK391" s="104"/>
      <c r="RFL391" s="455"/>
      <c r="RFM391" s="104"/>
      <c r="RFN391" s="104"/>
      <c r="RFO391" s="109"/>
      <c r="RFP391" s="104"/>
      <c r="RFQ391" s="104"/>
      <c r="RFR391" s="119"/>
      <c r="RFS391" s="104"/>
      <c r="RFT391" s="455"/>
      <c r="RFU391" s="104"/>
      <c r="RFV391" s="104"/>
      <c r="RFW391" s="109"/>
      <c r="RFX391" s="104"/>
      <c r="RFY391" s="104"/>
      <c r="RFZ391" s="119"/>
      <c r="RGA391" s="104"/>
      <c r="RGB391" s="455"/>
      <c r="RGC391" s="104"/>
      <c r="RGD391" s="104"/>
      <c r="RGE391" s="109"/>
      <c r="RGF391" s="104"/>
      <c r="RGG391" s="104"/>
      <c r="RGH391" s="119"/>
      <c r="RGI391" s="104"/>
      <c r="RGJ391" s="455"/>
      <c r="RGK391" s="104"/>
      <c r="RGL391" s="104"/>
      <c r="RGM391" s="109"/>
      <c r="RGN391" s="104"/>
      <c r="RGO391" s="104"/>
      <c r="RGP391" s="119"/>
      <c r="RGQ391" s="104"/>
      <c r="RGR391" s="455"/>
      <c r="RGS391" s="104"/>
      <c r="RGT391" s="104"/>
      <c r="RGU391" s="109"/>
      <c r="RGV391" s="104"/>
      <c r="RGW391" s="104"/>
      <c r="RGX391" s="119"/>
      <c r="RGY391" s="104"/>
      <c r="RGZ391" s="455"/>
      <c r="RHA391" s="104"/>
      <c r="RHB391" s="104"/>
      <c r="RHC391" s="109"/>
      <c r="RHD391" s="104"/>
      <c r="RHE391" s="104"/>
      <c r="RHF391" s="119"/>
      <c r="RHG391" s="104"/>
      <c r="RHH391" s="455"/>
      <c r="RHI391" s="104"/>
      <c r="RHJ391" s="104"/>
      <c r="RHK391" s="109"/>
      <c r="RHL391" s="104"/>
      <c r="RHM391" s="104"/>
      <c r="RHN391" s="119"/>
      <c r="RHO391" s="104"/>
      <c r="RHP391" s="455"/>
      <c r="RHQ391" s="104"/>
      <c r="RHR391" s="104"/>
      <c r="RHS391" s="109"/>
      <c r="RHT391" s="104"/>
      <c r="RHU391" s="104"/>
      <c r="RHV391" s="119"/>
      <c r="RHW391" s="104"/>
      <c r="RHX391" s="455"/>
      <c r="RHY391" s="104"/>
      <c r="RHZ391" s="104"/>
      <c r="RIA391" s="109"/>
      <c r="RIB391" s="104"/>
      <c r="RIC391" s="104"/>
      <c r="RID391" s="119"/>
      <c r="RIE391" s="104"/>
      <c r="RIF391" s="455"/>
      <c r="RIG391" s="104"/>
      <c r="RIH391" s="104"/>
      <c r="RII391" s="109"/>
      <c r="RIJ391" s="104"/>
      <c r="RIK391" s="104"/>
      <c r="RIL391" s="119"/>
      <c r="RIM391" s="104"/>
      <c r="RIN391" s="455"/>
      <c r="RIO391" s="104"/>
      <c r="RIP391" s="104"/>
      <c r="RIQ391" s="109"/>
      <c r="RIR391" s="104"/>
      <c r="RIS391" s="104"/>
      <c r="RIT391" s="119"/>
      <c r="RIU391" s="104"/>
      <c r="RIV391" s="455"/>
      <c r="RIW391" s="104"/>
      <c r="RIX391" s="104"/>
      <c r="RIY391" s="109"/>
      <c r="RIZ391" s="104"/>
      <c r="RJA391" s="104"/>
      <c r="RJB391" s="119"/>
      <c r="RJC391" s="104"/>
      <c r="RJD391" s="455"/>
      <c r="RJE391" s="104"/>
      <c r="RJF391" s="104"/>
      <c r="RJG391" s="109"/>
      <c r="RJH391" s="104"/>
      <c r="RJI391" s="104"/>
      <c r="RJJ391" s="119"/>
      <c r="RJK391" s="104"/>
      <c r="RJL391" s="455"/>
      <c r="RJM391" s="104"/>
      <c r="RJN391" s="104"/>
      <c r="RJO391" s="109"/>
      <c r="RJP391" s="104"/>
      <c r="RJQ391" s="104"/>
      <c r="RJR391" s="119"/>
      <c r="RJS391" s="104"/>
      <c r="RJT391" s="455"/>
      <c r="RJU391" s="104"/>
      <c r="RJV391" s="104"/>
      <c r="RJW391" s="109"/>
      <c r="RJX391" s="104"/>
      <c r="RJY391" s="104"/>
      <c r="RJZ391" s="119"/>
      <c r="RKA391" s="104"/>
      <c r="RKB391" s="455"/>
      <c r="RKC391" s="104"/>
      <c r="RKD391" s="104"/>
      <c r="RKE391" s="109"/>
      <c r="RKF391" s="104"/>
      <c r="RKG391" s="104"/>
      <c r="RKH391" s="119"/>
      <c r="RKI391" s="104"/>
      <c r="RKJ391" s="455"/>
      <c r="RKK391" s="104"/>
      <c r="RKL391" s="104"/>
      <c r="RKM391" s="109"/>
      <c r="RKN391" s="104"/>
      <c r="RKO391" s="104"/>
      <c r="RKP391" s="119"/>
      <c r="RKQ391" s="104"/>
      <c r="RKR391" s="455"/>
      <c r="RKS391" s="104"/>
      <c r="RKT391" s="104"/>
      <c r="RKU391" s="109"/>
      <c r="RKV391" s="104"/>
      <c r="RKW391" s="104"/>
      <c r="RKX391" s="119"/>
      <c r="RKY391" s="104"/>
      <c r="RKZ391" s="455"/>
      <c r="RLA391" s="104"/>
      <c r="RLB391" s="104"/>
      <c r="RLC391" s="109"/>
      <c r="RLD391" s="104"/>
      <c r="RLE391" s="104"/>
      <c r="RLF391" s="119"/>
      <c r="RLG391" s="104"/>
      <c r="RLH391" s="455"/>
      <c r="RLI391" s="104"/>
      <c r="RLJ391" s="104"/>
      <c r="RLK391" s="109"/>
      <c r="RLL391" s="104"/>
      <c r="RLM391" s="104"/>
      <c r="RLN391" s="119"/>
      <c r="RLO391" s="104"/>
      <c r="RLP391" s="455"/>
      <c r="RLQ391" s="104"/>
      <c r="RLR391" s="104"/>
      <c r="RLS391" s="109"/>
      <c r="RLT391" s="104"/>
      <c r="RLU391" s="104"/>
      <c r="RLV391" s="119"/>
      <c r="RLW391" s="104"/>
      <c r="RLX391" s="455"/>
      <c r="RLY391" s="104"/>
      <c r="RLZ391" s="104"/>
      <c r="RMA391" s="109"/>
      <c r="RMB391" s="104"/>
      <c r="RMC391" s="104"/>
      <c r="RMD391" s="119"/>
      <c r="RME391" s="104"/>
      <c r="RMF391" s="455"/>
      <c r="RMG391" s="104"/>
      <c r="RMH391" s="104"/>
      <c r="RMI391" s="109"/>
      <c r="RMJ391" s="104"/>
      <c r="RMK391" s="104"/>
      <c r="RML391" s="119"/>
      <c r="RMM391" s="104"/>
      <c r="RMN391" s="455"/>
      <c r="RMO391" s="104"/>
      <c r="RMP391" s="104"/>
      <c r="RMQ391" s="109"/>
      <c r="RMR391" s="104"/>
      <c r="RMS391" s="104"/>
      <c r="RMT391" s="119"/>
      <c r="RMU391" s="104"/>
      <c r="RMV391" s="455"/>
      <c r="RMW391" s="104"/>
      <c r="RMX391" s="104"/>
      <c r="RMY391" s="109"/>
      <c r="RMZ391" s="104"/>
      <c r="RNA391" s="104"/>
      <c r="RNB391" s="119"/>
      <c r="RNC391" s="104"/>
      <c r="RND391" s="455"/>
      <c r="RNE391" s="104"/>
      <c r="RNF391" s="104"/>
      <c r="RNG391" s="109"/>
      <c r="RNH391" s="104"/>
      <c r="RNI391" s="104"/>
      <c r="RNJ391" s="119"/>
      <c r="RNK391" s="104"/>
      <c r="RNL391" s="455"/>
      <c r="RNM391" s="104"/>
      <c r="RNN391" s="104"/>
      <c r="RNO391" s="109"/>
      <c r="RNP391" s="104"/>
      <c r="RNQ391" s="104"/>
      <c r="RNR391" s="119"/>
      <c r="RNS391" s="104"/>
      <c r="RNT391" s="455"/>
      <c r="RNU391" s="104"/>
      <c r="RNV391" s="104"/>
      <c r="RNW391" s="109"/>
      <c r="RNX391" s="104"/>
      <c r="RNY391" s="104"/>
      <c r="RNZ391" s="119"/>
      <c r="ROA391" s="104"/>
      <c r="ROB391" s="455"/>
      <c r="ROC391" s="104"/>
      <c r="ROD391" s="104"/>
      <c r="ROE391" s="109"/>
      <c r="ROF391" s="104"/>
      <c r="ROG391" s="104"/>
      <c r="ROH391" s="119"/>
      <c r="ROI391" s="104"/>
      <c r="ROJ391" s="455"/>
      <c r="ROK391" s="104"/>
      <c r="ROL391" s="104"/>
      <c r="ROM391" s="109"/>
      <c r="RON391" s="104"/>
      <c r="ROO391" s="104"/>
      <c r="ROP391" s="119"/>
      <c r="ROQ391" s="104"/>
      <c r="ROR391" s="455"/>
      <c r="ROS391" s="104"/>
      <c r="ROT391" s="104"/>
      <c r="ROU391" s="109"/>
      <c r="ROV391" s="104"/>
      <c r="ROW391" s="104"/>
      <c r="ROX391" s="119"/>
      <c r="ROY391" s="104"/>
      <c r="ROZ391" s="455"/>
      <c r="RPA391" s="104"/>
      <c r="RPB391" s="104"/>
      <c r="RPC391" s="109"/>
      <c r="RPD391" s="104"/>
      <c r="RPE391" s="104"/>
      <c r="RPF391" s="119"/>
      <c r="RPG391" s="104"/>
      <c r="RPH391" s="455"/>
      <c r="RPI391" s="104"/>
      <c r="RPJ391" s="104"/>
      <c r="RPK391" s="109"/>
      <c r="RPL391" s="104"/>
      <c r="RPM391" s="104"/>
      <c r="RPN391" s="119"/>
      <c r="RPO391" s="104"/>
      <c r="RPP391" s="455"/>
      <c r="RPQ391" s="104"/>
      <c r="RPR391" s="104"/>
      <c r="RPS391" s="109"/>
      <c r="RPT391" s="104"/>
      <c r="RPU391" s="104"/>
      <c r="RPV391" s="119"/>
      <c r="RPW391" s="104"/>
      <c r="RPX391" s="455"/>
      <c r="RPY391" s="104"/>
      <c r="RPZ391" s="104"/>
      <c r="RQA391" s="109"/>
      <c r="RQB391" s="104"/>
      <c r="RQC391" s="104"/>
      <c r="RQD391" s="119"/>
      <c r="RQE391" s="104"/>
      <c r="RQF391" s="455"/>
      <c r="RQG391" s="104"/>
      <c r="RQH391" s="104"/>
      <c r="RQI391" s="109"/>
      <c r="RQJ391" s="104"/>
      <c r="RQK391" s="104"/>
      <c r="RQL391" s="119"/>
      <c r="RQM391" s="104"/>
      <c r="RQN391" s="455"/>
      <c r="RQO391" s="104"/>
      <c r="RQP391" s="104"/>
      <c r="RQQ391" s="109"/>
      <c r="RQR391" s="104"/>
      <c r="RQS391" s="104"/>
      <c r="RQT391" s="119"/>
      <c r="RQU391" s="104"/>
      <c r="RQV391" s="455"/>
      <c r="RQW391" s="104"/>
      <c r="RQX391" s="104"/>
      <c r="RQY391" s="109"/>
      <c r="RQZ391" s="104"/>
      <c r="RRA391" s="104"/>
      <c r="RRB391" s="119"/>
      <c r="RRC391" s="104"/>
      <c r="RRD391" s="455"/>
      <c r="RRE391" s="104"/>
      <c r="RRF391" s="104"/>
      <c r="RRG391" s="109"/>
      <c r="RRH391" s="104"/>
      <c r="RRI391" s="104"/>
      <c r="RRJ391" s="119"/>
      <c r="RRK391" s="104"/>
      <c r="RRL391" s="455"/>
      <c r="RRM391" s="104"/>
      <c r="RRN391" s="104"/>
      <c r="RRO391" s="109"/>
      <c r="RRP391" s="104"/>
      <c r="RRQ391" s="104"/>
      <c r="RRR391" s="119"/>
      <c r="RRS391" s="104"/>
      <c r="RRT391" s="455"/>
      <c r="RRU391" s="104"/>
      <c r="RRV391" s="104"/>
      <c r="RRW391" s="109"/>
      <c r="RRX391" s="104"/>
      <c r="RRY391" s="104"/>
      <c r="RRZ391" s="119"/>
      <c r="RSA391" s="104"/>
      <c r="RSB391" s="455"/>
      <c r="RSC391" s="104"/>
      <c r="RSD391" s="104"/>
      <c r="RSE391" s="109"/>
      <c r="RSF391" s="104"/>
      <c r="RSG391" s="104"/>
      <c r="RSH391" s="119"/>
      <c r="RSI391" s="104"/>
      <c r="RSJ391" s="455"/>
      <c r="RSK391" s="104"/>
      <c r="RSL391" s="104"/>
      <c r="RSM391" s="109"/>
      <c r="RSN391" s="104"/>
      <c r="RSO391" s="104"/>
      <c r="RSP391" s="119"/>
      <c r="RSQ391" s="104"/>
      <c r="RSR391" s="455"/>
      <c r="RSS391" s="104"/>
      <c r="RST391" s="104"/>
      <c r="RSU391" s="109"/>
      <c r="RSV391" s="104"/>
      <c r="RSW391" s="104"/>
      <c r="RSX391" s="119"/>
      <c r="RSY391" s="104"/>
      <c r="RSZ391" s="455"/>
      <c r="RTA391" s="104"/>
      <c r="RTB391" s="104"/>
      <c r="RTC391" s="109"/>
      <c r="RTD391" s="104"/>
      <c r="RTE391" s="104"/>
      <c r="RTF391" s="119"/>
      <c r="RTG391" s="104"/>
      <c r="RTH391" s="455"/>
      <c r="RTI391" s="104"/>
      <c r="RTJ391" s="104"/>
      <c r="RTK391" s="109"/>
      <c r="RTL391" s="104"/>
      <c r="RTM391" s="104"/>
      <c r="RTN391" s="119"/>
      <c r="RTO391" s="104"/>
      <c r="RTP391" s="455"/>
      <c r="RTQ391" s="104"/>
      <c r="RTR391" s="104"/>
      <c r="RTS391" s="109"/>
      <c r="RTT391" s="104"/>
      <c r="RTU391" s="104"/>
      <c r="RTV391" s="119"/>
      <c r="RTW391" s="104"/>
      <c r="RTX391" s="455"/>
      <c r="RTY391" s="104"/>
      <c r="RTZ391" s="104"/>
      <c r="RUA391" s="109"/>
      <c r="RUB391" s="104"/>
      <c r="RUC391" s="104"/>
      <c r="RUD391" s="119"/>
      <c r="RUE391" s="104"/>
      <c r="RUF391" s="455"/>
      <c r="RUG391" s="104"/>
      <c r="RUH391" s="104"/>
      <c r="RUI391" s="109"/>
      <c r="RUJ391" s="104"/>
      <c r="RUK391" s="104"/>
      <c r="RUL391" s="119"/>
      <c r="RUM391" s="104"/>
      <c r="RUN391" s="455"/>
      <c r="RUO391" s="104"/>
      <c r="RUP391" s="104"/>
      <c r="RUQ391" s="109"/>
      <c r="RUR391" s="104"/>
      <c r="RUS391" s="104"/>
      <c r="RUT391" s="119"/>
      <c r="RUU391" s="104"/>
      <c r="RUV391" s="455"/>
      <c r="RUW391" s="104"/>
      <c r="RUX391" s="104"/>
      <c r="RUY391" s="109"/>
      <c r="RUZ391" s="104"/>
      <c r="RVA391" s="104"/>
      <c r="RVB391" s="119"/>
      <c r="RVC391" s="104"/>
      <c r="RVD391" s="455"/>
      <c r="RVE391" s="104"/>
      <c r="RVF391" s="104"/>
      <c r="RVG391" s="109"/>
      <c r="RVH391" s="104"/>
      <c r="RVI391" s="104"/>
      <c r="RVJ391" s="119"/>
      <c r="RVK391" s="104"/>
      <c r="RVL391" s="455"/>
      <c r="RVM391" s="104"/>
      <c r="RVN391" s="104"/>
      <c r="RVO391" s="109"/>
      <c r="RVP391" s="104"/>
      <c r="RVQ391" s="104"/>
      <c r="RVR391" s="119"/>
      <c r="RVS391" s="104"/>
      <c r="RVT391" s="455"/>
      <c r="RVU391" s="104"/>
      <c r="RVV391" s="104"/>
      <c r="RVW391" s="109"/>
      <c r="RVX391" s="104"/>
      <c r="RVY391" s="104"/>
      <c r="RVZ391" s="119"/>
      <c r="RWA391" s="104"/>
      <c r="RWB391" s="455"/>
      <c r="RWC391" s="104"/>
      <c r="RWD391" s="104"/>
      <c r="RWE391" s="109"/>
      <c r="RWF391" s="104"/>
      <c r="RWG391" s="104"/>
      <c r="RWH391" s="119"/>
      <c r="RWI391" s="104"/>
      <c r="RWJ391" s="455"/>
      <c r="RWK391" s="104"/>
      <c r="RWL391" s="104"/>
      <c r="RWM391" s="109"/>
      <c r="RWN391" s="104"/>
      <c r="RWO391" s="104"/>
      <c r="RWP391" s="119"/>
      <c r="RWQ391" s="104"/>
      <c r="RWR391" s="455"/>
      <c r="RWS391" s="104"/>
      <c r="RWT391" s="104"/>
      <c r="RWU391" s="109"/>
      <c r="RWV391" s="104"/>
      <c r="RWW391" s="104"/>
      <c r="RWX391" s="119"/>
      <c r="RWY391" s="104"/>
      <c r="RWZ391" s="455"/>
      <c r="RXA391" s="104"/>
      <c r="RXB391" s="104"/>
      <c r="RXC391" s="109"/>
      <c r="RXD391" s="104"/>
      <c r="RXE391" s="104"/>
      <c r="RXF391" s="119"/>
      <c r="RXG391" s="104"/>
      <c r="RXH391" s="455"/>
      <c r="RXI391" s="104"/>
      <c r="RXJ391" s="104"/>
      <c r="RXK391" s="109"/>
      <c r="RXL391" s="104"/>
      <c r="RXM391" s="104"/>
      <c r="RXN391" s="119"/>
      <c r="RXO391" s="104"/>
      <c r="RXP391" s="455"/>
      <c r="RXQ391" s="104"/>
      <c r="RXR391" s="104"/>
      <c r="RXS391" s="109"/>
      <c r="RXT391" s="104"/>
      <c r="RXU391" s="104"/>
      <c r="RXV391" s="119"/>
      <c r="RXW391" s="104"/>
      <c r="RXX391" s="455"/>
      <c r="RXY391" s="104"/>
      <c r="RXZ391" s="104"/>
      <c r="RYA391" s="109"/>
      <c r="RYB391" s="104"/>
      <c r="RYC391" s="104"/>
      <c r="RYD391" s="119"/>
      <c r="RYE391" s="104"/>
      <c r="RYF391" s="455"/>
      <c r="RYG391" s="104"/>
      <c r="RYH391" s="104"/>
      <c r="RYI391" s="109"/>
      <c r="RYJ391" s="104"/>
      <c r="RYK391" s="104"/>
      <c r="RYL391" s="119"/>
      <c r="RYM391" s="104"/>
      <c r="RYN391" s="455"/>
      <c r="RYO391" s="104"/>
      <c r="RYP391" s="104"/>
      <c r="RYQ391" s="109"/>
      <c r="RYR391" s="104"/>
      <c r="RYS391" s="104"/>
      <c r="RYT391" s="119"/>
      <c r="RYU391" s="104"/>
      <c r="RYV391" s="455"/>
      <c r="RYW391" s="104"/>
      <c r="RYX391" s="104"/>
      <c r="RYY391" s="109"/>
      <c r="RYZ391" s="104"/>
      <c r="RZA391" s="104"/>
      <c r="RZB391" s="119"/>
      <c r="RZC391" s="104"/>
      <c r="RZD391" s="455"/>
      <c r="RZE391" s="104"/>
      <c r="RZF391" s="104"/>
      <c r="RZG391" s="109"/>
      <c r="RZH391" s="104"/>
      <c r="RZI391" s="104"/>
      <c r="RZJ391" s="119"/>
      <c r="RZK391" s="104"/>
      <c r="RZL391" s="455"/>
      <c r="RZM391" s="104"/>
      <c r="RZN391" s="104"/>
      <c r="RZO391" s="109"/>
      <c r="RZP391" s="104"/>
      <c r="RZQ391" s="104"/>
      <c r="RZR391" s="119"/>
      <c r="RZS391" s="104"/>
      <c r="RZT391" s="455"/>
      <c r="RZU391" s="104"/>
      <c r="RZV391" s="104"/>
      <c r="RZW391" s="109"/>
      <c r="RZX391" s="104"/>
      <c r="RZY391" s="104"/>
      <c r="RZZ391" s="119"/>
      <c r="SAA391" s="104"/>
      <c r="SAB391" s="455"/>
      <c r="SAC391" s="104"/>
      <c r="SAD391" s="104"/>
      <c r="SAE391" s="109"/>
      <c r="SAF391" s="104"/>
      <c r="SAG391" s="104"/>
      <c r="SAH391" s="119"/>
      <c r="SAI391" s="104"/>
      <c r="SAJ391" s="455"/>
      <c r="SAK391" s="104"/>
      <c r="SAL391" s="104"/>
      <c r="SAM391" s="109"/>
      <c r="SAN391" s="104"/>
      <c r="SAO391" s="104"/>
      <c r="SAP391" s="119"/>
      <c r="SAQ391" s="104"/>
      <c r="SAR391" s="455"/>
      <c r="SAS391" s="104"/>
      <c r="SAT391" s="104"/>
      <c r="SAU391" s="109"/>
      <c r="SAV391" s="104"/>
      <c r="SAW391" s="104"/>
      <c r="SAX391" s="119"/>
      <c r="SAY391" s="104"/>
      <c r="SAZ391" s="455"/>
      <c r="SBA391" s="104"/>
      <c r="SBB391" s="104"/>
      <c r="SBC391" s="109"/>
      <c r="SBD391" s="104"/>
      <c r="SBE391" s="104"/>
      <c r="SBF391" s="119"/>
      <c r="SBG391" s="104"/>
      <c r="SBH391" s="455"/>
      <c r="SBI391" s="104"/>
      <c r="SBJ391" s="104"/>
      <c r="SBK391" s="109"/>
      <c r="SBL391" s="104"/>
      <c r="SBM391" s="104"/>
      <c r="SBN391" s="119"/>
      <c r="SBO391" s="104"/>
      <c r="SBP391" s="455"/>
      <c r="SBQ391" s="104"/>
      <c r="SBR391" s="104"/>
      <c r="SBS391" s="109"/>
      <c r="SBT391" s="104"/>
      <c r="SBU391" s="104"/>
      <c r="SBV391" s="119"/>
      <c r="SBW391" s="104"/>
      <c r="SBX391" s="455"/>
      <c r="SBY391" s="104"/>
      <c r="SBZ391" s="104"/>
      <c r="SCA391" s="109"/>
      <c r="SCB391" s="104"/>
      <c r="SCC391" s="104"/>
      <c r="SCD391" s="119"/>
      <c r="SCE391" s="104"/>
      <c r="SCF391" s="455"/>
      <c r="SCG391" s="104"/>
      <c r="SCH391" s="104"/>
      <c r="SCI391" s="109"/>
      <c r="SCJ391" s="104"/>
      <c r="SCK391" s="104"/>
      <c r="SCL391" s="119"/>
      <c r="SCM391" s="104"/>
      <c r="SCN391" s="455"/>
      <c r="SCO391" s="104"/>
      <c r="SCP391" s="104"/>
      <c r="SCQ391" s="109"/>
      <c r="SCR391" s="104"/>
      <c r="SCS391" s="104"/>
      <c r="SCT391" s="119"/>
      <c r="SCU391" s="104"/>
      <c r="SCV391" s="455"/>
      <c r="SCW391" s="104"/>
      <c r="SCX391" s="104"/>
      <c r="SCY391" s="109"/>
      <c r="SCZ391" s="104"/>
      <c r="SDA391" s="104"/>
      <c r="SDB391" s="119"/>
      <c r="SDC391" s="104"/>
      <c r="SDD391" s="455"/>
      <c r="SDE391" s="104"/>
      <c r="SDF391" s="104"/>
      <c r="SDG391" s="109"/>
      <c r="SDH391" s="104"/>
      <c r="SDI391" s="104"/>
      <c r="SDJ391" s="119"/>
      <c r="SDK391" s="104"/>
      <c r="SDL391" s="455"/>
      <c r="SDM391" s="104"/>
      <c r="SDN391" s="104"/>
      <c r="SDO391" s="109"/>
      <c r="SDP391" s="104"/>
      <c r="SDQ391" s="104"/>
      <c r="SDR391" s="119"/>
      <c r="SDS391" s="104"/>
      <c r="SDT391" s="455"/>
      <c r="SDU391" s="104"/>
      <c r="SDV391" s="104"/>
      <c r="SDW391" s="109"/>
      <c r="SDX391" s="104"/>
      <c r="SDY391" s="104"/>
      <c r="SDZ391" s="119"/>
      <c r="SEA391" s="104"/>
      <c r="SEB391" s="455"/>
      <c r="SEC391" s="104"/>
      <c r="SED391" s="104"/>
      <c r="SEE391" s="109"/>
      <c r="SEF391" s="104"/>
      <c r="SEG391" s="104"/>
      <c r="SEH391" s="119"/>
      <c r="SEI391" s="104"/>
      <c r="SEJ391" s="455"/>
      <c r="SEK391" s="104"/>
      <c r="SEL391" s="104"/>
      <c r="SEM391" s="109"/>
      <c r="SEN391" s="104"/>
      <c r="SEO391" s="104"/>
      <c r="SEP391" s="119"/>
      <c r="SEQ391" s="104"/>
      <c r="SER391" s="455"/>
      <c r="SES391" s="104"/>
      <c r="SET391" s="104"/>
      <c r="SEU391" s="109"/>
      <c r="SEV391" s="104"/>
      <c r="SEW391" s="104"/>
      <c r="SEX391" s="119"/>
      <c r="SEY391" s="104"/>
      <c r="SEZ391" s="455"/>
      <c r="SFA391" s="104"/>
      <c r="SFB391" s="104"/>
      <c r="SFC391" s="109"/>
      <c r="SFD391" s="104"/>
      <c r="SFE391" s="104"/>
      <c r="SFF391" s="119"/>
      <c r="SFG391" s="104"/>
      <c r="SFH391" s="455"/>
      <c r="SFI391" s="104"/>
      <c r="SFJ391" s="104"/>
      <c r="SFK391" s="109"/>
      <c r="SFL391" s="104"/>
      <c r="SFM391" s="104"/>
      <c r="SFN391" s="119"/>
      <c r="SFO391" s="104"/>
      <c r="SFP391" s="455"/>
      <c r="SFQ391" s="104"/>
      <c r="SFR391" s="104"/>
      <c r="SFS391" s="109"/>
      <c r="SFT391" s="104"/>
      <c r="SFU391" s="104"/>
      <c r="SFV391" s="119"/>
      <c r="SFW391" s="104"/>
      <c r="SFX391" s="455"/>
      <c r="SFY391" s="104"/>
      <c r="SFZ391" s="104"/>
      <c r="SGA391" s="109"/>
      <c r="SGB391" s="104"/>
      <c r="SGC391" s="104"/>
      <c r="SGD391" s="119"/>
      <c r="SGE391" s="104"/>
      <c r="SGF391" s="455"/>
      <c r="SGG391" s="104"/>
      <c r="SGH391" s="104"/>
      <c r="SGI391" s="109"/>
      <c r="SGJ391" s="104"/>
      <c r="SGK391" s="104"/>
      <c r="SGL391" s="119"/>
      <c r="SGM391" s="104"/>
      <c r="SGN391" s="455"/>
      <c r="SGO391" s="104"/>
      <c r="SGP391" s="104"/>
      <c r="SGQ391" s="109"/>
      <c r="SGR391" s="104"/>
      <c r="SGS391" s="104"/>
      <c r="SGT391" s="119"/>
      <c r="SGU391" s="104"/>
      <c r="SGV391" s="455"/>
      <c r="SGW391" s="104"/>
      <c r="SGX391" s="104"/>
      <c r="SGY391" s="109"/>
      <c r="SGZ391" s="104"/>
      <c r="SHA391" s="104"/>
      <c r="SHB391" s="119"/>
      <c r="SHC391" s="104"/>
      <c r="SHD391" s="455"/>
      <c r="SHE391" s="104"/>
      <c r="SHF391" s="104"/>
      <c r="SHG391" s="109"/>
      <c r="SHH391" s="104"/>
      <c r="SHI391" s="104"/>
      <c r="SHJ391" s="119"/>
      <c r="SHK391" s="104"/>
      <c r="SHL391" s="455"/>
      <c r="SHM391" s="104"/>
      <c r="SHN391" s="104"/>
      <c r="SHO391" s="109"/>
      <c r="SHP391" s="104"/>
      <c r="SHQ391" s="104"/>
      <c r="SHR391" s="119"/>
      <c r="SHS391" s="104"/>
      <c r="SHT391" s="455"/>
      <c r="SHU391" s="104"/>
      <c r="SHV391" s="104"/>
      <c r="SHW391" s="109"/>
      <c r="SHX391" s="104"/>
      <c r="SHY391" s="104"/>
      <c r="SHZ391" s="119"/>
      <c r="SIA391" s="104"/>
      <c r="SIB391" s="455"/>
      <c r="SIC391" s="104"/>
      <c r="SID391" s="104"/>
      <c r="SIE391" s="109"/>
      <c r="SIF391" s="104"/>
      <c r="SIG391" s="104"/>
      <c r="SIH391" s="119"/>
      <c r="SII391" s="104"/>
      <c r="SIJ391" s="455"/>
      <c r="SIK391" s="104"/>
      <c r="SIL391" s="104"/>
      <c r="SIM391" s="109"/>
      <c r="SIN391" s="104"/>
      <c r="SIO391" s="104"/>
      <c r="SIP391" s="119"/>
      <c r="SIQ391" s="104"/>
      <c r="SIR391" s="455"/>
      <c r="SIS391" s="104"/>
      <c r="SIT391" s="104"/>
      <c r="SIU391" s="109"/>
      <c r="SIV391" s="104"/>
      <c r="SIW391" s="104"/>
      <c r="SIX391" s="119"/>
      <c r="SIY391" s="104"/>
      <c r="SIZ391" s="455"/>
      <c r="SJA391" s="104"/>
      <c r="SJB391" s="104"/>
      <c r="SJC391" s="109"/>
      <c r="SJD391" s="104"/>
      <c r="SJE391" s="104"/>
      <c r="SJF391" s="119"/>
      <c r="SJG391" s="104"/>
      <c r="SJH391" s="455"/>
      <c r="SJI391" s="104"/>
      <c r="SJJ391" s="104"/>
      <c r="SJK391" s="109"/>
      <c r="SJL391" s="104"/>
      <c r="SJM391" s="104"/>
      <c r="SJN391" s="119"/>
      <c r="SJO391" s="104"/>
      <c r="SJP391" s="455"/>
      <c r="SJQ391" s="104"/>
      <c r="SJR391" s="104"/>
      <c r="SJS391" s="109"/>
      <c r="SJT391" s="104"/>
      <c r="SJU391" s="104"/>
      <c r="SJV391" s="119"/>
      <c r="SJW391" s="104"/>
      <c r="SJX391" s="455"/>
      <c r="SJY391" s="104"/>
      <c r="SJZ391" s="104"/>
      <c r="SKA391" s="109"/>
      <c r="SKB391" s="104"/>
      <c r="SKC391" s="104"/>
      <c r="SKD391" s="119"/>
      <c r="SKE391" s="104"/>
      <c r="SKF391" s="455"/>
      <c r="SKG391" s="104"/>
      <c r="SKH391" s="104"/>
      <c r="SKI391" s="109"/>
      <c r="SKJ391" s="104"/>
      <c r="SKK391" s="104"/>
      <c r="SKL391" s="119"/>
      <c r="SKM391" s="104"/>
      <c r="SKN391" s="455"/>
      <c r="SKO391" s="104"/>
      <c r="SKP391" s="104"/>
      <c r="SKQ391" s="109"/>
      <c r="SKR391" s="104"/>
      <c r="SKS391" s="104"/>
      <c r="SKT391" s="119"/>
      <c r="SKU391" s="104"/>
      <c r="SKV391" s="455"/>
      <c r="SKW391" s="104"/>
      <c r="SKX391" s="104"/>
      <c r="SKY391" s="109"/>
      <c r="SKZ391" s="104"/>
      <c r="SLA391" s="104"/>
      <c r="SLB391" s="119"/>
      <c r="SLC391" s="104"/>
      <c r="SLD391" s="455"/>
      <c r="SLE391" s="104"/>
      <c r="SLF391" s="104"/>
      <c r="SLG391" s="109"/>
      <c r="SLH391" s="104"/>
      <c r="SLI391" s="104"/>
      <c r="SLJ391" s="119"/>
      <c r="SLK391" s="104"/>
      <c r="SLL391" s="455"/>
      <c r="SLM391" s="104"/>
      <c r="SLN391" s="104"/>
      <c r="SLO391" s="109"/>
      <c r="SLP391" s="104"/>
      <c r="SLQ391" s="104"/>
      <c r="SLR391" s="119"/>
      <c r="SLS391" s="104"/>
      <c r="SLT391" s="455"/>
      <c r="SLU391" s="104"/>
      <c r="SLV391" s="104"/>
      <c r="SLW391" s="109"/>
      <c r="SLX391" s="104"/>
      <c r="SLY391" s="104"/>
      <c r="SLZ391" s="119"/>
      <c r="SMA391" s="104"/>
      <c r="SMB391" s="455"/>
      <c r="SMC391" s="104"/>
      <c r="SMD391" s="104"/>
      <c r="SME391" s="109"/>
      <c r="SMF391" s="104"/>
      <c r="SMG391" s="104"/>
      <c r="SMH391" s="119"/>
      <c r="SMI391" s="104"/>
      <c r="SMJ391" s="455"/>
      <c r="SMK391" s="104"/>
      <c r="SML391" s="104"/>
      <c r="SMM391" s="109"/>
      <c r="SMN391" s="104"/>
      <c r="SMO391" s="104"/>
      <c r="SMP391" s="119"/>
      <c r="SMQ391" s="104"/>
      <c r="SMR391" s="455"/>
      <c r="SMS391" s="104"/>
      <c r="SMT391" s="104"/>
      <c r="SMU391" s="109"/>
      <c r="SMV391" s="104"/>
      <c r="SMW391" s="104"/>
      <c r="SMX391" s="119"/>
      <c r="SMY391" s="104"/>
      <c r="SMZ391" s="455"/>
      <c r="SNA391" s="104"/>
      <c r="SNB391" s="104"/>
      <c r="SNC391" s="109"/>
      <c r="SND391" s="104"/>
      <c r="SNE391" s="104"/>
      <c r="SNF391" s="119"/>
      <c r="SNG391" s="104"/>
      <c r="SNH391" s="455"/>
      <c r="SNI391" s="104"/>
      <c r="SNJ391" s="104"/>
      <c r="SNK391" s="109"/>
      <c r="SNL391" s="104"/>
      <c r="SNM391" s="104"/>
      <c r="SNN391" s="119"/>
      <c r="SNO391" s="104"/>
      <c r="SNP391" s="455"/>
      <c r="SNQ391" s="104"/>
      <c r="SNR391" s="104"/>
      <c r="SNS391" s="109"/>
      <c r="SNT391" s="104"/>
      <c r="SNU391" s="104"/>
      <c r="SNV391" s="119"/>
      <c r="SNW391" s="104"/>
      <c r="SNX391" s="455"/>
      <c r="SNY391" s="104"/>
      <c r="SNZ391" s="104"/>
      <c r="SOA391" s="109"/>
      <c r="SOB391" s="104"/>
      <c r="SOC391" s="104"/>
      <c r="SOD391" s="119"/>
      <c r="SOE391" s="104"/>
      <c r="SOF391" s="455"/>
      <c r="SOG391" s="104"/>
      <c r="SOH391" s="104"/>
      <c r="SOI391" s="109"/>
      <c r="SOJ391" s="104"/>
      <c r="SOK391" s="104"/>
      <c r="SOL391" s="119"/>
      <c r="SOM391" s="104"/>
      <c r="SON391" s="455"/>
      <c r="SOO391" s="104"/>
      <c r="SOP391" s="104"/>
      <c r="SOQ391" s="109"/>
      <c r="SOR391" s="104"/>
      <c r="SOS391" s="104"/>
      <c r="SOT391" s="119"/>
      <c r="SOU391" s="104"/>
      <c r="SOV391" s="455"/>
      <c r="SOW391" s="104"/>
      <c r="SOX391" s="104"/>
      <c r="SOY391" s="109"/>
      <c r="SOZ391" s="104"/>
      <c r="SPA391" s="104"/>
      <c r="SPB391" s="119"/>
      <c r="SPC391" s="104"/>
      <c r="SPD391" s="455"/>
      <c r="SPE391" s="104"/>
      <c r="SPF391" s="104"/>
      <c r="SPG391" s="109"/>
      <c r="SPH391" s="104"/>
      <c r="SPI391" s="104"/>
      <c r="SPJ391" s="119"/>
      <c r="SPK391" s="104"/>
      <c r="SPL391" s="455"/>
      <c r="SPM391" s="104"/>
      <c r="SPN391" s="104"/>
      <c r="SPO391" s="109"/>
      <c r="SPP391" s="104"/>
      <c r="SPQ391" s="104"/>
      <c r="SPR391" s="119"/>
      <c r="SPS391" s="104"/>
      <c r="SPT391" s="455"/>
      <c r="SPU391" s="104"/>
      <c r="SPV391" s="104"/>
      <c r="SPW391" s="109"/>
      <c r="SPX391" s="104"/>
      <c r="SPY391" s="104"/>
      <c r="SPZ391" s="119"/>
      <c r="SQA391" s="104"/>
      <c r="SQB391" s="455"/>
      <c r="SQC391" s="104"/>
      <c r="SQD391" s="104"/>
      <c r="SQE391" s="109"/>
      <c r="SQF391" s="104"/>
      <c r="SQG391" s="104"/>
      <c r="SQH391" s="119"/>
      <c r="SQI391" s="104"/>
      <c r="SQJ391" s="455"/>
      <c r="SQK391" s="104"/>
      <c r="SQL391" s="104"/>
      <c r="SQM391" s="109"/>
      <c r="SQN391" s="104"/>
      <c r="SQO391" s="104"/>
      <c r="SQP391" s="119"/>
      <c r="SQQ391" s="104"/>
      <c r="SQR391" s="455"/>
      <c r="SQS391" s="104"/>
      <c r="SQT391" s="104"/>
      <c r="SQU391" s="109"/>
      <c r="SQV391" s="104"/>
      <c r="SQW391" s="104"/>
      <c r="SQX391" s="119"/>
      <c r="SQY391" s="104"/>
      <c r="SQZ391" s="455"/>
      <c r="SRA391" s="104"/>
      <c r="SRB391" s="104"/>
      <c r="SRC391" s="109"/>
      <c r="SRD391" s="104"/>
      <c r="SRE391" s="104"/>
      <c r="SRF391" s="119"/>
      <c r="SRG391" s="104"/>
      <c r="SRH391" s="455"/>
      <c r="SRI391" s="104"/>
      <c r="SRJ391" s="104"/>
      <c r="SRK391" s="109"/>
      <c r="SRL391" s="104"/>
      <c r="SRM391" s="104"/>
      <c r="SRN391" s="119"/>
      <c r="SRO391" s="104"/>
      <c r="SRP391" s="455"/>
      <c r="SRQ391" s="104"/>
      <c r="SRR391" s="104"/>
      <c r="SRS391" s="109"/>
      <c r="SRT391" s="104"/>
      <c r="SRU391" s="104"/>
      <c r="SRV391" s="119"/>
      <c r="SRW391" s="104"/>
      <c r="SRX391" s="455"/>
      <c r="SRY391" s="104"/>
      <c r="SRZ391" s="104"/>
      <c r="SSA391" s="109"/>
      <c r="SSB391" s="104"/>
      <c r="SSC391" s="104"/>
      <c r="SSD391" s="119"/>
      <c r="SSE391" s="104"/>
      <c r="SSF391" s="455"/>
      <c r="SSG391" s="104"/>
      <c r="SSH391" s="104"/>
      <c r="SSI391" s="109"/>
      <c r="SSJ391" s="104"/>
      <c r="SSK391" s="104"/>
      <c r="SSL391" s="119"/>
      <c r="SSM391" s="104"/>
      <c r="SSN391" s="455"/>
      <c r="SSO391" s="104"/>
      <c r="SSP391" s="104"/>
      <c r="SSQ391" s="109"/>
      <c r="SSR391" s="104"/>
      <c r="SSS391" s="104"/>
      <c r="SST391" s="119"/>
      <c r="SSU391" s="104"/>
      <c r="SSV391" s="455"/>
      <c r="SSW391" s="104"/>
      <c r="SSX391" s="104"/>
      <c r="SSY391" s="109"/>
      <c r="SSZ391" s="104"/>
      <c r="STA391" s="104"/>
      <c r="STB391" s="119"/>
      <c r="STC391" s="104"/>
      <c r="STD391" s="455"/>
      <c r="STE391" s="104"/>
      <c r="STF391" s="104"/>
      <c r="STG391" s="109"/>
      <c r="STH391" s="104"/>
      <c r="STI391" s="104"/>
      <c r="STJ391" s="119"/>
      <c r="STK391" s="104"/>
      <c r="STL391" s="455"/>
      <c r="STM391" s="104"/>
      <c r="STN391" s="104"/>
      <c r="STO391" s="109"/>
      <c r="STP391" s="104"/>
      <c r="STQ391" s="104"/>
      <c r="STR391" s="119"/>
      <c r="STS391" s="104"/>
      <c r="STT391" s="455"/>
      <c r="STU391" s="104"/>
      <c r="STV391" s="104"/>
      <c r="STW391" s="109"/>
      <c r="STX391" s="104"/>
      <c r="STY391" s="104"/>
      <c r="STZ391" s="119"/>
      <c r="SUA391" s="104"/>
      <c r="SUB391" s="455"/>
      <c r="SUC391" s="104"/>
      <c r="SUD391" s="104"/>
      <c r="SUE391" s="109"/>
      <c r="SUF391" s="104"/>
      <c r="SUG391" s="104"/>
      <c r="SUH391" s="119"/>
      <c r="SUI391" s="104"/>
      <c r="SUJ391" s="455"/>
      <c r="SUK391" s="104"/>
      <c r="SUL391" s="104"/>
      <c r="SUM391" s="109"/>
      <c r="SUN391" s="104"/>
      <c r="SUO391" s="104"/>
      <c r="SUP391" s="119"/>
      <c r="SUQ391" s="104"/>
      <c r="SUR391" s="455"/>
      <c r="SUS391" s="104"/>
      <c r="SUT391" s="104"/>
      <c r="SUU391" s="109"/>
      <c r="SUV391" s="104"/>
      <c r="SUW391" s="104"/>
      <c r="SUX391" s="119"/>
      <c r="SUY391" s="104"/>
      <c r="SUZ391" s="455"/>
      <c r="SVA391" s="104"/>
      <c r="SVB391" s="104"/>
      <c r="SVC391" s="109"/>
      <c r="SVD391" s="104"/>
      <c r="SVE391" s="104"/>
      <c r="SVF391" s="119"/>
      <c r="SVG391" s="104"/>
      <c r="SVH391" s="455"/>
      <c r="SVI391" s="104"/>
      <c r="SVJ391" s="104"/>
      <c r="SVK391" s="109"/>
      <c r="SVL391" s="104"/>
      <c r="SVM391" s="104"/>
      <c r="SVN391" s="119"/>
      <c r="SVO391" s="104"/>
      <c r="SVP391" s="455"/>
      <c r="SVQ391" s="104"/>
      <c r="SVR391" s="104"/>
      <c r="SVS391" s="109"/>
      <c r="SVT391" s="104"/>
      <c r="SVU391" s="104"/>
      <c r="SVV391" s="119"/>
      <c r="SVW391" s="104"/>
      <c r="SVX391" s="455"/>
      <c r="SVY391" s="104"/>
      <c r="SVZ391" s="104"/>
      <c r="SWA391" s="109"/>
      <c r="SWB391" s="104"/>
      <c r="SWC391" s="104"/>
      <c r="SWD391" s="119"/>
      <c r="SWE391" s="104"/>
      <c r="SWF391" s="455"/>
      <c r="SWG391" s="104"/>
      <c r="SWH391" s="104"/>
      <c r="SWI391" s="109"/>
      <c r="SWJ391" s="104"/>
      <c r="SWK391" s="104"/>
      <c r="SWL391" s="119"/>
      <c r="SWM391" s="104"/>
      <c r="SWN391" s="455"/>
      <c r="SWO391" s="104"/>
      <c r="SWP391" s="104"/>
      <c r="SWQ391" s="109"/>
      <c r="SWR391" s="104"/>
      <c r="SWS391" s="104"/>
      <c r="SWT391" s="119"/>
      <c r="SWU391" s="104"/>
      <c r="SWV391" s="455"/>
      <c r="SWW391" s="104"/>
      <c r="SWX391" s="104"/>
      <c r="SWY391" s="109"/>
      <c r="SWZ391" s="104"/>
      <c r="SXA391" s="104"/>
      <c r="SXB391" s="119"/>
      <c r="SXC391" s="104"/>
      <c r="SXD391" s="455"/>
      <c r="SXE391" s="104"/>
      <c r="SXF391" s="104"/>
      <c r="SXG391" s="109"/>
      <c r="SXH391" s="104"/>
      <c r="SXI391" s="104"/>
      <c r="SXJ391" s="119"/>
      <c r="SXK391" s="104"/>
      <c r="SXL391" s="455"/>
      <c r="SXM391" s="104"/>
      <c r="SXN391" s="104"/>
      <c r="SXO391" s="109"/>
      <c r="SXP391" s="104"/>
      <c r="SXQ391" s="104"/>
      <c r="SXR391" s="119"/>
      <c r="SXS391" s="104"/>
      <c r="SXT391" s="455"/>
      <c r="SXU391" s="104"/>
      <c r="SXV391" s="104"/>
      <c r="SXW391" s="109"/>
      <c r="SXX391" s="104"/>
      <c r="SXY391" s="104"/>
      <c r="SXZ391" s="119"/>
      <c r="SYA391" s="104"/>
      <c r="SYB391" s="455"/>
      <c r="SYC391" s="104"/>
      <c r="SYD391" s="104"/>
      <c r="SYE391" s="109"/>
      <c r="SYF391" s="104"/>
      <c r="SYG391" s="104"/>
      <c r="SYH391" s="119"/>
      <c r="SYI391" s="104"/>
      <c r="SYJ391" s="455"/>
      <c r="SYK391" s="104"/>
      <c r="SYL391" s="104"/>
      <c r="SYM391" s="109"/>
      <c r="SYN391" s="104"/>
      <c r="SYO391" s="104"/>
      <c r="SYP391" s="119"/>
      <c r="SYQ391" s="104"/>
      <c r="SYR391" s="455"/>
      <c r="SYS391" s="104"/>
      <c r="SYT391" s="104"/>
      <c r="SYU391" s="109"/>
      <c r="SYV391" s="104"/>
      <c r="SYW391" s="104"/>
      <c r="SYX391" s="119"/>
      <c r="SYY391" s="104"/>
      <c r="SYZ391" s="455"/>
      <c r="SZA391" s="104"/>
      <c r="SZB391" s="104"/>
      <c r="SZC391" s="109"/>
      <c r="SZD391" s="104"/>
      <c r="SZE391" s="104"/>
      <c r="SZF391" s="119"/>
      <c r="SZG391" s="104"/>
      <c r="SZH391" s="455"/>
      <c r="SZI391" s="104"/>
      <c r="SZJ391" s="104"/>
      <c r="SZK391" s="109"/>
      <c r="SZL391" s="104"/>
      <c r="SZM391" s="104"/>
      <c r="SZN391" s="119"/>
      <c r="SZO391" s="104"/>
      <c r="SZP391" s="455"/>
      <c r="SZQ391" s="104"/>
      <c r="SZR391" s="104"/>
      <c r="SZS391" s="109"/>
      <c r="SZT391" s="104"/>
      <c r="SZU391" s="104"/>
      <c r="SZV391" s="119"/>
      <c r="SZW391" s="104"/>
      <c r="SZX391" s="455"/>
      <c r="SZY391" s="104"/>
      <c r="SZZ391" s="104"/>
      <c r="TAA391" s="109"/>
      <c r="TAB391" s="104"/>
      <c r="TAC391" s="104"/>
      <c r="TAD391" s="119"/>
      <c r="TAE391" s="104"/>
      <c r="TAF391" s="455"/>
      <c r="TAG391" s="104"/>
      <c r="TAH391" s="104"/>
      <c r="TAI391" s="109"/>
      <c r="TAJ391" s="104"/>
      <c r="TAK391" s="104"/>
      <c r="TAL391" s="119"/>
      <c r="TAM391" s="104"/>
      <c r="TAN391" s="455"/>
      <c r="TAO391" s="104"/>
      <c r="TAP391" s="104"/>
      <c r="TAQ391" s="109"/>
      <c r="TAR391" s="104"/>
      <c r="TAS391" s="104"/>
      <c r="TAT391" s="119"/>
      <c r="TAU391" s="104"/>
      <c r="TAV391" s="455"/>
      <c r="TAW391" s="104"/>
      <c r="TAX391" s="104"/>
      <c r="TAY391" s="109"/>
      <c r="TAZ391" s="104"/>
      <c r="TBA391" s="104"/>
      <c r="TBB391" s="119"/>
      <c r="TBC391" s="104"/>
      <c r="TBD391" s="455"/>
      <c r="TBE391" s="104"/>
      <c r="TBF391" s="104"/>
      <c r="TBG391" s="109"/>
      <c r="TBH391" s="104"/>
      <c r="TBI391" s="104"/>
      <c r="TBJ391" s="119"/>
      <c r="TBK391" s="104"/>
      <c r="TBL391" s="455"/>
      <c r="TBM391" s="104"/>
      <c r="TBN391" s="104"/>
      <c r="TBO391" s="109"/>
      <c r="TBP391" s="104"/>
      <c r="TBQ391" s="104"/>
      <c r="TBR391" s="119"/>
      <c r="TBS391" s="104"/>
      <c r="TBT391" s="455"/>
      <c r="TBU391" s="104"/>
      <c r="TBV391" s="104"/>
      <c r="TBW391" s="109"/>
      <c r="TBX391" s="104"/>
      <c r="TBY391" s="104"/>
      <c r="TBZ391" s="119"/>
      <c r="TCA391" s="104"/>
      <c r="TCB391" s="455"/>
      <c r="TCC391" s="104"/>
      <c r="TCD391" s="104"/>
      <c r="TCE391" s="109"/>
      <c r="TCF391" s="104"/>
      <c r="TCG391" s="104"/>
      <c r="TCH391" s="119"/>
      <c r="TCI391" s="104"/>
      <c r="TCJ391" s="455"/>
      <c r="TCK391" s="104"/>
      <c r="TCL391" s="104"/>
      <c r="TCM391" s="109"/>
      <c r="TCN391" s="104"/>
      <c r="TCO391" s="104"/>
      <c r="TCP391" s="119"/>
      <c r="TCQ391" s="104"/>
      <c r="TCR391" s="455"/>
      <c r="TCS391" s="104"/>
      <c r="TCT391" s="104"/>
      <c r="TCU391" s="109"/>
      <c r="TCV391" s="104"/>
      <c r="TCW391" s="104"/>
      <c r="TCX391" s="119"/>
      <c r="TCY391" s="104"/>
      <c r="TCZ391" s="455"/>
      <c r="TDA391" s="104"/>
      <c r="TDB391" s="104"/>
      <c r="TDC391" s="109"/>
      <c r="TDD391" s="104"/>
      <c r="TDE391" s="104"/>
      <c r="TDF391" s="119"/>
      <c r="TDG391" s="104"/>
      <c r="TDH391" s="455"/>
      <c r="TDI391" s="104"/>
      <c r="TDJ391" s="104"/>
      <c r="TDK391" s="109"/>
      <c r="TDL391" s="104"/>
      <c r="TDM391" s="104"/>
      <c r="TDN391" s="119"/>
      <c r="TDO391" s="104"/>
      <c r="TDP391" s="455"/>
      <c r="TDQ391" s="104"/>
      <c r="TDR391" s="104"/>
      <c r="TDS391" s="109"/>
      <c r="TDT391" s="104"/>
      <c r="TDU391" s="104"/>
      <c r="TDV391" s="119"/>
      <c r="TDW391" s="104"/>
      <c r="TDX391" s="455"/>
      <c r="TDY391" s="104"/>
      <c r="TDZ391" s="104"/>
      <c r="TEA391" s="109"/>
      <c r="TEB391" s="104"/>
      <c r="TEC391" s="104"/>
      <c r="TED391" s="119"/>
      <c r="TEE391" s="104"/>
      <c r="TEF391" s="455"/>
      <c r="TEG391" s="104"/>
      <c r="TEH391" s="104"/>
      <c r="TEI391" s="109"/>
      <c r="TEJ391" s="104"/>
      <c r="TEK391" s="104"/>
      <c r="TEL391" s="119"/>
      <c r="TEM391" s="104"/>
      <c r="TEN391" s="455"/>
      <c r="TEO391" s="104"/>
      <c r="TEP391" s="104"/>
      <c r="TEQ391" s="109"/>
      <c r="TER391" s="104"/>
      <c r="TES391" s="104"/>
      <c r="TET391" s="119"/>
      <c r="TEU391" s="104"/>
      <c r="TEV391" s="455"/>
      <c r="TEW391" s="104"/>
      <c r="TEX391" s="104"/>
      <c r="TEY391" s="109"/>
      <c r="TEZ391" s="104"/>
      <c r="TFA391" s="104"/>
      <c r="TFB391" s="119"/>
      <c r="TFC391" s="104"/>
      <c r="TFD391" s="455"/>
      <c r="TFE391" s="104"/>
      <c r="TFF391" s="104"/>
      <c r="TFG391" s="109"/>
      <c r="TFH391" s="104"/>
      <c r="TFI391" s="104"/>
      <c r="TFJ391" s="119"/>
      <c r="TFK391" s="104"/>
      <c r="TFL391" s="455"/>
      <c r="TFM391" s="104"/>
      <c r="TFN391" s="104"/>
      <c r="TFO391" s="109"/>
      <c r="TFP391" s="104"/>
      <c r="TFQ391" s="104"/>
      <c r="TFR391" s="119"/>
      <c r="TFS391" s="104"/>
      <c r="TFT391" s="455"/>
      <c r="TFU391" s="104"/>
      <c r="TFV391" s="104"/>
      <c r="TFW391" s="109"/>
      <c r="TFX391" s="104"/>
      <c r="TFY391" s="104"/>
      <c r="TFZ391" s="119"/>
      <c r="TGA391" s="104"/>
      <c r="TGB391" s="455"/>
      <c r="TGC391" s="104"/>
      <c r="TGD391" s="104"/>
      <c r="TGE391" s="109"/>
      <c r="TGF391" s="104"/>
      <c r="TGG391" s="104"/>
      <c r="TGH391" s="119"/>
      <c r="TGI391" s="104"/>
      <c r="TGJ391" s="455"/>
      <c r="TGK391" s="104"/>
      <c r="TGL391" s="104"/>
      <c r="TGM391" s="109"/>
      <c r="TGN391" s="104"/>
      <c r="TGO391" s="104"/>
      <c r="TGP391" s="119"/>
      <c r="TGQ391" s="104"/>
      <c r="TGR391" s="455"/>
      <c r="TGS391" s="104"/>
      <c r="TGT391" s="104"/>
      <c r="TGU391" s="109"/>
      <c r="TGV391" s="104"/>
      <c r="TGW391" s="104"/>
      <c r="TGX391" s="119"/>
      <c r="TGY391" s="104"/>
      <c r="TGZ391" s="455"/>
      <c r="THA391" s="104"/>
      <c r="THB391" s="104"/>
      <c r="THC391" s="109"/>
      <c r="THD391" s="104"/>
      <c r="THE391" s="104"/>
      <c r="THF391" s="119"/>
      <c r="THG391" s="104"/>
      <c r="THH391" s="455"/>
      <c r="THI391" s="104"/>
      <c r="THJ391" s="104"/>
      <c r="THK391" s="109"/>
      <c r="THL391" s="104"/>
      <c r="THM391" s="104"/>
      <c r="THN391" s="119"/>
      <c r="THO391" s="104"/>
      <c r="THP391" s="455"/>
      <c r="THQ391" s="104"/>
      <c r="THR391" s="104"/>
      <c r="THS391" s="109"/>
      <c r="THT391" s="104"/>
      <c r="THU391" s="104"/>
      <c r="THV391" s="119"/>
      <c r="THW391" s="104"/>
      <c r="THX391" s="455"/>
      <c r="THY391" s="104"/>
      <c r="THZ391" s="104"/>
      <c r="TIA391" s="109"/>
      <c r="TIB391" s="104"/>
      <c r="TIC391" s="104"/>
      <c r="TID391" s="119"/>
      <c r="TIE391" s="104"/>
      <c r="TIF391" s="455"/>
      <c r="TIG391" s="104"/>
      <c r="TIH391" s="104"/>
      <c r="TII391" s="109"/>
      <c r="TIJ391" s="104"/>
      <c r="TIK391" s="104"/>
      <c r="TIL391" s="119"/>
      <c r="TIM391" s="104"/>
      <c r="TIN391" s="455"/>
      <c r="TIO391" s="104"/>
      <c r="TIP391" s="104"/>
      <c r="TIQ391" s="109"/>
      <c r="TIR391" s="104"/>
      <c r="TIS391" s="104"/>
      <c r="TIT391" s="119"/>
      <c r="TIU391" s="104"/>
      <c r="TIV391" s="455"/>
      <c r="TIW391" s="104"/>
      <c r="TIX391" s="104"/>
      <c r="TIY391" s="109"/>
      <c r="TIZ391" s="104"/>
      <c r="TJA391" s="104"/>
      <c r="TJB391" s="119"/>
      <c r="TJC391" s="104"/>
      <c r="TJD391" s="455"/>
      <c r="TJE391" s="104"/>
      <c r="TJF391" s="104"/>
      <c r="TJG391" s="109"/>
      <c r="TJH391" s="104"/>
      <c r="TJI391" s="104"/>
      <c r="TJJ391" s="119"/>
      <c r="TJK391" s="104"/>
      <c r="TJL391" s="455"/>
      <c r="TJM391" s="104"/>
      <c r="TJN391" s="104"/>
      <c r="TJO391" s="109"/>
      <c r="TJP391" s="104"/>
      <c r="TJQ391" s="104"/>
      <c r="TJR391" s="119"/>
      <c r="TJS391" s="104"/>
      <c r="TJT391" s="455"/>
      <c r="TJU391" s="104"/>
      <c r="TJV391" s="104"/>
      <c r="TJW391" s="109"/>
      <c r="TJX391" s="104"/>
      <c r="TJY391" s="104"/>
      <c r="TJZ391" s="119"/>
      <c r="TKA391" s="104"/>
      <c r="TKB391" s="455"/>
      <c r="TKC391" s="104"/>
      <c r="TKD391" s="104"/>
      <c r="TKE391" s="109"/>
      <c r="TKF391" s="104"/>
      <c r="TKG391" s="104"/>
      <c r="TKH391" s="119"/>
      <c r="TKI391" s="104"/>
      <c r="TKJ391" s="455"/>
      <c r="TKK391" s="104"/>
      <c r="TKL391" s="104"/>
      <c r="TKM391" s="109"/>
      <c r="TKN391" s="104"/>
      <c r="TKO391" s="104"/>
      <c r="TKP391" s="119"/>
      <c r="TKQ391" s="104"/>
      <c r="TKR391" s="455"/>
      <c r="TKS391" s="104"/>
      <c r="TKT391" s="104"/>
      <c r="TKU391" s="109"/>
      <c r="TKV391" s="104"/>
      <c r="TKW391" s="104"/>
      <c r="TKX391" s="119"/>
      <c r="TKY391" s="104"/>
      <c r="TKZ391" s="455"/>
      <c r="TLA391" s="104"/>
      <c r="TLB391" s="104"/>
      <c r="TLC391" s="109"/>
      <c r="TLD391" s="104"/>
      <c r="TLE391" s="104"/>
      <c r="TLF391" s="119"/>
      <c r="TLG391" s="104"/>
      <c r="TLH391" s="455"/>
      <c r="TLI391" s="104"/>
      <c r="TLJ391" s="104"/>
      <c r="TLK391" s="109"/>
      <c r="TLL391" s="104"/>
      <c r="TLM391" s="104"/>
      <c r="TLN391" s="119"/>
      <c r="TLO391" s="104"/>
      <c r="TLP391" s="455"/>
      <c r="TLQ391" s="104"/>
      <c r="TLR391" s="104"/>
      <c r="TLS391" s="109"/>
      <c r="TLT391" s="104"/>
      <c r="TLU391" s="104"/>
      <c r="TLV391" s="119"/>
      <c r="TLW391" s="104"/>
      <c r="TLX391" s="455"/>
      <c r="TLY391" s="104"/>
      <c r="TLZ391" s="104"/>
      <c r="TMA391" s="109"/>
      <c r="TMB391" s="104"/>
      <c r="TMC391" s="104"/>
      <c r="TMD391" s="119"/>
      <c r="TME391" s="104"/>
      <c r="TMF391" s="455"/>
      <c r="TMG391" s="104"/>
      <c r="TMH391" s="104"/>
      <c r="TMI391" s="109"/>
      <c r="TMJ391" s="104"/>
      <c r="TMK391" s="104"/>
      <c r="TML391" s="119"/>
      <c r="TMM391" s="104"/>
      <c r="TMN391" s="455"/>
      <c r="TMO391" s="104"/>
      <c r="TMP391" s="104"/>
      <c r="TMQ391" s="109"/>
      <c r="TMR391" s="104"/>
      <c r="TMS391" s="104"/>
      <c r="TMT391" s="119"/>
      <c r="TMU391" s="104"/>
      <c r="TMV391" s="455"/>
      <c r="TMW391" s="104"/>
      <c r="TMX391" s="104"/>
      <c r="TMY391" s="109"/>
      <c r="TMZ391" s="104"/>
      <c r="TNA391" s="104"/>
      <c r="TNB391" s="119"/>
      <c r="TNC391" s="104"/>
      <c r="TND391" s="455"/>
      <c r="TNE391" s="104"/>
      <c r="TNF391" s="104"/>
      <c r="TNG391" s="109"/>
      <c r="TNH391" s="104"/>
      <c r="TNI391" s="104"/>
      <c r="TNJ391" s="119"/>
      <c r="TNK391" s="104"/>
      <c r="TNL391" s="455"/>
      <c r="TNM391" s="104"/>
      <c r="TNN391" s="104"/>
      <c r="TNO391" s="109"/>
      <c r="TNP391" s="104"/>
      <c r="TNQ391" s="104"/>
      <c r="TNR391" s="119"/>
      <c r="TNS391" s="104"/>
      <c r="TNT391" s="455"/>
      <c r="TNU391" s="104"/>
      <c r="TNV391" s="104"/>
      <c r="TNW391" s="109"/>
      <c r="TNX391" s="104"/>
      <c r="TNY391" s="104"/>
      <c r="TNZ391" s="119"/>
      <c r="TOA391" s="104"/>
      <c r="TOB391" s="455"/>
      <c r="TOC391" s="104"/>
      <c r="TOD391" s="104"/>
      <c r="TOE391" s="109"/>
      <c r="TOF391" s="104"/>
      <c r="TOG391" s="104"/>
      <c r="TOH391" s="119"/>
      <c r="TOI391" s="104"/>
      <c r="TOJ391" s="455"/>
      <c r="TOK391" s="104"/>
      <c r="TOL391" s="104"/>
      <c r="TOM391" s="109"/>
      <c r="TON391" s="104"/>
      <c r="TOO391" s="104"/>
      <c r="TOP391" s="119"/>
      <c r="TOQ391" s="104"/>
      <c r="TOR391" s="455"/>
      <c r="TOS391" s="104"/>
      <c r="TOT391" s="104"/>
      <c r="TOU391" s="109"/>
      <c r="TOV391" s="104"/>
      <c r="TOW391" s="104"/>
      <c r="TOX391" s="119"/>
      <c r="TOY391" s="104"/>
      <c r="TOZ391" s="455"/>
      <c r="TPA391" s="104"/>
      <c r="TPB391" s="104"/>
      <c r="TPC391" s="109"/>
      <c r="TPD391" s="104"/>
      <c r="TPE391" s="104"/>
      <c r="TPF391" s="119"/>
      <c r="TPG391" s="104"/>
      <c r="TPH391" s="455"/>
      <c r="TPI391" s="104"/>
      <c r="TPJ391" s="104"/>
      <c r="TPK391" s="109"/>
      <c r="TPL391" s="104"/>
      <c r="TPM391" s="104"/>
      <c r="TPN391" s="119"/>
      <c r="TPO391" s="104"/>
      <c r="TPP391" s="455"/>
      <c r="TPQ391" s="104"/>
      <c r="TPR391" s="104"/>
      <c r="TPS391" s="109"/>
      <c r="TPT391" s="104"/>
      <c r="TPU391" s="104"/>
      <c r="TPV391" s="119"/>
      <c r="TPW391" s="104"/>
      <c r="TPX391" s="455"/>
      <c r="TPY391" s="104"/>
      <c r="TPZ391" s="104"/>
      <c r="TQA391" s="109"/>
      <c r="TQB391" s="104"/>
      <c r="TQC391" s="104"/>
      <c r="TQD391" s="119"/>
      <c r="TQE391" s="104"/>
      <c r="TQF391" s="455"/>
      <c r="TQG391" s="104"/>
      <c r="TQH391" s="104"/>
      <c r="TQI391" s="109"/>
      <c r="TQJ391" s="104"/>
      <c r="TQK391" s="104"/>
      <c r="TQL391" s="119"/>
      <c r="TQM391" s="104"/>
      <c r="TQN391" s="455"/>
      <c r="TQO391" s="104"/>
      <c r="TQP391" s="104"/>
      <c r="TQQ391" s="109"/>
      <c r="TQR391" s="104"/>
      <c r="TQS391" s="104"/>
      <c r="TQT391" s="119"/>
      <c r="TQU391" s="104"/>
      <c r="TQV391" s="455"/>
      <c r="TQW391" s="104"/>
      <c r="TQX391" s="104"/>
      <c r="TQY391" s="109"/>
      <c r="TQZ391" s="104"/>
      <c r="TRA391" s="104"/>
      <c r="TRB391" s="119"/>
      <c r="TRC391" s="104"/>
      <c r="TRD391" s="455"/>
      <c r="TRE391" s="104"/>
      <c r="TRF391" s="104"/>
      <c r="TRG391" s="109"/>
      <c r="TRH391" s="104"/>
      <c r="TRI391" s="104"/>
      <c r="TRJ391" s="119"/>
      <c r="TRK391" s="104"/>
      <c r="TRL391" s="455"/>
      <c r="TRM391" s="104"/>
      <c r="TRN391" s="104"/>
      <c r="TRO391" s="109"/>
      <c r="TRP391" s="104"/>
      <c r="TRQ391" s="104"/>
      <c r="TRR391" s="119"/>
      <c r="TRS391" s="104"/>
      <c r="TRT391" s="455"/>
      <c r="TRU391" s="104"/>
      <c r="TRV391" s="104"/>
      <c r="TRW391" s="109"/>
      <c r="TRX391" s="104"/>
      <c r="TRY391" s="104"/>
      <c r="TRZ391" s="119"/>
      <c r="TSA391" s="104"/>
      <c r="TSB391" s="455"/>
      <c r="TSC391" s="104"/>
      <c r="TSD391" s="104"/>
      <c r="TSE391" s="109"/>
      <c r="TSF391" s="104"/>
      <c r="TSG391" s="104"/>
      <c r="TSH391" s="119"/>
      <c r="TSI391" s="104"/>
      <c r="TSJ391" s="455"/>
      <c r="TSK391" s="104"/>
      <c r="TSL391" s="104"/>
      <c r="TSM391" s="109"/>
      <c r="TSN391" s="104"/>
      <c r="TSO391" s="104"/>
      <c r="TSP391" s="119"/>
      <c r="TSQ391" s="104"/>
      <c r="TSR391" s="455"/>
      <c r="TSS391" s="104"/>
      <c r="TST391" s="104"/>
      <c r="TSU391" s="109"/>
      <c r="TSV391" s="104"/>
      <c r="TSW391" s="104"/>
      <c r="TSX391" s="119"/>
      <c r="TSY391" s="104"/>
      <c r="TSZ391" s="455"/>
      <c r="TTA391" s="104"/>
      <c r="TTB391" s="104"/>
      <c r="TTC391" s="109"/>
      <c r="TTD391" s="104"/>
      <c r="TTE391" s="104"/>
      <c r="TTF391" s="119"/>
      <c r="TTG391" s="104"/>
      <c r="TTH391" s="455"/>
      <c r="TTI391" s="104"/>
      <c r="TTJ391" s="104"/>
      <c r="TTK391" s="109"/>
      <c r="TTL391" s="104"/>
      <c r="TTM391" s="104"/>
      <c r="TTN391" s="119"/>
      <c r="TTO391" s="104"/>
      <c r="TTP391" s="455"/>
      <c r="TTQ391" s="104"/>
      <c r="TTR391" s="104"/>
      <c r="TTS391" s="109"/>
      <c r="TTT391" s="104"/>
      <c r="TTU391" s="104"/>
      <c r="TTV391" s="119"/>
      <c r="TTW391" s="104"/>
      <c r="TTX391" s="455"/>
      <c r="TTY391" s="104"/>
      <c r="TTZ391" s="104"/>
      <c r="TUA391" s="109"/>
      <c r="TUB391" s="104"/>
      <c r="TUC391" s="104"/>
      <c r="TUD391" s="119"/>
      <c r="TUE391" s="104"/>
      <c r="TUF391" s="455"/>
      <c r="TUG391" s="104"/>
      <c r="TUH391" s="104"/>
      <c r="TUI391" s="109"/>
      <c r="TUJ391" s="104"/>
      <c r="TUK391" s="104"/>
      <c r="TUL391" s="119"/>
      <c r="TUM391" s="104"/>
      <c r="TUN391" s="455"/>
      <c r="TUO391" s="104"/>
      <c r="TUP391" s="104"/>
      <c r="TUQ391" s="109"/>
      <c r="TUR391" s="104"/>
      <c r="TUS391" s="104"/>
      <c r="TUT391" s="119"/>
      <c r="TUU391" s="104"/>
      <c r="TUV391" s="455"/>
      <c r="TUW391" s="104"/>
      <c r="TUX391" s="104"/>
      <c r="TUY391" s="109"/>
      <c r="TUZ391" s="104"/>
      <c r="TVA391" s="104"/>
      <c r="TVB391" s="119"/>
      <c r="TVC391" s="104"/>
      <c r="TVD391" s="455"/>
      <c r="TVE391" s="104"/>
      <c r="TVF391" s="104"/>
      <c r="TVG391" s="109"/>
      <c r="TVH391" s="104"/>
      <c r="TVI391" s="104"/>
      <c r="TVJ391" s="119"/>
      <c r="TVK391" s="104"/>
      <c r="TVL391" s="455"/>
      <c r="TVM391" s="104"/>
      <c r="TVN391" s="104"/>
      <c r="TVO391" s="109"/>
      <c r="TVP391" s="104"/>
      <c r="TVQ391" s="104"/>
      <c r="TVR391" s="119"/>
      <c r="TVS391" s="104"/>
      <c r="TVT391" s="455"/>
      <c r="TVU391" s="104"/>
      <c r="TVV391" s="104"/>
      <c r="TVW391" s="109"/>
      <c r="TVX391" s="104"/>
      <c r="TVY391" s="104"/>
      <c r="TVZ391" s="119"/>
      <c r="TWA391" s="104"/>
      <c r="TWB391" s="455"/>
      <c r="TWC391" s="104"/>
      <c r="TWD391" s="104"/>
      <c r="TWE391" s="109"/>
      <c r="TWF391" s="104"/>
      <c r="TWG391" s="104"/>
      <c r="TWH391" s="119"/>
      <c r="TWI391" s="104"/>
      <c r="TWJ391" s="455"/>
      <c r="TWK391" s="104"/>
      <c r="TWL391" s="104"/>
      <c r="TWM391" s="109"/>
      <c r="TWN391" s="104"/>
      <c r="TWO391" s="104"/>
      <c r="TWP391" s="119"/>
      <c r="TWQ391" s="104"/>
      <c r="TWR391" s="455"/>
      <c r="TWS391" s="104"/>
      <c r="TWT391" s="104"/>
      <c r="TWU391" s="109"/>
      <c r="TWV391" s="104"/>
      <c r="TWW391" s="104"/>
      <c r="TWX391" s="119"/>
      <c r="TWY391" s="104"/>
      <c r="TWZ391" s="455"/>
      <c r="TXA391" s="104"/>
      <c r="TXB391" s="104"/>
      <c r="TXC391" s="109"/>
      <c r="TXD391" s="104"/>
      <c r="TXE391" s="104"/>
      <c r="TXF391" s="119"/>
      <c r="TXG391" s="104"/>
      <c r="TXH391" s="455"/>
      <c r="TXI391" s="104"/>
      <c r="TXJ391" s="104"/>
      <c r="TXK391" s="109"/>
      <c r="TXL391" s="104"/>
      <c r="TXM391" s="104"/>
      <c r="TXN391" s="119"/>
      <c r="TXO391" s="104"/>
      <c r="TXP391" s="455"/>
      <c r="TXQ391" s="104"/>
      <c r="TXR391" s="104"/>
      <c r="TXS391" s="109"/>
      <c r="TXT391" s="104"/>
      <c r="TXU391" s="104"/>
      <c r="TXV391" s="119"/>
      <c r="TXW391" s="104"/>
      <c r="TXX391" s="455"/>
      <c r="TXY391" s="104"/>
      <c r="TXZ391" s="104"/>
      <c r="TYA391" s="109"/>
      <c r="TYB391" s="104"/>
      <c r="TYC391" s="104"/>
      <c r="TYD391" s="119"/>
      <c r="TYE391" s="104"/>
      <c r="TYF391" s="455"/>
      <c r="TYG391" s="104"/>
      <c r="TYH391" s="104"/>
      <c r="TYI391" s="109"/>
      <c r="TYJ391" s="104"/>
      <c r="TYK391" s="104"/>
      <c r="TYL391" s="119"/>
      <c r="TYM391" s="104"/>
      <c r="TYN391" s="455"/>
      <c r="TYO391" s="104"/>
      <c r="TYP391" s="104"/>
      <c r="TYQ391" s="109"/>
      <c r="TYR391" s="104"/>
      <c r="TYS391" s="104"/>
      <c r="TYT391" s="119"/>
      <c r="TYU391" s="104"/>
      <c r="TYV391" s="455"/>
      <c r="TYW391" s="104"/>
      <c r="TYX391" s="104"/>
      <c r="TYY391" s="109"/>
      <c r="TYZ391" s="104"/>
      <c r="TZA391" s="104"/>
      <c r="TZB391" s="119"/>
      <c r="TZC391" s="104"/>
      <c r="TZD391" s="455"/>
      <c r="TZE391" s="104"/>
      <c r="TZF391" s="104"/>
      <c r="TZG391" s="109"/>
      <c r="TZH391" s="104"/>
      <c r="TZI391" s="104"/>
      <c r="TZJ391" s="119"/>
      <c r="TZK391" s="104"/>
      <c r="TZL391" s="455"/>
      <c r="TZM391" s="104"/>
      <c r="TZN391" s="104"/>
      <c r="TZO391" s="109"/>
      <c r="TZP391" s="104"/>
      <c r="TZQ391" s="104"/>
      <c r="TZR391" s="119"/>
      <c r="TZS391" s="104"/>
      <c r="TZT391" s="455"/>
      <c r="TZU391" s="104"/>
      <c r="TZV391" s="104"/>
      <c r="TZW391" s="109"/>
      <c r="TZX391" s="104"/>
      <c r="TZY391" s="104"/>
      <c r="TZZ391" s="119"/>
      <c r="UAA391" s="104"/>
      <c r="UAB391" s="455"/>
      <c r="UAC391" s="104"/>
      <c r="UAD391" s="104"/>
      <c r="UAE391" s="109"/>
      <c r="UAF391" s="104"/>
      <c r="UAG391" s="104"/>
      <c r="UAH391" s="119"/>
      <c r="UAI391" s="104"/>
      <c r="UAJ391" s="455"/>
      <c r="UAK391" s="104"/>
      <c r="UAL391" s="104"/>
      <c r="UAM391" s="109"/>
      <c r="UAN391" s="104"/>
      <c r="UAO391" s="104"/>
      <c r="UAP391" s="119"/>
      <c r="UAQ391" s="104"/>
      <c r="UAR391" s="455"/>
      <c r="UAS391" s="104"/>
      <c r="UAT391" s="104"/>
      <c r="UAU391" s="109"/>
      <c r="UAV391" s="104"/>
      <c r="UAW391" s="104"/>
      <c r="UAX391" s="119"/>
      <c r="UAY391" s="104"/>
      <c r="UAZ391" s="455"/>
      <c r="UBA391" s="104"/>
      <c r="UBB391" s="104"/>
      <c r="UBC391" s="109"/>
      <c r="UBD391" s="104"/>
      <c r="UBE391" s="104"/>
      <c r="UBF391" s="119"/>
      <c r="UBG391" s="104"/>
      <c r="UBH391" s="455"/>
      <c r="UBI391" s="104"/>
      <c r="UBJ391" s="104"/>
      <c r="UBK391" s="109"/>
      <c r="UBL391" s="104"/>
      <c r="UBM391" s="104"/>
      <c r="UBN391" s="119"/>
      <c r="UBO391" s="104"/>
      <c r="UBP391" s="455"/>
      <c r="UBQ391" s="104"/>
      <c r="UBR391" s="104"/>
      <c r="UBS391" s="109"/>
      <c r="UBT391" s="104"/>
      <c r="UBU391" s="104"/>
      <c r="UBV391" s="119"/>
      <c r="UBW391" s="104"/>
      <c r="UBX391" s="455"/>
      <c r="UBY391" s="104"/>
      <c r="UBZ391" s="104"/>
      <c r="UCA391" s="109"/>
      <c r="UCB391" s="104"/>
      <c r="UCC391" s="104"/>
      <c r="UCD391" s="119"/>
      <c r="UCE391" s="104"/>
      <c r="UCF391" s="455"/>
      <c r="UCG391" s="104"/>
      <c r="UCH391" s="104"/>
      <c r="UCI391" s="109"/>
      <c r="UCJ391" s="104"/>
      <c r="UCK391" s="104"/>
      <c r="UCL391" s="119"/>
      <c r="UCM391" s="104"/>
      <c r="UCN391" s="455"/>
      <c r="UCO391" s="104"/>
      <c r="UCP391" s="104"/>
      <c r="UCQ391" s="109"/>
      <c r="UCR391" s="104"/>
      <c r="UCS391" s="104"/>
      <c r="UCT391" s="119"/>
      <c r="UCU391" s="104"/>
      <c r="UCV391" s="455"/>
      <c r="UCW391" s="104"/>
      <c r="UCX391" s="104"/>
      <c r="UCY391" s="109"/>
      <c r="UCZ391" s="104"/>
      <c r="UDA391" s="104"/>
      <c r="UDB391" s="119"/>
      <c r="UDC391" s="104"/>
      <c r="UDD391" s="455"/>
      <c r="UDE391" s="104"/>
      <c r="UDF391" s="104"/>
      <c r="UDG391" s="109"/>
      <c r="UDH391" s="104"/>
      <c r="UDI391" s="104"/>
      <c r="UDJ391" s="119"/>
      <c r="UDK391" s="104"/>
      <c r="UDL391" s="455"/>
      <c r="UDM391" s="104"/>
      <c r="UDN391" s="104"/>
      <c r="UDO391" s="109"/>
      <c r="UDP391" s="104"/>
      <c r="UDQ391" s="104"/>
      <c r="UDR391" s="119"/>
      <c r="UDS391" s="104"/>
      <c r="UDT391" s="455"/>
      <c r="UDU391" s="104"/>
      <c r="UDV391" s="104"/>
      <c r="UDW391" s="109"/>
      <c r="UDX391" s="104"/>
      <c r="UDY391" s="104"/>
      <c r="UDZ391" s="119"/>
      <c r="UEA391" s="104"/>
      <c r="UEB391" s="455"/>
      <c r="UEC391" s="104"/>
      <c r="UED391" s="104"/>
      <c r="UEE391" s="109"/>
      <c r="UEF391" s="104"/>
      <c r="UEG391" s="104"/>
      <c r="UEH391" s="119"/>
      <c r="UEI391" s="104"/>
      <c r="UEJ391" s="455"/>
      <c r="UEK391" s="104"/>
      <c r="UEL391" s="104"/>
      <c r="UEM391" s="109"/>
      <c r="UEN391" s="104"/>
      <c r="UEO391" s="104"/>
      <c r="UEP391" s="119"/>
      <c r="UEQ391" s="104"/>
      <c r="UER391" s="455"/>
      <c r="UES391" s="104"/>
      <c r="UET391" s="104"/>
      <c r="UEU391" s="109"/>
      <c r="UEV391" s="104"/>
      <c r="UEW391" s="104"/>
      <c r="UEX391" s="119"/>
      <c r="UEY391" s="104"/>
      <c r="UEZ391" s="455"/>
      <c r="UFA391" s="104"/>
      <c r="UFB391" s="104"/>
      <c r="UFC391" s="109"/>
      <c r="UFD391" s="104"/>
      <c r="UFE391" s="104"/>
      <c r="UFF391" s="119"/>
      <c r="UFG391" s="104"/>
      <c r="UFH391" s="455"/>
      <c r="UFI391" s="104"/>
      <c r="UFJ391" s="104"/>
      <c r="UFK391" s="109"/>
      <c r="UFL391" s="104"/>
      <c r="UFM391" s="104"/>
      <c r="UFN391" s="119"/>
      <c r="UFO391" s="104"/>
      <c r="UFP391" s="455"/>
      <c r="UFQ391" s="104"/>
      <c r="UFR391" s="104"/>
      <c r="UFS391" s="109"/>
      <c r="UFT391" s="104"/>
      <c r="UFU391" s="104"/>
      <c r="UFV391" s="119"/>
      <c r="UFW391" s="104"/>
      <c r="UFX391" s="455"/>
      <c r="UFY391" s="104"/>
      <c r="UFZ391" s="104"/>
      <c r="UGA391" s="109"/>
      <c r="UGB391" s="104"/>
      <c r="UGC391" s="104"/>
      <c r="UGD391" s="119"/>
      <c r="UGE391" s="104"/>
      <c r="UGF391" s="455"/>
      <c r="UGG391" s="104"/>
      <c r="UGH391" s="104"/>
      <c r="UGI391" s="109"/>
      <c r="UGJ391" s="104"/>
      <c r="UGK391" s="104"/>
      <c r="UGL391" s="119"/>
      <c r="UGM391" s="104"/>
      <c r="UGN391" s="455"/>
      <c r="UGO391" s="104"/>
      <c r="UGP391" s="104"/>
      <c r="UGQ391" s="109"/>
      <c r="UGR391" s="104"/>
      <c r="UGS391" s="104"/>
      <c r="UGT391" s="119"/>
      <c r="UGU391" s="104"/>
      <c r="UGV391" s="455"/>
      <c r="UGW391" s="104"/>
      <c r="UGX391" s="104"/>
      <c r="UGY391" s="109"/>
      <c r="UGZ391" s="104"/>
      <c r="UHA391" s="104"/>
      <c r="UHB391" s="119"/>
      <c r="UHC391" s="104"/>
      <c r="UHD391" s="455"/>
      <c r="UHE391" s="104"/>
      <c r="UHF391" s="104"/>
      <c r="UHG391" s="109"/>
      <c r="UHH391" s="104"/>
      <c r="UHI391" s="104"/>
      <c r="UHJ391" s="119"/>
      <c r="UHK391" s="104"/>
      <c r="UHL391" s="455"/>
      <c r="UHM391" s="104"/>
      <c r="UHN391" s="104"/>
      <c r="UHO391" s="109"/>
      <c r="UHP391" s="104"/>
      <c r="UHQ391" s="104"/>
      <c r="UHR391" s="119"/>
      <c r="UHS391" s="104"/>
      <c r="UHT391" s="455"/>
      <c r="UHU391" s="104"/>
      <c r="UHV391" s="104"/>
      <c r="UHW391" s="109"/>
      <c r="UHX391" s="104"/>
      <c r="UHY391" s="104"/>
      <c r="UHZ391" s="119"/>
      <c r="UIA391" s="104"/>
      <c r="UIB391" s="455"/>
      <c r="UIC391" s="104"/>
      <c r="UID391" s="104"/>
      <c r="UIE391" s="109"/>
      <c r="UIF391" s="104"/>
      <c r="UIG391" s="104"/>
      <c r="UIH391" s="119"/>
      <c r="UII391" s="104"/>
      <c r="UIJ391" s="455"/>
      <c r="UIK391" s="104"/>
      <c r="UIL391" s="104"/>
      <c r="UIM391" s="109"/>
      <c r="UIN391" s="104"/>
      <c r="UIO391" s="104"/>
      <c r="UIP391" s="119"/>
      <c r="UIQ391" s="104"/>
      <c r="UIR391" s="455"/>
      <c r="UIS391" s="104"/>
      <c r="UIT391" s="104"/>
      <c r="UIU391" s="109"/>
      <c r="UIV391" s="104"/>
      <c r="UIW391" s="104"/>
      <c r="UIX391" s="119"/>
      <c r="UIY391" s="104"/>
      <c r="UIZ391" s="455"/>
      <c r="UJA391" s="104"/>
      <c r="UJB391" s="104"/>
      <c r="UJC391" s="109"/>
      <c r="UJD391" s="104"/>
      <c r="UJE391" s="104"/>
      <c r="UJF391" s="119"/>
      <c r="UJG391" s="104"/>
      <c r="UJH391" s="455"/>
      <c r="UJI391" s="104"/>
      <c r="UJJ391" s="104"/>
      <c r="UJK391" s="109"/>
      <c r="UJL391" s="104"/>
      <c r="UJM391" s="104"/>
      <c r="UJN391" s="119"/>
      <c r="UJO391" s="104"/>
      <c r="UJP391" s="455"/>
      <c r="UJQ391" s="104"/>
      <c r="UJR391" s="104"/>
      <c r="UJS391" s="109"/>
      <c r="UJT391" s="104"/>
      <c r="UJU391" s="104"/>
      <c r="UJV391" s="119"/>
      <c r="UJW391" s="104"/>
      <c r="UJX391" s="455"/>
      <c r="UJY391" s="104"/>
      <c r="UJZ391" s="104"/>
      <c r="UKA391" s="109"/>
      <c r="UKB391" s="104"/>
      <c r="UKC391" s="104"/>
      <c r="UKD391" s="119"/>
      <c r="UKE391" s="104"/>
      <c r="UKF391" s="455"/>
      <c r="UKG391" s="104"/>
      <c r="UKH391" s="104"/>
      <c r="UKI391" s="109"/>
      <c r="UKJ391" s="104"/>
      <c r="UKK391" s="104"/>
      <c r="UKL391" s="119"/>
      <c r="UKM391" s="104"/>
      <c r="UKN391" s="455"/>
      <c r="UKO391" s="104"/>
      <c r="UKP391" s="104"/>
      <c r="UKQ391" s="109"/>
      <c r="UKR391" s="104"/>
      <c r="UKS391" s="104"/>
      <c r="UKT391" s="119"/>
      <c r="UKU391" s="104"/>
      <c r="UKV391" s="455"/>
      <c r="UKW391" s="104"/>
      <c r="UKX391" s="104"/>
      <c r="UKY391" s="109"/>
      <c r="UKZ391" s="104"/>
      <c r="ULA391" s="104"/>
      <c r="ULB391" s="119"/>
      <c r="ULC391" s="104"/>
      <c r="ULD391" s="455"/>
      <c r="ULE391" s="104"/>
      <c r="ULF391" s="104"/>
      <c r="ULG391" s="109"/>
      <c r="ULH391" s="104"/>
      <c r="ULI391" s="104"/>
      <c r="ULJ391" s="119"/>
      <c r="ULK391" s="104"/>
      <c r="ULL391" s="455"/>
      <c r="ULM391" s="104"/>
      <c r="ULN391" s="104"/>
      <c r="ULO391" s="109"/>
      <c r="ULP391" s="104"/>
      <c r="ULQ391" s="104"/>
      <c r="ULR391" s="119"/>
      <c r="ULS391" s="104"/>
      <c r="ULT391" s="455"/>
      <c r="ULU391" s="104"/>
      <c r="ULV391" s="104"/>
      <c r="ULW391" s="109"/>
      <c r="ULX391" s="104"/>
      <c r="ULY391" s="104"/>
      <c r="ULZ391" s="119"/>
      <c r="UMA391" s="104"/>
      <c r="UMB391" s="455"/>
      <c r="UMC391" s="104"/>
      <c r="UMD391" s="104"/>
      <c r="UME391" s="109"/>
      <c r="UMF391" s="104"/>
      <c r="UMG391" s="104"/>
      <c r="UMH391" s="119"/>
      <c r="UMI391" s="104"/>
      <c r="UMJ391" s="455"/>
      <c r="UMK391" s="104"/>
      <c r="UML391" s="104"/>
      <c r="UMM391" s="109"/>
      <c r="UMN391" s="104"/>
      <c r="UMO391" s="104"/>
      <c r="UMP391" s="119"/>
      <c r="UMQ391" s="104"/>
      <c r="UMR391" s="455"/>
      <c r="UMS391" s="104"/>
      <c r="UMT391" s="104"/>
      <c r="UMU391" s="109"/>
      <c r="UMV391" s="104"/>
      <c r="UMW391" s="104"/>
      <c r="UMX391" s="119"/>
      <c r="UMY391" s="104"/>
      <c r="UMZ391" s="455"/>
      <c r="UNA391" s="104"/>
      <c r="UNB391" s="104"/>
      <c r="UNC391" s="109"/>
      <c r="UND391" s="104"/>
      <c r="UNE391" s="104"/>
      <c r="UNF391" s="119"/>
      <c r="UNG391" s="104"/>
      <c r="UNH391" s="455"/>
      <c r="UNI391" s="104"/>
      <c r="UNJ391" s="104"/>
      <c r="UNK391" s="109"/>
      <c r="UNL391" s="104"/>
      <c r="UNM391" s="104"/>
      <c r="UNN391" s="119"/>
      <c r="UNO391" s="104"/>
      <c r="UNP391" s="455"/>
      <c r="UNQ391" s="104"/>
      <c r="UNR391" s="104"/>
      <c r="UNS391" s="109"/>
      <c r="UNT391" s="104"/>
      <c r="UNU391" s="104"/>
      <c r="UNV391" s="119"/>
      <c r="UNW391" s="104"/>
      <c r="UNX391" s="455"/>
      <c r="UNY391" s="104"/>
      <c r="UNZ391" s="104"/>
      <c r="UOA391" s="109"/>
      <c r="UOB391" s="104"/>
      <c r="UOC391" s="104"/>
      <c r="UOD391" s="119"/>
      <c r="UOE391" s="104"/>
      <c r="UOF391" s="455"/>
      <c r="UOG391" s="104"/>
      <c r="UOH391" s="104"/>
      <c r="UOI391" s="109"/>
      <c r="UOJ391" s="104"/>
      <c r="UOK391" s="104"/>
      <c r="UOL391" s="119"/>
      <c r="UOM391" s="104"/>
      <c r="UON391" s="455"/>
      <c r="UOO391" s="104"/>
      <c r="UOP391" s="104"/>
      <c r="UOQ391" s="109"/>
      <c r="UOR391" s="104"/>
      <c r="UOS391" s="104"/>
      <c r="UOT391" s="119"/>
      <c r="UOU391" s="104"/>
      <c r="UOV391" s="455"/>
      <c r="UOW391" s="104"/>
      <c r="UOX391" s="104"/>
      <c r="UOY391" s="109"/>
      <c r="UOZ391" s="104"/>
      <c r="UPA391" s="104"/>
      <c r="UPB391" s="119"/>
      <c r="UPC391" s="104"/>
      <c r="UPD391" s="455"/>
      <c r="UPE391" s="104"/>
      <c r="UPF391" s="104"/>
      <c r="UPG391" s="109"/>
      <c r="UPH391" s="104"/>
      <c r="UPI391" s="104"/>
      <c r="UPJ391" s="119"/>
      <c r="UPK391" s="104"/>
      <c r="UPL391" s="455"/>
      <c r="UPM391" s="104"/>
      <c r="UPN391" s="104"/>
      <c r="UPO391" s="109"/>
      <c r="UPP391" s="104"/>
      <c r="UPQ391" s="104"/>
      <c r="UPR391" s="119"/>
      <c r="UPS391" s="104"/>
      <c r="UPT391" s="455"/>
      <c r="UPU391" s="104"/>
      <c r="UPV391" s="104"/>
      <c r="UPW391" s="109"/>
      <c r="UPX391" s="104"/>
      <c r="UPY391" s="104"/>
      <c r="UPZ391" s="119"/>
      <c r="UQA391" s="104"/>
      <c r="UQB391" s="455"/>
      <c r="UQC391" s="104"/>
      <c r="UQD391" s="104"/>
      <c r="UQE391" s="109"/>
      <c r="UQF391" s="104"/>
      <c r="UQG391" s="104"/>
      <c r="UQH391" s="119"/>
      <c r="UQI391" s="104"/>
      <c r="UQJ391" s="455"/>
      <c r="UQK391" s="104"/>
      <c r="UQL391" s="104"/>
      <c r="UQM391" s="109"/>
      <c r="UQN391" s="104"/>
      <c r="UQO391" s="104"/>
      <c r="UQP391" s="119"/>
      <c r="UQQ391" s="104"/>
      <c r="UQR391" s="455"/>
      <c r="UQS391" s="104"/>
      <c r="UQT391" s="104"/>
      <c r="UQU391" s="109"/>
      <c r="UQV391" s="104"/>
      <c r="UQW391" s="104"/>
      <c r="UQX391" s="119"/>
      <c r="UQY391" s="104"/>
      <c r="UQZ391" s="455"/>
      <c r="URA391" s="104"/>
      <c r="URB391" s="104"/>
      <c r="URC391" s="109"/>
      <c r="URD391" s="104"/>
      <c r="URE391" s="104"/>
      <c r="URF391" s="119"/>
      <c r="URG391" s="104"/>
      <c r="URH391" s="455"/>
      <c r="URI391" s="104"/>
      <c r="URJ391" s="104"/>
      <c r="URK391" s="109"/>
      <c r="URL391" s="104"/>
      <c r="URM391" s="104"/>
      <c r="URN391" s="119"/>
      <c r="URO391" s="104"/>
      <c r="URP391" s="455"/>
      <c r="URQ391" s="104"/>
      <c r="URR391" s="104"/>
      <c r="URS391" s="109"/>
      <c r="URT391" s="104"/>
      <c r="URU391" s="104"/>
      <c r="URV391" s="119"/>
      <c r="URW391" s="104"/>
      <c r="URX391" s="455"/>
      <c r="URY391" s="104"/>
      <c r="URZ391" s="104"/>
      <c r="USA391" s="109"/>
      <c r="USB391" s="104"/>
      <c r="USC391" s="104"/>
      <c r="USD391" s="119"/>
      <c r="USE391" s="104"/>
      <c r="USF391" s="455"/>
      <c r="USG391" s="104"/>
      <c r="USH391" s="104"/>
      <c r="USI391" s="109"/>
      <c r="USJ391" s="104"/>
      <c r="USK391" s="104"/>
      <c r="USL391" s="119"/>
      <c r="USM391" s="104"/>
      <c r="USN391" s="455"/>
      <c r="USO391" s="104"/>
      <c r="USP391" s="104"/>
      <c r="USQ391" s="109"/>
      <c r="USR391" s="104"/>
      <c r="USS391" s="104"/>
      <c r="UST391" s="119"/>
      <c r="USU391" s="104"/>
      <c r="USV391" s="455"/>
      <c r="USW391" s="104"/>
      <c r="USX391" s="104"/>
      <c r="USY391" s="109"/>
      <c r="USZ391" s="104"/>
      <c r="UTA391" s="104"/>
      <c r="UTB391" s="119"/>
      <c r="UTC391" s="104"/>
      <c r="UTD391" s="455"/>
      <c r="UTE391" s="104"/>
      <c r="UTF391" s="104"/>
      <c r="UTG391" s="109"/>
      <c r="UTH391" s="104"/>
      <c r="UTI391" s="104"/>
      <c r="UTJ391" s="119"/>
      <c r="UTK391" s="104"/>
      <c r="UTL391" s="455"/>
      <c r="UTM391" s="104"/>
      <c r="UTN391" s="104"/>
      <c r="UTO391" s="109"/>
      <c r="UTP391" s="104"/>
      <c r="UTQ391" s="104"/>
      <c r="UTR391" s="119"/>
      <c r="UTS391" s="104"/>
      <c r="UTT391" s="455"/>
      <c r="UTU391" s="104"/>
      <c r="UTV391" s="104"/>
      <c r="UTW391" s="109"/>
      <c r="UTX391" s="104"/>
      <c r="UTY391" s="104"/>
      <c r="UTZ391" s="119"/>
      <c r="UUA391" s="104"/>
      <c r="UUB391" s="455"/>
      <c r="UUC391" s="104"/>
      <c r="UUD391" s="104"/>
      <c r="UUE391" s="109"/>
      <c r="UUF391" s="104"/>
      <c r="UUG391" s="104"/>
      <c r="UUH391" s="119"/>
      <c r="UUI391" s="104"/>
      <c r="UUJ391" s="455"/>
      <c r="UUK391" s="104"/>
      <c r="UUL391" s="104"/>
      <c r="UUM391" s="109"/>
      <c r="UUN391" s="104"/>
      <c r="UUO391" s="104"/>
      <c r="UUP391" s="119"/>
      <c r="UUQ391" s="104"/>
      <c r="UUR391" s="455"/>
      <c r="UUS391" s="104"/>
      <c r="UUT391" s="104"/>
      <c r="UUU391" s="109"/>
      <c r="UUV391" s="104"/>
      <c r="UUW391" s="104"/>
      <c r="UUX391" s="119"/>
      <c r="UUY391" s="104"/>
      <c r="UUZ391" s="455"/>
      <c r="UVA391" s="104"/>
      <c r="UVB391" s="104"/>
      <c r="UVC391" s="109"/>
      <c r="UVD391" s="104"/>
      <c r="UVE391" s="104"/>
      <c r="UVF391" s="119"/>
      <c r="UVG391" s="104"/>
      <c r="UVH391" s="455"/>
      <c r="UVI391" s="104"/>
      <c r="UVJ391" s="104"/>
      <c r="UVK391" s="109"/>
      <c r="UVL391" s="104"/>
      <c r="UVM391" s="104"/>
      <c r="UVN391" s="119"/>
      <c r="UVO391" s="104"/>
      <c r="UVP391" s="455"/>
      <c r="UVQ391" s="104"/>
      <c r="UVR391" s="104"/>
      <c r="UVS391" s="109"/>
      <c r="UVT391" s="104"/>
      <c r="UVU391" s="104"/>
      <c r="UVV391" s="119"/>
      <c r="UVW391" s="104"/>
      <c r="UVX391" s="455"/>
      <c r="UVY391" s="104"/>
      <c r="UVZ391" s="104"/>
      <c r="UWA391" s="109"/>
      <c r="UWB391" s="104"/>
      <c r="UWC391" s="104"/>
      <c r="UWD391" s="119"/>
      <c r="UWE391" s="104"/>
      <c r="UWF391" s="455"/>
      <c r="UWG391" s="104"/>
      <c r="UWH391" s="104"/>
      <c r="UWI391" s="109"/>
      <c r="UWJ391" s="104"/>
      <c r="UWK391" s="104"/>
      <c r="UWL391" s="119"/>
      <c r="UWM391" s="104"/>
      <c r="UWN391" s="455"/>
      <c r="UWO391" s="104"/>
      <c r="UWP391" s="104"/>
      <c r="UWQ391" s="109"/>
      <c r="UWR391" s="104"/>
      <c r="UWS391" s="104"/>
      <c r="UWT391" s="119"/>
      <c r="UWU391" s="104"/>
      <c r="UWV391" s="455"/>
      <c r="UWW391" s="104"/>
      <c r="UWX391" s="104"/>
      <c r="UWY391" s="109"/>
      <c r="UWZ391" s="104"/>
      <c r="UXA391" s="104"/>
      <c r="UXB391" s="119"/>
      <c r="UXC391" s="104"/>
      <c r="UXD391" s="455"/>
      <c r="UXE391" s="104"/>
      <c r="UXF391" s="104"/>
      <c r="UXG391" s="109"/>
      <c r="UXH391" s="104"/>
      <c r="UXI391" s="104"/>
      <c r="UXJ391" s="119"/>
      <c r="UXK391" s="104"/>
      <c r="UXL391" s="455"/>
      <c r="UXM391" s="104"/>
      <c r="UXN391" s="104"/>
      <c r="UXO391" s="109"/>
      <c r="UXP391" s="104"/>
      <c r="UXQ391" s="104"/>
      <c r="UXR391" s="119"/>
      <c r="UXS391" s="104"/>
      <c r="UXT391" s="455"/>
      <c r="UXU391" s="104"/>
      <c r="UXV391" s="104"/>
      <c r="UXW391" s="109"/>
      <c r="UXX391" s="104"/>
      <c r="UXY391" s="104"/>
      <c r="UXZ391" s="119"/>
      <c r="UYA391" s="104"/>
      <c r="UYB391" s="455"/>
      <c r="UYC391" s="104"/>
      <c r="UYD391" s="104"/>
      <c r="UYE391" s="109"/>
      <c r="UYF391" s="104"/>
      <c r="UYG391" s="104"/>
      <c r="UYH391" s="119"/>
      <c r="UYI391" s="104"/>
      <c r="UYJ391" s="455"/>
      <c r="UYK391" s="104"/>
      <c r="UYL391" s="104"/>
      <c r="UYM391" s="109"/>
      <c r="UYN391" s="104"/>
      <c r="UYO391" s="104"/>
      <c r="UYP391" s="119"/>
      <c r="UYQ391" s="104"/>
      <c r="UYR391" s="455"/>
      <c r="UYS391" s="104"/>
      <c r="UYT391" s="104"/>
      <c r="UYU391" s="109"/>
      <c r="UYV391" s="104"/>
      <c r="UYW391" s="104"/>
      <c r="UYX391" s="119"/>
      <c r="UYY391" s="104"/>
      <c r="UYZ391" s="455"/>
      <c r="UZA391" s="104"/>
      <c r="UZB391" s="104"/>
      <c r="UZC391" s="109"/>
      <c r="UZD391" s="104"/>
      <c r="UZE391" s="104"/>
      <c r="UZF391" s="119"/>
      <c r="UZG391" s="104"/>
      <c r="UZH391" s="455"/>
      <c r="UZI391" s="104"/>
      <c r="UZJ391" s="104"/>
      <c r="UZK391" s="109"/>
      <c r="UZL391" s="104"/>
      <c r="UZM391" s="104"/>
      <c r="UZN391" s="119"/>
      <c r="UZO391" s="104"/>
      <c r="UZP391" s="455"/>
      <c r="UZQ391" s="104"/>
      <c r="UZR391" s="104"/>
      <c r="UZS391" s="109"/>
      <c r="UZT391" s="104"/>
      <c r="UZU391" s="104"/>
      <c r="UZV391" s="119"/>
      <c r="UZW391" s="104"/>
      <c r="UZX391" s="455"/>
      <c r="UZY391" s="104"/>
      <c r="UZZ391" s="104"/>
      <c r="VAA391" s="109"/>
      <c r="VAB391" s="104"/>
      <c r="VAC391" s="104"/>
      <c r="VAD391" s="119"/>
      <c r="VAE391" s="104"/>
      <c r="VAF391" s="455"/>
      <c r="VAG391" s="104"/>
      <c r="VAH391" s="104"/>
      <c r="VAI391" s="109"/>
      <c r="VAJ391" s="104"/>
      <c r="VAK391" s="104"/>
      <c r="VAL391" s="119"/>
      <c r="VAM391" s="104"/>
      <c r="VAN391" s="455"/>
      <c r="VAO391" s="104"/>
      <c r="VAP391" s="104"/>
      <c r="VAQ391" s="109"/>
      <c r="VAR391" s="104"/>
      <c r="VAS391" s="104"/>
      <c r="VAT391" s="119"/>
      <c r="VAU391" s="104"/>
      <c r="VAV391" s="455"/>
      <c r="VAW391" s="104"/>
      <c r="VAX391" s="104"/>
      <c r="VAY391" s="109"/>
      <c r="VAZ391" s="104"/>
      <c r="VBA391" s="104"/>
      <c r="VBB391" s="119"/>
      <c r="VBC391" s="104"/>
      <c r="VBD391" s="455"/>
      <c r="VBE391" s="104"/>
      <c r="VBF391" s="104"/>
      <c r="VBG391" s="109"/>
      <c r="VBH391" s="104"/>
      <c r="VBI391" s="104"/>
      <c r="VBJ391" s="119"/>
      <c r="VBK391" s="104"/>
      <c r="VBL391" s="455"/>
      <c r="VBM391" s="104"/>
      <c r="VBN391" s="104"/>
      <c r="VBO391" s="109"/>
      <c r="VBP391" s="104"/>
      <c r="VBQ391" s="104"/>
      <c r="VBR391" s="119"/>
      <c r="VBS391" s="104"/>
      <c r="VBT391" s="455"/>
      <c r="VBU391" s="104"/>
      <c r="VBV391" s="104"/>
      <c r="VBW391" s="109"/>
      <c r="VBX391" s="104"/>
      <c r="VBY391" s="104"/>
      <c r="VBZ391" s="119"/>
      <c r="VCA391" s="104"/>
      <c r="VCB391" s="455"/>
      <c r="VCC391" s="104"/>
      <c r="VCD391" s="104"/>
      <c r="VCE391" s="109"/>
      <c r="VCF391" s="104"/>
      <c r="VCG391" s="104"/>
      <c r="VCH391" s="119"/>
      <c r="VCI391" s="104"/>
      <c r="VCJ391" s="455"/>
      <c r="VCK391" s="104"/>
      <c r="VCL391" s="104"/>
      <c r="VCM391" s="109"/>
      <c r="VCN391" s="104"/>
      <c r="VCO391" s="104"/>
      <c r="VCP391" s="119"/>
      <c r="VCQ391" s="104"/>
      <c r="VCR391" s="455"/>
      <c r="VCS391" s="104"/>
      <c r="VCT391" s="104"/>
      <c r="VCU391" s="109"/>
      <c r="VCV391" s="104"/>
      <c r="VCW391" s="104"/>
      <c r="VCX391" s="119"/>
      <c r="VCY391" s="104"/>
      <c r="VCZ391" s="455"/>
      <c r="VDA391" s="104"/>
      <c r="VDB391" s="104"/>
      <c r="VDC391" s="109"/>
      <c r="VDD391" s="104"/>
      <c r="VDE391" s="104"/>
      <c r="VDF391" s="119"/>
      <c r="VDG391" s="104"/>
      <c r="VDH391" s="455"/>
      <c r="VDI391" s="104"/>
      <c r="VDJ391" s="104"/>
      <c r="VDK391" s="109"/>
      <c r="VDL391" s="104"/>
      <c r="VDM391" s="104"/>
      <c r="VDN391" s="119"/>
      <c r="VDO391" s="104"/>
      <c r="VDP391" s="455"/>
      <c r="VDQ391" s="104"/>
      <c r="VDR391" s="104"/>
      <c r="VDS391" s="109"/>
      <c r="VDT391" s="104"/>
      <c r="VDU391" s="104"/>
      <c r="VDV391" s="119"/>
      <c r="VDW391" s="104"/>
      <c r="VDX391" s="455"/>
      <c r="VDY391" s="104"/>
      <c r="VDZ391" s="104"/>
      <c r="VEA391" s="109"/>
      <c r="VEB391" s="104"/>
      <c r="VEC391" s="104"/>
      <c r="VED391" s="119"/>
      <c r="VEE391" s="104"/>
      <c r="VEF391" s="455"/>
      <c r="VEG391" s="104"/>
      <c r="VEH391" s="104"/>
      <c r="VEI391" s="109"/>
      <c r="VEJ391" s="104"/>
      <c r="VEK391" s="104"/>
      <c r="VEL391" s="119"/>
      <c r="VEM391" s="104"/>
      <c r="VEN391" s="455"/>
      <c r="VEO391" s="104"/>
      <c r="VEP391" s="104"/>
      <c r="VEQ391" s="109"/>
      <c r="VER391" s="104"/>
      <c r="VES391" s="104"/>
      <c r="VET391" s="119"/>
      <c r="VEU391" s="104"/>
      <c r="VEV391" s="455"/>
      <c r="VEW391" s="104"/>
      <c r="VEX391" s="104"/>
      <c r="VEY391" s="109"/>
      <c r="VEZ391" s="104"/>
      <c r="VFA391" s="104"/>
      <c r="VFB391" s="119"/>
      <c r="VFC391" s="104"/>
      <c r="VFD391" s="455"/>
      <c r="VFE391" s="104"/>
      <c r="VFF391" s="104"/>
      <c r="VFG391" s="109"/>
      <c r="VFH391" s="104"/>
      <c r="VFI391" s="104"/>
      <c r="VFJ391" s="119"/>
      <c r="VFK391" s="104"/>
      <c r="VFL391" s="455"/>
      <c r="VFM391" s="104"/>
      <c r="VFN391" s="104"/>
      <c r="VFO391" s="109"/>
      <c r="VFP391" s="104"/>
      <c r="VFQ391" s="104"/>
      <c r="VFR391" s="119"/>
      <c r="VFS391" s="104"/>
      <c r="VFT391" s="455"/>
      <c r="VFU391" s="104"/>
      <c r="VFV391" s="104"/>
      <c r="VFW391" s="109"/>
      <c r="VFX391" s="104"/>
      <c r="VFY391" s="104"/>
      <c r="VFZ391" s="119"/>
      <c r="VGA391" s="104"/>
      <c r="VGB391" s="455"/>
      <c r="VGC391" s="104"/>
      <c r="VGD391" s="104"/>
      <c r="VGE391" s="109"/>
      <c r="VGF391" s="104"/>
      <c r="VGG391" s="104"/>
      <c r="VGH391" s="119"/>
      <c r="VGI391" s="104"/>
      <c r="VGJ391" s="455"/>
      <c r="VGK391" s="104"/>
      <c r="VGL391" s="104"/>
      <c r="VGM391" s="109"/>
      <c r="VGN391" s="104"/>
      <c r="VGO391" s="104"/>
      <c r="VGP391" s="119"/>
      <c r="VGQ391" s="104"/>
      <c r="VGR391" s="455"/>
      <c r="VGS391" s="104"/>
      <c r="VGT391" s="104"/>
      <c r="VGU391" s="109"/>
      <c r="VGV391" s="104"/>
      <c r="VGW391" s="104"/>
      <c r="VGX391" s="119"/>
      <c r="VGY391" s="104"/>
      <c r="VGZ391" s="455"/>
      <c r="VHA391" s="104"/>
      <c r="VHB391" s="104"/>
      <c r="VHC391" s="109"/>
      <c r="VHD391" s="104"/>
      <c r="VHE391" s="104"/>
      <c r="VHF391" s="119"/>
      <c r="VHG391" s="104"/>
      <c r="VHH391" s="455"/>
      <c r="VHI391" s="104"/>
      <c r="VHJ391" s="104"/>
      <c r="VHK391" s="109"/>
      <c r="VHL391" s="104"/>
      <c r="VHM391" s="104"/>
      <c r="VHN391" s="119"/>
      <c r="VHO391" s="104"/>
      <c r="VHP391" s="455"/>
      <c r="VHQ391" s="104"/>
      <c r="VHR391" s="104"/>
      <c r="VHS391" s="109"/>
      <c r="VHT391" s="104"/>
      <c r="VHU391" s="104"/>
      <c r="VHV391" s="119"/>
      <c r="VHW391" s="104"/>
      <c r="VHX391" s="455"/>
      <c r="VHY391" s="104"/>
      <c r="VHZ391" s="104"/>
      <c r="VIA391" s="109"/>
      <c r="VIB391" s="104"/>
      <c r="VIC391" s="104"/>
      <c r="VID391" s="119"/>
      <c r="VIE391" s="104"/>
      <c r="VIF391" s="455"/>
      <c r="VIG391" s="104"/>
      <c r="VIH391" s="104"/>
      <c r="VII391" s="109"/>
      <c r="VIJ391" s="104"/>
      <c r="VIK391" s="104"/>
      <c r="VIL391" s="119"/>
      <c r="VIM391" s="104"/>
      <c r="VIN391" s="455"/>
      <c r="VIO391" s="104"/>
      <c r="VIP391" s="104"/>
      <c r="VIQ391" s="109"/>
      <c r="VIR391" s="104"/>
      <c r="VIS391" s="104"/>
      <c r="VIT391" s="119"/>
      <c r="VIU391" s="104"/>
      <c r="VIV391" s="455"/>
      <c r="VIW391" s="104"/>
      <c r="VIX391" s="104"/>
      <c r="VIY391" s="109"/>
      <c r="VIZ391" s="104"/>
      <c r="VJA391" s="104"/>
      <c r="VJB391" s="119"/>
      <c r="VJC391" s="104"/>
      <c r="VJD391" s="455"/>
      <c r="VJE391" s="104"/>
      <c r="VJF391" s="104"/>
      <c r="VJG391" s="109"/>
      <c r="VJH391" s="104"/>
      <c r="VJI391" s="104"/>
      <c r="VJJ391" s="119"/>
      <c r="VJK391" s="104"/>
      <c r="VJL391" s="455"/>
      <c r="VJM391" s="104"/>
      <c r="VJN391" s="104"/>
      <c r="VJO391" s="109"/>
      <c r="VJP391" s="104"/>
      <c r="VJQ391" s="104"/>
      <c r="VJR391" s="119"/>
      <c r="VJS391" s="104"/>
      <c r="VJT391" s="455"/>
      <c r="VJU391" s="104"/>
      <c r="VJV391" s="104"/>
      <c r="VJW391" s="109"/>
      <c r="VJX391" s="104"/>
      <c r="VJY391" s="104"/>
      <c r="VJZ391" s="119"/>
      <c r="VKA391" s="104"/>
      <c r="VKB391" s="455"/>
      <c r="VKC391" s="104"/>
      <c r="VKD391" s="104"/>
      <c r="VKE391" s="109"/>
      <c r="VKF391" s="104"/>
      <c r="VKG391" s="104"/>
      <c r="VKH391" s="119"/>
      <c r="VKI391" s="104"/>
      <c r="VKJ391" s="455"/>
      <c r="VKK391" s="104"/>
      <c r="VKL391" s="104"/>
      <c r="VKM391" s="109"/>
      <c r="VKN391" s="104"/>
      <c r="VKO391" s="104"/>
      <c r="VKP391" s="119"/>
      <c r="VKQ391" s="104"/>
      <c r="VKR391" s="455"/>
      <c r="VKS391" s="104"/>
      <c r="VKT391" s="104"/>
      <c r="VKU391" s="109"/>
      <c r="VKV391" s="104"/>
      <c r="VKW391" s="104"/>
      <c r="VKX391" s="119"/>
      <c r="VKY391" s="104"/>
      <c r="VKZ391" s="455"/>
      <c r="VLA391" s="104"/>
      <c r="VLB391" s="104"/>
      <c r="VLC391" s="109"/>
      <c r="VLD391" s="104"/>
      <c r="VLE391" s="104"/>
      <c r="VLF391" s="119"/>
      <c r="VLG391" s="104"/>
      <c r="VLH391" s="455"/>
      <c r="VLI391" s="104"/>
      <c r="VLJ391" s="104"/>
      <c r="VLK391" s="109"/>
      <c r="VLL391" s="104"/>
      <c r="VLM391" s="104"/>
      <c r="VLN391" s="119"/>
      <c r="VLO391" s="104"/>
      <c r="VLP391" s="455"/>
      <c r="VLQ391" s="104"/>
      <c r="VLR391" s="104"/>
      <c r="VLS391" s="109"/>
      <c r="VLT391" s="104"/>
      <c r="VLU391" s="104"/>
      <c r="VLV391" s="119"/>
      <c r="VLW391" s="104"/>
      <c r="VLX391" s="455"/>
      <c r="VLY391" s="104"/>
      <c r="VLZ391" s="104"/>
      <c r="VMA391" s="109"/>
      <c r="VMB391" s="104"/>
      <c r="VMC391" s="104"/>
      <c r="VMD391" s="119"/>
      <c r="VME391" s="104"/>
      <c r="VMF391" s="455"/>
      <c r="VMG391" s="104"/>
      <c r="VMH391" s="104"/>
      <c r="VMI391" s="109"/>
      <c r="VMJ391" s="104"/>
      <c r="VMK391" s="104"/>
      <c r="VML391" s="119"/>
      <c r="VMM391" s="104"/>
      <c r="VMN391" s="455"/>
      <c r="VMO391" s="104"/>
      <c r="VMP391" s="104"/>
      <c r="VMQ391" s="109"/>
      <c r="VMR391" s="104"/>
      <c r="VMS391" s="104"/>
      <c r="VMT391" s="119"/>
      <c r="VMU391" s="104"/>
      <c r="VMV391" s="455"/>
      <c r="VMW391" s="104"/>
      <c r="VMX391" s="104"/>
      <c r="VMY391" s="109"/>
      <c r="VMZ391" s="104"/>
      <c r="VNA391" s="104"/>
      <c r="VNB391" s="119"/>
      <c r="VNC391" s="104"/>
      <c r="VND391" s="455"/>
      <c r="VNE391" s="104"/>
      <c r="VNF391" s="104"/>
      <c r="VNG391" s="109"/>
      <c r="VNH391" s="104"/>
      <c r="VNI391" s="104"/>
      <c r="VNJ391" s="119"/>
      <c r="VNK391" s="104"/>
      <c r="VNL391" s="455"/>
      <c r="VNM391" s="104"/>
      <c r="VNN391" s="104"/>
      <c r="VNO391" s="109"/>
      <c r="VNP391" s="104"/>
      <c r="VNQ391" s="104"/>
      <c r="VNR391" s="119"/>
      <c r="VNS391" s="104"/>
      <c r="VNT391" s="455"/>
      <c r="VNU391" s="104"/>
      <c r="VNV391" s="104"/>
      <c r="VNW391" s="109"/>
      <c r="VNX391" s="104"/>
      <c r="VNY391" s="104"/>
      <c r="VNZ391" s="119"/>
      <c r="VOA391" s="104"/>
      <c r="VOB391" s="455"/>
      <c r="VOC391" s="104"/>
      <c r="VOD391" s="104"/>
      <c r="VOE391" s="109"/>
      <c r="VOF391" s="104"/>
      <c r="VOG391" s="104"/>
      <c r="VOH391" s="119"/>
      <c r="VOI391" s="104"/>
      <c r="VOJ391" s="455"/>
      <c r="VOK391" s="104"/>
      <c r="VOL391" s="104"/>
      <c r="VOM391" s="109"/>
      <c r="VON391" s="104"/>
      <c r="VOO391" s="104"/>
      <c r="VOP391" s="119"/>
      <c r="VOQ391" s="104"/>
      <c r="VOR391" s="455"/>
      <c r="VOS391" s="104"/>
      <c r="VOT391" s="104"/>
      <c r="VOU391" s="109"/>
      <c r="VOV391" s="104"/>
      <c r="VOW391" s="104"/>
      <c r="VOX391" s="119"/>
      <c r="VOY391" s="104"/>
      <c r="VOZ391" s="455"/>
      <c r="VPA391" s="104"/>
      <c r="VPB391" s="104"/>
      <c r="VPC391" s="109"/>
      <c r="VPD391" s="104"/>
      <c r="VPE391" s="104"/>
      <c r="VPF391" s="119"/>
      <c r="VPG391" s="104"/>
      <c r="VPH391" s="455"/>
      <c r="VPI391" s="104"/>
      <c r="VPJ391" s="104"/>
      <c r="VPK391" s="109"/>
      <c r="VPL391" s="104"/>
      <c r="VPM391" s="104"/>
      <c r="VPN391" s="119"/>
      <c r="VPO391" s="104"/>
      <c r="VPP391" s="455"/>
      <c r="VPQ391" s="104"/>
      <c r="VPR391" s="104"/>
      <c r="VPS391" s="109"/>
      <c r="VPT391" s="104"/>
      <c r="VPU391" s="104"/>
      <c r="VPV391" s="119"/>
      <c r="VPW391" s="104"/>
      <c r="VPX391" s="455"/>
      <c r="VPY391" s="104"/>
      <c r="VPZ391" s="104"/>
      <c r="VQA391" s="109"/>
      <c r="VQB391" s="104"/>
      <c r="VQC391" s="104"/>
      <c r="VQD391" s="119"/>
      <c r="VQE391" s="104"/>
      <c r="VQF391" s="455"/>
      <c r="VQG391" s="104"/>
      <c r="VQH391" s="104"/>
      <c r="VQI391" s="109"/>
      <c r="VQJ391" s="104"/>
      <c r="VQK391" s="104"/>
      <c r="VQL391" s="119"/>
      <c r="VQM391" s="104"/>
      <c r="VQN391" s="455"/>
      <c r="VQO391" s="104"/>
      <c r="VQP391" s="104"/>
      <c r="VQQ391" s="109"/>
      <c r="VQR391" s="104"/>
      <c r="VQS391" s="104"/>
      <c r="VQT391" s="119"/>
      <c r="VQU391" s="104"/>
      <c r="VQV391" s="455"/>
      <c r="VQW391" s="104"/>
      <c r="VQX391" s="104"/>
      <c r="VQY391" s="109"/>
      <c r="VQZ391" s="104"/>
      <c r="VRA391" s="104"/>
      <c r="VRB391" s="119"/>
      <c r="VRC391" s="104"/>
      <c r="VRD391" s="455"/>
      <c r="VRE391" s="104"/>
      <c r="VRF391" s="104"/>
      <c r="VRG391" s="109"/>
      <c r="VRH391" s="104"/>
      <c r="VRI391" s="104"/>
      <c r="VRJ391" s="119"/>
      <c r="VRK391" s="104"/>
      <c r="VRL391" s="455"/>
      <c r="VRM391" s="104"/>
      <c r="VRN391" s="104"/>
      <c r="VRO391" s="109"/>
      <c r="VRP391" s="104"/>
      <c r="VRQ391" s="104"/>
      <c r="VRR391" s="119"/>
      <c r="VRS391" s="104"/>
      <c r="VRT391" s="455"/>
      <c r="VRU391" s="104"/>
      <c r="VRV391" s="104"/>
      <c r="VRW391" s="109"/>
      <c r="VRX391" s="104"/>
      <c r="VRY391" s="104"/>
      <c r="VRZ391" s="119"/>
      <c r="VSA391" s="104"/>
      <c r="VSB391" s="455"/>
      <c r="VSC391" s="104"/>
      <c r="VSD391" s="104"/>
      <c r="VSE391" s="109"/>
      <c r="VSF391" s="104"/>
      <c r="VSG391" s="104"/>
      <c r="VSH391" s="119"/>
      <c r="VSI391" s="104"/>
      <c r="VSJ391" s="455"/>
      <c r="VSK391" s="104"/>
      <c r="VSL391" s="104"/>
      <c r="VSM391" s="109"/>
      <c r="VSN391" s="104"/>
      <c r="VSO391" s="104"/>
      <c r="VSP391" s="119"/>
      <c r="VSQ391" s="104"/>
      <c r="VSR391" s="455"/>
      <c r="VSS391" s="104"/>
      <c r="VST391" s="104"/>
      <c r="VSU391" s="109"/>
      <c r="VSV391" s="104"/>
      <c r="VSW391" s="104"/>
      <c r="VSX391" s="119"/>
      <c r="VSY391" s="104"/>
      <c r="VSZ391" s="455"/>
      <c r="VTA391" s="104"/>
      <c r="VTB391" s="104"/>
      <c r="VTC391" s="109"/>
      <c r="VTD391" s="104"/>
      <c r="VTE391" s="104"/>
      <c r="VTF391" s="119"/>
      <c r="VTG391" s="104"/>
      <c r="VTH391" s="455"/>
      <c r="VTI391" s="104"/>
      <c r="VTJ391" s="104"/>
      <c r="VTK391" s="109"/>
      <c r="VTL391" s="104"/>
      <c r="VTM391" s="104"/>
      <c r="VTN391" s="119"/>
      <c r="VTO391" s="104"/>
      <c r="VTP391" s="455"/>
      <c r="VTQ391" s="104"/>
      <c r="VTR391" s="104"/>
      <c r="VTS391" s="109"/>
      <c r="VTT391" s="104"/>
      <c r="VTU391" s="104"/>
      <c r="VTV391" s="119"/>
      <c r="VTW391" s="104"/>
      <c r="VTX391" s="455"/>
      <c r="VTY391" s="104"/>
      <c r="VTZ391" s="104"/>
      <c r="VUA391" s="109"/>
      <c r="VUB391" s="104"/>
      <c r="VUC391" s="104"/>
      <c r="VUD391" s="119"/>
      <c r="VUE391" s="104"/>
      <c r="VUF391" s="455"/>
      <c r="VUG391" s="104"/>
      <c r="VUH391" s="104"/>
      <c r="VUI391" s="109"/>
      <c r="VUJ391" s="104"/>
      <c r="VUK391" s="104"/>
      <c r="VUL391" s="119"/>
      <c r="VUM391" s="104"/>
      <c r="VUN391" s="455"/>
      <c r="VUO391" s="104"/>
      <c r="VUP391" s="104"/>
      <c r="VUQ391" s="109"/>
      <c r="VUR391" s="104"/>
      <c r="VUS391" s="104"/>
      <c r="VUT391" s="119"/>
      <c r="VUU391" s="104"/>
      <c r="VUV391" s="455"/>
      <c r="VUW391" s="104"/>
      <c r="VUX391" s="104"/>
      <c r="VUY391" s="109"/>
      <c r="VUZ391" s="104"/>
      <c r="VVA391" s="104"/>
      <c r="VVB391" s="119"/>
      <c r="VVC391" s="104"/>
      <c r="VVD391" s="455"/>
      <c r="VVE391" s="104"/>
      <c r="VVF391" s="104"/>
      <c r="VVG391" s="109"/>
      <c r="VVH391" s="104"/>
      <c r="VVI391" s="104"/>
      <c r="VVJ391" s="119"/>
      <c r="VVK391" s="104"/>
      <c r="VVL391" s="455"/>
      <c r="VVM391" s="104"/>
      <c r="VVN391" s="104"/>
      <c r="VVO391" s="109"/>
      <c r="VVP391" s="104"/>
      <c r="VVQ391" s="104"/>
      <c r="VVR391" s="119"/>
      <c r="VVS391" s="104"/>
      <c r="VVT391" s="455"/>
      <c r="VVU391" s="104"/>
      <c r="VVV391" s="104"/>
      <c r="VVW391" s="109"/>
      <c r="VVX391" s="104"/>
      <c r="VVY391" s="104"/>
      <c r="VVZ391" s="119"/>
      <c r="VWA391" s="104"/>
      <c r="VWB391" s="455"/>
      <c r="VWC391" s="104"/>
      <c r="VWD391" s="104"/>
      <c r="VWE391" s="109"/>
      <c r="VWF391" s="104"/>
      <c r="VWG391" s="104"/>
      <c r="VWH391" s="119"/>
      <c r="VWI391" s="104"/>
      <c r="VWJ391" s="455"/>
      <c r="VWK391" s="104"/>
      <c r="VWL391" s="104"/>
      <c r="VWM391" s="109"/>
      <c r="VWN391" s="104"/>
      <c r="VWO391" s="104"/>
      <c r="VWP391" s="119"/>
      <c r="VWQ391" s="104"/>
      <c r="VWR391" s="455"/>
      <c r="VWS391" s="104"/>
      <c r="VWT391" s="104"/>
      <c r="VWU391" s="109"/>
      <c r="VWV391" s="104"/>
      <c r="VWW391" s="104"/>
      <c r="VWX391" s="119"/>
      <c r="VWY391" s="104"/>
      <c r="VWZ391" s="455"/>
      <c r="VXA391" s="104"/>
      <c r="VXB391" s="104"/>
      <c r="VXC391" s="109"/>
      <c r="VXD391" s="104"/>
      <c r="VXE391" s="104"/>
      <c r="VXF391" s="119"/>
      <c r="VXG391" s="104"/>
      <c r="VXH391" s="455"/>
      <c r="VXI391" s="104"/>
      <c r="VXJ391" s="104"/>
      <c r="VXK391" s="109"/>
      <c r="VXL391" s="104"/>
      <c r="VXM391" s="104"/>
      <c r="VXN391" s="119"/>
      <c r="VXO391" s="104"/>
      <c r="VXP391" s="455"/>
      <c r="VXQ391" s="104"/>
      <c r="VXR391" s="104"/>
      <c r="VXS391" s="109"/>
      <c r="VXT391" s="104"/>
      <c r="VXU391" s="104"/>
      <c r="VXV391" s="119"/>
      <c r="VXW391" s="104"/>
      <c r="VXX391" s="455"/>
      <c r="VXY391" s="104"/>
      <c r="VXZ391" s="104"/>
      <c r="VYA391" s="109"/>
      <c r="VYB391" s="104"/>
      <c r="VYC391" s="104"/>
      <c r="VYD391" s="119"/>
      <c r="VYE391" s="104"/>
      <c r="VYF391" s="455"/>
      <c r="VYG391" s="104"/>
      <c r="VYH391" s="104"/>
      <c r="VYI391" s="109"/>
      <c r="VYJ391" s="104"/>
      <c r="VYK391" s="104"/>
      <c r="VYL391" s="119"/>
      <c r="VYM391" s="104"/>
      <c r="VYN391" s="455"/>
      <c r="VYO391" s="104"/>
      <c r="VYP391" s="104"/>
      <c r="VYQ391" s="109"/>
      <c r="VYR391" s="104"/>
      <c r="VYS391" s="104"/>
      <c r="VYT391" s="119"/>
      <c r="VYU391" s="104"/>
      <c r="VYV391" s="455"/>
      <c r="VYW391" s="104"/>
      <c r="VYX391" s="104"/>
      <c r="VYY391" s="109"/>
      <c r="VYZ391" s="104"/>
      <c r="VZA391" s="104"/>
      <c r="VZB391" s="119"/>
      <c r="VZC391" s="104"/>
      <c r="VZD391" s="455"/>
      <c r="VZE391" s="104"/>
      <c r="VZF391" s="104"/>
      <c r="VZG391" s="109"/>
      <c r="VZH391" s="104"/>
      <c r="VZI391" s="104"/>
      <c r="VZJ391" s="119"/>
      <c r="VZK391" s="104"/>
      <c r="VZL391" s="455"/>
      <c r="VZM391" s="104"/>
      <c r="VZN391" s="104"/>
      <c r="VZO391" s="109"/>
      <c r="VZP391" s="104"/>
      <c r="VZQ391" s="104"/>
      <c r="VZR391" s="119"/>
      <c r="VZS391" s="104"/>
      <c r="VZT391" s="455"/>
      <c r="VZU391" s="104"/>
      <c r="VZV391" s="104"/>
      <c r="VZW391" s="109"/>
      <c r="VZX391" s="104"/>
      <c r="VZY391" s="104"/>
      <c r="VZZ391" s="119"/>
      <c r="WAA391" s="104"/>
      <c r="WAB391" s="455"/>
      <c r="WAC391" s="104"/>
      <c r="WAD391" s="104"/>
      <c r="WAE391" s="109"/>
      <c r="WAF391" s="104"/>
      <c r="WAG391" s="104"/>
      <c r="WAH391" s="119"/>
      <c r="WAI391" s="104"/>
      <c r="WAJ391" s="455"/>
      <c r="WAK391" s="104"/>
      <c r="WAL391" s="104"/>
      <c r="WAM391" s="109"/>
      <c r="WAN391" s="104"/>
      <c r="WAO391" s="104"/>
      <c r="WAP391" s="119"/>
      <c r="WAQ391" s="104"/>
      <c r="WAR391" s="455"/>
      <c r="WAS391" s="104"/>
      <c r="WAT391" s="104"/>
      <c r="WAU391" s="109"/>
      <c r="WAV391" s="104"/>
      <c r="WAW391" s="104"/>
      <c r="WAX391" s="119"/>
      <c r="WAY391" s="104"/>
      <c r="WAZ391" s="455"/>
      <c r="WBA391" s="104"/>
      <c r="WBB391" s="104"/>
      <c r="WBC391" s="109"/>
      <c r="WBD391" s="104"/>
      <c r="WBE391" s="104"/>
      <c r="WBF391" s="119"/>
      <c r="WBG391" s="104"/>
      <c r="WBH391" s="455"/>
      <c r="WBI391" s="104"/>
      <c r="WBJ391" s="104"/>
      <c r="WBK391" s="109"/>
      <c r="WBL391" s="104"/>
      <c r="WBM391" s="104"/>
      <c r="WBN391" s="119"/>
      <c r="WBO391" s="104"/>
      <c r="WBP391" s="455"/>
      <c r="WBQ391" s="104"/>
      <c r="WBR391" s="104"/>
      <c r="WBS391" s="109"/>
      <c r="WBT391" s="104"/>
      <c r="WBU391" s="104"/>
      <c r="WBV391" s="119"/>
      <c r="WBW391" s="104"/>
      <c r="WBX391" s="455"/>
      <c r="WBY391" s="104"/>
      <c r="WBZ391" s="104"/>
      <c r="WCA391" s="109"/>
      <c r="WCB391" s="104"/>
      <c r="WCC391" s="104"/>
      <c r="WCD391" s="119"/>
      <c r="WCE391" s="104"/>
      <c r="WCF391" s="455"/>
      <c r="WCG391" s="104"/>
      <c r="WCH391" s="104"/>
      <c r="WCI391" s="109"/>
      <c r="WCJ391" s="104"/>
      <c r="WCK391" s="104"/>
      <c r="WCL391" s="119"/>
      <c r="WCM391" s="104"/>
      <c r="WCN391" s="455"/>
      <c r="WCO391" s="104"/>
      <c r="WCP391" s="104"/>
      <c r="WCQ391" s="109"/>
      <c r="WCR391" s="104"/>
      <c r="WCS391" s="104"/>
      <c r="WCT391" s="119"/>
      <c r="WCU391" s="104"/>
      <c r="WCV391" s="455"/>
      <c r="WCW391" s="104"/>
      <c r="WCX391" s="104"/>
      <c r="WCY391" s="109"/>
      <c r="WCZ391" s="104"/>
      <c r="WDA391" s="104"/>
      <c r="WDB391" s="119"/>
      <c r="WDC391" s="104"/>
      <c r="WDD391" s="455"/>
      <c r="WDE391" s="104"/>
      <c r="WDF391" s="104"/>
      <c r="WDG391" s="109"/>
      <c r="WDH391" s="104"/>
      <c r="WDI391" s="104"/>
      <c r="WDJ391" s="119"/>
      <c r="WDK391" s="104"/>
      <c r="WDL391" s="455"/>
      <c r="WDM391" s="104"/>
      <c r="WDN391" s="104"/>
      <c r="WDO391" s="109"/>
      <c r="WDP391" s="104"/>
      <c r="WDQ391" s="104"/>
      <c r="WDR391" s="119"/>
      <c r="WDS391" s="104"/>
      <c r="WDT391" s="455"/>
      <c r="WDU391" s="104"/>
      <c r="WDV391" s="104"/>
      <c r="WDW391" s="109"/>
      <c r="WDX391" s="104"/>
      <c r="WDY391" s="104"/>
      <c r="WDZ391" s="119"/>
      <c r="WEA391" s="104"/>
      <c r="WEB391" s="455"/>
      <c r="WEC391" s="104"/>
      <c r="WED391" s="104"/>
      <c r="WEE391" s="109"/>
      <c r="WEF391" s="104"/>
      <c r="WEG391" s="104"/>
      <c r="WEH391" s="119"/>
      <c r="WEI391" s="104"/>
      <c r="WEJ391" s="455"/>
      <c r="WEK391" s="104"/>
      <c r="WEL391" s="104"/>
      <c r="WEM391" s="109"/>
      <c r="WEN391" s="104"/>
      <c r="WEO391" s="104"/>
      <c r="WEP391" s="119"/>
      <c r="WEQ391" s="104"/>
      <c r="WER391" s="455"/>
      <c r="WES391" s="104"/>
      <c r="WET391" s="104"/>
      <c r="WEU391" s="109"/>
      <c r="WEV391" s="104"/>
      <c r="WEW391" s="104"/>
      <c r="WEX391" s="119"/>
      <c r="WEY391" s="104"/>
      <c r="WEZ391" s="455"/>
      <c r="WFA391" s="104"/>
      <c r="WFB391" s="104"/>
      <c r="WFC391" s="109"/>
      <c r="WFD391" s="104"/>
      <c r="WFE391" s="104"/>
      <c r="WFF391" s="119"/>
      <c r="WFG391" s="104"/>
      <c r="WFH391" s="455"/>
      <c r="WFI391" s="104"/>
      <c r="WFJ391" s="104"/>
      <c r="WFK391" s="109"/>
      <c r="WFL391" s="104"/>
      <c r="WFM391" s="104"/>
      <c r="WFN391" s="119"/>
      <c r="WFO391" s="104"/>
      <c r="WFP391" s="455"/>
      <c r="WFQ391" s="104"/>
      <c r="WFR391" s="104"/>
      <c r="WFS391" s="109"/>
      <c r="WFT391" s="104"/>
      <c r="WFU391" s="104"/>
      <c r="WFV391" s="119"/>
      <c r="WFW391" s="104"/>
      <c r="WFX391" s="455"/>
      <c r="WFY391" s="104"/>
      <c r="WFZ391" s="104"/>
      <c r="WGA391" s="109"/>
      <c r="WGB391" s="104"/>
      <c r="WGC391" s="104"/>
      <c r="WGD391" s="119"/>
      <c r="WGE391" s="104"/>
      <c r="WGF391" s="455"/>
      <c r="WGG391" s="104"/>
      <c r="WGH391" s="104"/>
      <c r="WGI391" s="109"/>
      <c r="WGJ391" s="104"/>
      <c r="WGK391" s="104"/>
      <c r="WGL391" s="119"/>
      <c r="WGM391" s="104"/>
      <c r="WGN391" s="455"/>
      <c r="WGO391" s="104"/>
      <c r="WGP391" s="104"/>
      <c r="WGQ391" s="109"/>
      <c r="WGR391" s="104"/>
      <c r="WGS391" s="104"/>
      <c r="WGT391" s="119"/>
      <c r="WGU391" s="104"/>
      <c r="WGV391" s="455"/>
      <c r="WGW391" s="104"/>
      <c r="WGX391" s="104"/>
      <c r="WGY391" s="109"/>
      <c r="WGZ391" s="104"/>
      <c r="WHA391" s="104"/>
      <c r="WHB391" s="119"/>
      <c r="WHC391" s="104"/>
      <c r="WHD391" s="455"/>
      <c r="WHE391" s="104"/>
      <c r="WHF391" s="104"/>
      <c r="WHG391" s="109"/>
      <c r="WHH391" s="104"/>
      <c r="WHI391" s="104"/>
      <c r="WHJ391" s="119"/>
      <c r="WHK391" s="104"/>
      <c r="WHL391" s="455"/>
      <c r="WHM391" s="104"/>
      <c r="WHN391" s="104"/>
      <c r="WHO391" s="109"/>
      <c r="WHP391" s="104"/>
      <c r="WHQ391" s="104"/>
      <c r="WHR391" s="119"/>
      <c r="WHS391" s="104"/>
      <c r="WHT391" s="455"/>
      <c r="WHU391" s="104"/>
      <c r="WHV391" s="104"/>
      <c r="WHW391" s="109"/>
      <c r="WHX391" s="104"/>
      <c r="WHY391" s="104"/>
      <c r="WHZ391" s="119"/>
      <c r="WIA391" s="104"/>
      <c r="WIB391" s="455"/>
      <c r="WIC391" s="104"/>
      <c r="WID391" s="104"/>
      <c r="WIE391" s="109"/>
      <c r="WIF391" s="104"/>
      <c r="WIG391" s="104"/>
      <c r="WIH391" s="119"/>
      <c r="WII391" s="104"/>
      <c r="WIJ391" s="455"/>
      <c r="WIK391" s="104"/>
      <c r="WIL391" s="104"/>
      <c r="WIM391" s="109"/>
      <c r="WIN391" s="104"/>
      <c r="WIO391" s="104"/>
      <c r="WIP391" s="119"/>
      <c r="WIQ391" s="104"/>
      <c r="WIR391" s="455"/>
      <c r="WIS391" s="104"/>
      <c r="WIT391" s="104"/>
      <c r="WIU391" s="109"/>
      <c r="WIV391" s="104"/>
      <c r="WIW391" s="104"/>
      <c r="WIX391" s="119"/>
      <c r="WIY391" s="104"/>
      <c r="WIZ391" s="455"/>
      <c r="WJA391" s="104"/>
      <c r="WJB391" s="104"/>
      <c r="WJC391" s="109"/>
      <c r="WJD391" s="104"/>
      <c r="WJE391" s="104"/>
      <c r="WJF391" s="119"/>
      <c r="WJG391" s="104"/>
      <c r="WJH391" s="455"/>
      <c r="WJI391" s="104"/>
      <c r="WJJ391" s="104"/>
      <c r="WJK391" s="109"/>
      <c r="WJL391" s="104"/>
      <c r="WJM391" s="104"/>
      <c r="WJN391" s="119"/>
      <c r="WJO391" s="104"/>
      <c r="WJP391" s="455"/>
      <c r="WJQ391" s="104"/>
      <c r="WJR391" s="104"/>
      <c r="WJS391" s="109"/>
      <c r="WJT391" s="104"/>
      <c r="WJU391" s="104"/>
      <c r="WJV391" s="119"/>
      <c r="WJW391" s="104"/>
      <c r="WJX391" s="455"/>
      <c r="WJY391" s="104"/>
      <c r="WJZ391" s="104"/>
      <c r="WKA391" s="109"/>
      <c r="WKB391" s="104"/>
      <c r="WKC391" s="104"/>
      <c r="WKD391" s="119"/>
      <c r="WKE391" s="104"/>
      <c r="WKF391" s="455"/>
      <c r="WKG391" s="104"/>
      <c r="WKH391" s="104"/>
      <c r="WKI391" s="109"/>
      <c r="WKJ391" s="104"/>
      <c r="WKK391" s="104"/>
      <c r="WKL391" s="119"/>
      <c r="WKM391" s="104"/>
      <c r="WKN391" s="455"/>
      <c r="WKO391" s="104"/>
      <c r="WKP391" s="104"/>
      <c r="WKQ391" s="109"/>
      <c r="WKR391" s="104"/>
      <c r="WKS391" s="104"/>
      <c r="WKT391" s="119"/>
      <c r="WKU391" s="104"/>
      <c r="WKV391" s="455"/>
      <c r="WKW391" s="104"/>
      <c r="WKX391" s="104"/>
      <c r="WKY391" s="109"/>
      <c r="WKZ391" s="104"/>
      <c r="WLA391" s="104"/>
      <c r="WLB391" s="119"/>
      <c r="WLC391" s="104"/>
      <c r="WLD391" s="455"/>
      <c r="WLE391" s="104"/>
      <c r="WLF391" s="104"/>
      <c r="WLG391" s="109"/>
      <c r="WLH391" s="104"/>
      <c r="WLI391" s="104"/>
      <c r="WLJ391" s="119"/>
      <c r="WLK391" s="104"/>
      <c r="WLL391" s="455"/>
      <c r="WLM391" s="104"/>
      <c r="WLN391" s="104"/>
      <c r="WLO391" s="109"/>
      <c r="WLP391" s="104"/>
      <c r="WLQ391" s="104"/>
      <c r="WLR391" s="119"/>
      <c r="WLS391" s="104"/>
      <c r="WLT391" s="455"/>
      <c r="WLU391" s="104"/>
      <c r="WLV391" s="104"/>
      <c r="WLW391" s="109"/>
      <c r="WLX391" s="104"/>
      <c r="WLY391" s="104"/>
      <c r="WLZ391" s="119"/>
      <c r="WMA391" s="104"/>
      <c r="WMB391" s="455"/>
      <c r="WMC391" s="104"/>
      <c r="WMD391" s="104"/>
      <c r="WME391" s="109"/>
      <c r="WMF391" s="104"/>
      <c r="WMG391" s="104"/>
      <c r="WMH391" s="119"/>
      <c r="WMI391" s="104"/>
      <c r="WMJ391" s="455"/>
      <c r="WMK391" s="104"/>
      <c r="WML391" s="104"/>
      <c r="WMM391" s="109"/>
      <c r="WMN391" s="104"/>
      <c r="WMO391" s="104"/>
      <c r="WMP391" s="119"/>
      <c r="WMQ391" s="104"/>
      <c r="WMR391" s="455"/>
      <c r="WMS391" s="104"/>
      <c r="WMT391" s="104"/>
      <c r="WMU391" s="109"/>
      <c r="WMV391" s="104"/>
      <c r="WMW391" s="104"/>
      <c r="WMX391" s="119"/>
      <c r="WMY391" s="104"/>
      <c r="WMZ391" s="455"/>
      <c r="WNA391" s="104"/>
      <c r="WNB391" s="104"/>
      <c r="WNC391" s="109"/>
      <c r="WND391" s="104"/>
      <c r="WNE391" s="104"/>
      <c r="WNF391" s="119"/>
      <c r="WNG391" s="104"/>
      <c r="WNH391" s="455"/>
      <c r="WNI391" s="104"/>
      <c r="WNJ391" s="104"/>
      <c r="WNK391" s="109"/>
      <c r="WNL391" s="104"/>
      <c r="WNM391" s="104"/>
      <c r="WNN391" s="119"/>
      <c r="WNO391" s="104"/>
      <c r="WNP391" s="455"/>
      <c r="WNQ391" s="104"/>
      <c r="WNR391" s="104"/>
      <c r="WNS391" s="109"/>
      <c r="WNT391" s="104"/>
      <c r="WNU391" s="104"/>
      <c r="WNV391" s="119"/>
      <c r="WNW391" s="104"/>
      <c r="WNX391" s="455"/>
      <c r="WNY391" s="104"/>
      <c r="WNZ391" s="104"/>
      <c r="WOA391" s="109"/>
      <c r="WOB391" s="104"/>
      <c r="WOC391" s="104"/>
      <c r="WOD391" s="119"/>
      <c r="WOE391" s="104"/>
      <c r="WOF391" s="455"/>
      <c r="WOG391" s="104"/>
      <c r="WOH391" s="104"/>
      <c r="WOI391" s="109"/>
      <c r="WOJ391" s="104"/>
      <c r="WOK391" s="104"/>
      <c r="WOL391" s="119"/>
      <c r="WOM391" s="104"/>
      <c r="WON391" s="455"/>
      <c r="WOO391" s="104"/>
      <c r="WOP391" s="104"/>
      <c r="WOQ391" s="109"/>
      <c r="WOR391" s="104"/>
      <c r="WOS391" s="104"/>
      <c r="WOT391" s="119"/>
      <c r="WOU391" s="104"/>
      <c r="WOV391" s="455"/>
      <c r="WOW391" s="104"/>
      <c r="WOX391" s="104"/>
      <c r="WOY391" s="109"/>
      <c r="WOZ391" s="104"/>
      <c r="WPA391" s="104"/>
      <c r="WPB391" s="119"/>
      <c r="WPC391" s="104"/>
      <c r="WPD391" s="455"/>
      <c r="WPE391" s="104"/>
      <c r="WPF391" s="104"/>
      <c r="WPG391" s="109"/>
      <c r="WPH391" s="104"/>
      <c r="WPI391" s="104"/>
      <c r="WPJ391" s="119"/>
      <c r="WPK391" s="104"/>
      <c r="WPL391" s="455"/>
      <c r="WPM391" s="104"/>
      <c r="WPN391" s="104"/>
      <c r="WPO391" s="109"/>
      <c r="WPP391" s="104"/>
      <c r="WPQ391" s="104"/>
      <c r="WPR391" s="119"/>
      <c r="WPS391" s="104"/>
      <c r="WPT391" s="455"/>
      <c r="WPU391" s="104"/>
      <c r="WPV391" s="104"/>
      <c r="WPW391" s="109"/>
      <c r="WPX391" s="104"/>
      <c r="WPY391" s="104"/>
      <c r="WPZ391" s="119"/>
      <c r="WQA391" s="104"/>
      <c r="WQB391" s="455"/>
      <c r="WQC391" s="104"/>
      <c r="WQD391" s="104"/>
      <c r="WQE391" s="109"/>
      <c r="WQF391" s="104"/>
      <c r="WQG391" s="104"/>
      <c r="WQH391" s="119"/>
      <c r="WQI391" s="104"/>
      <c r="WQJ391" s="455"/>
      <c r="WQK391" s="104"/>
      <c r="WQL391" s="104"/>
      <c r="WQM391" s="109"/>
      <c r="WQN391" s="104"/>
      <c r="WQO391" s="104"/>
      <c r="WQP391" s="119"/>
      <c r="WQQ391" s="104"/>
      <c r="WQR391" s="455"/>
      <c r="WQS391" s="104"/>
      <c r="WQT391" s="104"/>
      <c r="WQU391" s="109"/>
      <c r="WQV391" s="104"/>
      <c r="WQW391" s="104"/>
      <c r="WQX391" s="119"/>
      <c r="WQY391" s="104"/>
      <c r="WQZ391" s="455"/>
      <c r="WRA391" s="104"/>
      <c r="WRB391" s="104"/>
      <c r="WRC391" s="109"/>
      <c r="WRD391" s="104"/>
      <c r="WRE391" s="104"/>
      <c r="WRF391" s="119"/>
      <c r="WRG391" s="104"/>
      <c r="WRH391" s="455"/>
      <c r="WRI391" s="104"/>
      <c r="WRJ391" s="104"/>
      <c r="WRK391" s="109"/>
      <c r="WRL391" s="104"/>
      <c r="WRM391" s="104"/>
      <c r="WRN391" s="119"/>
      <c r="WRO391" s="104"/>
      <c r="WRP391" s="455"/>
      <c r="WRQ391" s="104"/>
      <c r="WRR391" s="104"/>
      <c r="WRS391" s="109"/>
      <c r="WRT391" s="104"/>
      <c r="WRU391" s="104"/>
      <c r="WRV391" s="119"/>
      <c r="WRW391" s="104"/>
      <c r="WRX391" s="455"/>
      <c r="WRY391" s="104"/>
      <c r="WRZ391" s="104"/>
      <c r="WSA391" s="109"/>
      <c r="WSB391" s="104"/>
      <c r="WSC391" s="104"/>
      <c r="WSD391" s="119"/>
      <c r="WSE391" s="104"/>
      <c r="WSF391" s="455"/>
      <c r="WSG391" s="104"/>
      <c r="WSH391" s="104"/>
      <c r="WSI391" s="109"/>
      <c r="WSJ391" s="104"/>
      <c r="WSK391" s="104"/>
      <c r="WSL391" s="119"/>
      <c r="WSM391" s="104"/>
      <c r="WSN391" s="455"/>
      <c r="WSO391" s="104"/>
      <c r="WSP391" s="104"/>
      <c r="WSQ391" s="109"/>
      <c r="WSR391" s="104"/>
      <c r="WSS391" s="104"/>
      <c r="WST391" s="119"/>
      <c r="WSU391" s="104"/>
      <c r="WSV391" s="455"/>
      <c r="WSW391" s="104"/>
      <c r="WSX391" s="104"/>
      <c r="WSY391" s="109"/>
      <c r="WSZ391" s="104"/>
      <c r="WTA391" s="104"/>
      <c r="WTB391" s="119"/>
      <c r="WTC391" s="104"/>
      <c r="WTD391" s="455"/>
      <c r="WTE391" s="104"/>
      <c r="WTF391" s="104"/>
      <c r="WTG391" s="109"/>
      <c r="WTH391" s="104"/>
      <c r="WTI391" s="104"/>
      <c r="WTJ391" s="119"/>
      <c r="WTK391" s="104"/>
      <c r="WTL391" s="455"/>
      <c r="WTM391" s="104"/>
      <c r="WTN391" s="104"/>
      <c r="WTO391" s="109"/>
      <c r="WTP391" s="104"/>
      <c r="WTQ391" s="104"/>
      <c r="WTR391" s="119"/>
      <c r="WTS391" s="104"/>
      <c r="WTT391" s="455"/>
      <c r="WTU391" s="104"/>
      <c r="WTV391" s="104"/>
      <c r="WTW391" s="109"/>
      <c r="WTX391" s="104"/>
      <c r="WTY391" s="104"/>
      <c r="WTZ391" s="119"/>
      <c r="WUA391" s="104"/>
      <c r="WUB391" s="455"/>
      <c r="WUC391" s="104"/>
      <c r="WUD391" s="104"/>
      <c r="WUE391" s="109"/>
      <c r="WUF391" s="104"/>
      <c r="WUG391" s="104"/>
      <c r="WUH391" s="119"/>
      <c r="WUI391" s="104"/>
      <c r="WUJ391" s="455"/>
      <c r="WUK391" s="104"/>
      <c r="WUL391" s="104"/>
      <c r="WUM391" s="109"/>
      <c r="WUN391" s="104"/>
      <c r="WUO391" s="104"/>
      <c r="WUP391" s="119"/>
      <c r="WUQ391" s="104"/>
      <c r="WUR391" s="455"/>
      <c r="WUS391" s="104"/>
      <c r="WUT391" s="104"/>
      <c r="WUU391" s="109"/>
      <c r="WUV391" s="104"/>
      <c r="WUW391" s="104"/>
      <c r="WUX391" s="119"/>
      <c r="WUY391" s="104"/>
      <c r="WUZ391" s="455"/>
      <c r="WVA391" s="104"/>
      <c r="WVB391" s="104"/>
      <c r="WVC391" s="109"/>
      <c r="WVD391" s="104"/>
      <c r="WVE391" s="104"/>
      <c r="WVF391" s="119"/>
      <c r="WVG391" s="104"/>
      <c r="WVH391" s="455"/>
      <c r="WVI391" s="104"/>
      <c r="WVJ391" s="104"/>
      <c r="WVK391" s="109"/>
      <c r="WVL391" s="104"/>
      <c r="WVM391" s="104"/>
      <c r="WVN391" s="119"/>
      <c r="WVO391" s="104"/>
      <c r="WVP391" s="455"/>
      <c r="WVQ391" s="104"/>
      <c r="WVR391" s="104"/>
      <c r="WVS391" s="109"/>
      <c r="WVT391" s="104"/>
      <c r="WVU391" s="104"/>
      <c r="WVV391" s="119"/>
      <c r="WVW391" s="104"/>
      <c r="WVX391" s="455"/>
      <c r="WVY391" s="104"/>
      <c r="WVZ391" s="104"/>
      <c r="WWA391" s="109"/>
      <c r="WWB391" s="104"/>
      <c r="WWC391" s="104"/>
      <c r="WWD391" s="119"/>
      <c r="WWE391" s="104"/>
      <c r="WWF391" s="455"/>
      <c r="WWG391" s="104"/>
      <c r="WWH391" s="104"/>
      <c r="WWI391" s="109"/>
      <c r="WWJ391" s="104"/>
      <c r="WWK391" s="104"/>
      <c r="WWL391" s="119"/>
      <c r="WWM391" s="104"/>
      <c r="WWN391" s="455"/>
      <c r="WWO391" s="104"/>
      <c r="WWP391" s="104"/>
      <c r="WWQ391" s="109"/>
      <c r="WWR391" s="104"/>
      <c r="WWS391" s="104"/>
      <c r="WWT391" s="119"/>
      <c r="WWU391" s="104"/>
      <c r="WWV391" s="455"/>
      <c r="WWW391" s="104"/>
      <c r="WWX391" s="104"/>
      <c r="WWY391" s="109"/>
      <c r="WWZ391" s="104"/>
      <c r="WXA391" s="104"/>
      <c r="WXB391" s="119"/>
      <c r="WXC391" s="104"/>
      <c r="WXD391" s="455"/>
      <c r="WXE391" s="104"/>
      <c r="WXF391" s="104"/>
      <c r="WXG391" s="109"/>
      <c r="WXH391" s="104"/>
      <c r="WXI391" s="104"/>
      <c r="WXJ391" s="119"/>
      <c r="WXK391" s="104"/>
      <c r="WXL391" s="455"/>
      <c r="WXM391" s="104"/>
      <c r="WXN391" s="104"/>
      <c r="WXO391" s="109"/>
      <c r="WXP391" s="104"/>
      <c r="WXQ391" s="104"/>
      <c r="WXR391" s="119"/>
      <c r="WXS391" s="104"/>
      <c r="WXT391" s="455"/>
      <c r="WXU391" s="104"/>
      <c r="WXV391" s="104"/>
      <c r="WXW391" s="109"/>
      <c r="WXX391" s="104"/>
      <c r="WXY391" s="104"/>
      <c r="WXZ391" s="119"/>
      <c r="WYA391" s="104"/>
      <c r="WYB391" s="455"/>
      <c r="WYC391" s="104"/>
      <c r="WYD391" s="104"/>
      <c r="WYE391" s="109"/>
      <c r="WYF391" s="104"/>
      <c r="WYG391" s="104"/>
      <c r="WYH391" s="119"/>
      <c r="WYI391" s="104"/>
      <c r="WYJ391" s="455"/>
      <c r="WYK391" s="104"/>
      <c r="WYL391" s="104"/>
      <c r="WYM391" s="109"/>
      <c r="WYN391" s="104"/>
      <c r="WYO391" s="104"/>
      <c r="WYP391" s="119"/>
      <c r="WYQ391" s="104"/>
      <c r="WYR391" s="455"/>
      <c r="WYS391" s="104"/>
      <c r="WYT391" s="104"/>
      <c r="WYU391" s="109"/>
      <c r="WYV391" s="104"/>
      <c r="WYW391" s="104"/>
      <c r="WYX391" s="119"/>
      <c r="WYY391" s="104"/>
      <c r="WYZ391" s="455"/>
      <c r="WZA391" s="104"/>
      <c r="WZB391" s="104"/>
      <c r="WZC391" s="109"/>
      <c r="WZD391" s="104"/>
      <c r="WZE391" s="104"/>
      <c r="WZF391" s="119"/>
      <c r="WZG391" s="104"/>
      <c r="WZH391" s="455"/>
      <c r="WZI391" s="104"/>
      <c r="WZJ391" s="104"/>
      <c r="WZK391" s="109"/>
      <c r="WZL391" s="104"/>
      <c r="WZM391" s="104"/>
      <c r="WZN391" s="119"/>
      <c r="WZO391" s="104"/>
      <c r="WZP391" s="455"/>
      <c r="WZQ391" s="104"/>
      <c r="WZR391" s="104"/>
      <c r="WZS391" s="109"/>
      <c r="WZT391" s="104"/>
      <c r="WZU391" s="104"/>
      <c r="WZV391" s="119"/>
      <c r="WZW391" s="104"/>
      <c r="WZX391" s="455"/>
      <c r="WZY391" s="104"/>
      <c r="WZZ391" s="104"/>
      <c r="XAA391" s="109"/>
      <c r="XAB391" s="104"/>
      <c r="XAC391" s="104"/>
      <c r="XAD391" s="119"/>
      <c r="XAE391" s="104"/>
      <c r="XAF391" s="455"/>
      <c r="XAG391" s="104"/>
      <c r="XAH391" s="104"/>
      <c r="XAI391" s="109"/>
      <c r="XAJ391" s="104"/>
      <c r="XAK391" s="104"/>
      <c r="XAL391" s="119"/>
      <c r="XAM391" s="104"/>
      <c r="XAN391" s="455"/>
      <c r="XAO391" s="104"/>
      <c r="XAP391" s="104"/>
      <c r="XAQ391" s="109"/>
      <c r="XAR391" s="104"/>
      <c r="XAS391" s="104"/>
      <c r="XAT391" s="119"/>
      <c r="XAU391" s="104"/>
      <c r="XAV391" s="455"/>
      <c r="XAW391" s="104"/>
      <c r="XAX391" s="104"/>
      <c r="XAY391" s="109"/>
      <c r="XAZ391" s="104"/>
      <c r="XBA391" s="104"/>
      <c r="XBB391" s="119"/>
      <c r="XBC391" s="104"/>
      <c r="XBD391" s="455"/>
      <c r="XBE391" s="104"/>
      <c r="XBF391" s="104"/>
      <c r="XBG391" s="109"/>
      <c r="XBH391" s="104"/>
      <c r="XBI391" s="104"/>
      <c r="XBJ391" s="119"/>
      <c r="XBK391" s="104"/>
      <c r="XBL391" s="455"/>
      <c r="XBM391" s="104"/>
      <c r="XBN391" s="104"/>
      <c r="XBO391" s="109"/>
      <c r="XBP391" s="104"/>
      <c r="XBQ391" s="104"/>
      <c r="XBR391" s="119"/>
      <c r="XBS391" s="104"/>
      <c r="XBT391" s="455"/>
      <c r="XBU391" s="104"/>
      <c r="XBV391" s="104"/>
      <c r="XBW391" s="109"/>
      <c r="XBX391" s="104"/>
      <c r="XBY391" s="104"/>
      <c r="XBZ391" s="119"/>
      <c r="XCA391" s="104"/>
      <c r="XCB391" s="455"/>
      <c r="XCC391" s="104"/>
      <c r="XCD391" s="104"/>
      <c r="XCE391" s="109"/>
      <c r="XCF391" s="104"/>
      <c r="XCG391" s="104"/>
      <c r="XCH391" s="119"/>
      <c r="XCI391" s="104"/>
      <c r="XCJ391" s="455"/>
      <c r="XCK391" s="104"/>
      <c r="XCL391" s="104"/>
      <c r="XCM391" s="109"/>
      <c r="XCN391" s="104"/>
      <c r="XCO391" s="104"/>
      <c r="XCP391" s="119"/>
      <c r="XCQ391" s="104"/>
      <c r="XCR391" s="455"/>
      <c r="XCS391" s="104"/>
      <c r="XCT391" s="104"/>
      <c r="XCU391" s="109"/>
      <c r="XCV391" s="104"/>
      <c r="XCW391" s="104"/>
      <c r="XCX391" s="119"/>
      <c r="XCY391" s="104"/>
      <c r="XCZ391" s="455"/>
      <c r="XDA391" s="104"/>
      <c r="XDB391" s="104"/>
      <c r="XDC391" s="109"/>
      <c r="XDD391" s="104"/>
      <c r="XDE391" s="104"/>
      <c r="XDF391" s="119"/>
      <c r="XDG391" s="104"/>
      <c r="XDH391" s="455"/>
      <c r="XDI391" s="104"/>
      <c r="XDJ391" s="104"/>
      <c r="XDK391" s="109"/>
      <c r="XDL391" s="104"/>
      <c r="XDM391" s="104"/>
      <c r="XDN391" s="119"/>
      <c r="XDO391" s="104"/>
      <c r="XDP391" s="455"/>
      <c r="XDQ391" s="104"/>
      <c r="XDR391" s="104"/>
      <c r="XDS391" s="109"/>
      <c r="XDT391" s="104"/>
      <c r="XDU391" s="104"/>
      <c r="XDV391" s="119"/>
      <c r="XDW391" s="104"/>
      <c r="XDX391" s="455"/>
      <c r="XDY391" s="104"/>
      <c r="XDZ391" s="104"/>
      <c r="XEA391" s="109"/>
      <c r="XEB391" s="104"/>
      <c r="XEC391" s="104"/>
      <c r="XED391" s="119"/>
      <c r="XEE391" s="104"/>
      <c r="XEF391" s="455"/>
      <c r="XEG391" s="104"/>
      <c r="XEH391" s="104"/>
      <c r="XEI391" s="109"/>
      <c r="XEJ391" s="104"/>
      <c r="XEK391" s="104"/>
      <c r="XEL391" s="119"/>
      <c r="XEM391" s="104"/>
      <c r="XEN391" s="455"/>
      <c r="XEO391" s="104"/>
      <c r="XEP391" s="104"/>
      <c r="XEQ391" s="109"/>
      <c r="XER391" s="104"/>
      <c r="XES391" s="104"/>
      <c r="XET391" s="119"/>
      <c r="XEU391" s="104"/>
      <c r="XEV391" s="455"/>
      <c r="XEW391" s="104"/>
      <c r="XEX391" s="104"/>
      <c r="XEY391" s="109"/>
      <c r="XEZ391" s="104"/>
      <c r="XFA391" s="104"/>
      <c r="XFB391" s="119"/>
      <c r="XFC391" s="104"/>
      <c r="XFD391" s="455"/>
    </row>
    <row r="392" spans="1:16384" s="352" customFormat="1">
      <c r="A392" s="117" t="s">
        <v>140</v>
      </c>
      <c r="B392" s="117" t="str">
        <v>DIFFERENTIAL EQUATIONS</v>
      </c>
      <c r="C392" s="137" t="str">
        <v>Asamoah Joshua Kiddy Kwasi</v>
      </c>
      <c r="D392" s="117" t="s">
        <v>104</v>
      </c>
      <c r="E392" s="117">
        <v>80</v>
      </c>
      <c r="F392" s="445"/>
      <c r="G392" s="117">
        <v>90</v>
      </c>
      <c r="H392" s="353"/>
      <c r="I392" s="104" t="str">
        <f>_xlfn.CONCAT(A392,",",D392)</f>
        <v>MATH 251,ED2-MSE</v>
      </c>
      <c r="J392" s="104"/>
      <c r="K392" s="109"/>
      <c r="L392" s="104"/>
      <c r="M392" s="104"/>
      <c r="N392" s="119"/>
      <c r="O392" s="104"/>
      <c r="P392" s="455"/>
      <c r="Q392" s="104"/>
      <c r="R392" s="104"/>
      <c r="S392" s="109"/>
      <c r="T392" s="104"/>
      <c r="U392" s="104"/>
      <c r="V392" s="119"/>
      <c r="W392" s="104"/>
      <c r="X392" s="455"/>
      <c r="Y392" s="104"/>
      <c r="Z392" s="104"/>
      <c r="AA392" s="109"/>
      <c r="AB392" s="104"/>
      <c r="AC392" s="104"/>
      <c r="AD392" s="119"/>
      <c r="AE392" s="104"/>
      <c r="AF392" s="455"/>
      <c r="AG392" s="104"/>
      <c r="AH392" s="104"/>
      <c r="AI392" s="109"/>
      <c r="AJ392" s="104"/>
      <c r="AK392" s="104"/>
      <c r="AL392" s="119"/>
      <c r="AM392" s="104"/>
      <c r="AN392" s="455"/>
      <c r="AO392" s="104"/>
      <c r="AP392" s="104"/>
      <c r="AQ392" s="109"/>
      <c r="AR392" s="104"/>
      <c r="AS392" s="104"/>
      <c r="AT392" s="119"/>
      <c r="AU392" s="104"/>
      <c r="AV392" s="455"/>
      <c r="AW392" s="104"/>
      <c r="AX392" s="104"/>
      <c r="AY392" s="109"/>
      <c r="AZ392" s="104"/>
      <c r="BA392" s="104"/>
      <c r="BB392" s="119"/>
      <c r="BC392" s="104"/>
      <c r="BD392" s="455"/>
      <c r="BE392" s="104"/>
      <c r="BF392" s="104"/>
      <c r="BG392" s="109"/>
      <c r="BH392" s="104"/>
      <c r="BI392" s="104"/>
      <c r="BJ392" s="119"/>
      <c r="BK392" s="104"/>
      <c r="BL392" s="455"/>
      <c r="BM392" s="104"/>
      <c r="BN392" s="104"/>
      <c r="BO392" s="109"/>
      <c r="BP392" s="104"/>
      <c r="BQ392" s="104"/>
      <c r="BR392" s="119"/>
      <c r="BS392" s="104"/>
      <c r="BT392" s="455"/>
      <c r="BU392" s="104"/>
      <c r="BV392" s="104"/>
      <c r="BW392" s="109"/>
      <c r="BX392" s="104"/>
      <c r="BY392" s="104"/>
      <c r="BZ392" s="119"/>
      <c r="CA392" s="104"/>
      <c r="CB392" s="455"/>
      <c r="CC392" s="104"/>
      <c r="CD392" s="104"/>
      <c r="CE392" s="109"/>
      <c r="CF392" s="104"/>
      <c r="CG392" s="104"/>
      <c r="CH392" s="119"/>
      <c r="CI392" s="104"/>
      <c r="CJ392" s="455"/>
      <c r="CK392" s="104"/>
      <c r="CL392" s="104"/>
      <c r="CM392" s="109"/>
      <c r="CN392" s="104"/>
      <c r="CO392" s="104"/>
      <c r="CP392" s="119"/>
      <c r="CQ392" s="104"/>
      <c r="CR392" s="455"/>
      <c r="CS392" s="104"/>
      <c r="CT392" s="104"/>
      <c r="CU392" s="109"/>
      <c r="CV392" s="104"/>
      <c r="CW392" s="104"/>
      <c r="CX392" s="119"/>
      <c r="CY392" s="104"/>
      <c r="CZ392" s="455"/>
      <c r="DA392" s="104"/>
      <c r="DB392" s="104"/>
      <c r="DC392" s="109"/>
      <c r="DD392" s="104"/>
      <c r="DE392" s="104"/>
      <c r="DF392" s="119"/>
      <c r="DG392" s="104"/>
      <c r="DH392" s="455"/>
      <c r="DI392" s="104"/>
      <c r="DJ392" s="104"/>
      <c r="DK392" s="109"/>
      <c r="DL392" s="104"/>
      <c r="DM392" s="104"/>
      <c r="DN392" s="119"/>
      <c r="DO392" s="104"/>
      <c r="DP392" s="455"/>
      <c r="DQ392" s="104"/>
      <c r="DR392" s="104"/>
      <c r="DS392" s="109"/>
      <c r="DT392" s="104"/>
      <c r="DU392" s="104"/>
      <c r="DV392" s="119"/>
      <c r="DW392" s="104"/>
      <c r="DX392" s="455"/>
      <c r="DY392" s="104"/>
      <c r="DZ392" s="104"/>
      <c r="EA392" s="109"/>
      <c r="EB392" s="104"/>
      <c r="EC392" s="104"/>
      <c r="ED392" s="119"/>
      <c r="EE392" s="104"/>
      <c r="EF392" s="455"/>
      <c r="EG392" s="104"/>
      <c r="EH392" s="104"/>
      <c r="EI392" s="109"/>
      <c r="EJ392" s="104"/>
      <c r="EK392" s="104"/>
      <c r="EL392" s="119"/>
      <c r="EM392" s="104"/>
      <c r="EN392" s="455"/>
      <c r="EO392" s="104"/>
      <c r="EP392" s="104"/>
      <c r="EQ392" s="109"/>
      <c r="ER392" s="104"/>
      <c r="ES392" s="104"/>
      <c r="ET392" s="119"/>
      <c r="EU392" s="104"/>
      <c r="EV392" s="455"/>
      <c r="EW392" s="104"/>
      <c r="EX392" s="104"/>
      <c r="EY392" s="109"/>
      <c r="EZ392" s="104"/>
      <c r="FA392" s="104"/>
      <c r="FB392" s="119"/>
      <c r="FC392" s="104"/>
      <c r="FD392" s="455"/>
      <c r="FE392" s="104"/>
      <c r="FF392" s="104"/>
      <c r="FG392" s="109"/>
      <c r="FH392" s="104"/>
      <c r="FI392" s="104"/>
      <c r="FJ392" s="119"/>
      <c r="FK392" s="104"/>
      <c r="FL392" s="455"/>
      <c r="FM392" s="104"/>
      <c r="FN392" s="104"/>
      <c r="FO392" s="109"/>
      <c r="FP392" s="104"/>
      <c r="FQ392" s="104"/>
      <c r="FR392" s="119"/>
      <c r="FS392" s="104"/>
      <c r="FT392" s="455"/>
      <c r="FU392" s="104"/>
      <c r="FV392" s="104"/>
      <c r="FW392" s="109"/>
      <c r="FX392" s="104"/>
      <c r="FY392" s="104"/>
      <c r="FZ392" s="119"/>
      <c r="GA392" s="104"/>
      <c r="GB392" s="455"/>
      <c r="GC392" s="104"/>
      <c r="GD392" s="104"/>
      <c r="GE392" s="109"/>
      <c r="GF392" s="104"/>
      <c r="GG392" s="104"/>
      <c r="GH392" s="119"/>
      <c r="GI392" s="104"/>
      <c r="GJ392" s="455"/>
      <c r="GK392" s="104"/>
      <c r="GL392" s="104"/>
      <c r="GM392" s="109"/>
      <c r="GN392" s="104"/>
      <c r="GO392" s="104"/>
      <c r="GP392" s="119"/>
      <c r="GQ392" s="104"/>
      <c r="GR392" s="455"/>
      <c r="GS392" s="104"/>
      <c r="GT392" s="104"/>
      <c r="GU392" s="109"/>
      <c r="GV392" s="104"/>
      <c r="GW392" s="104"/>
      <c r="GX392" s="119"/>
      <c r="GY392" s="104"/>
      <c r="GZ392" s="455"/>
      <c r="HA392" s="104"/>
      <c r="HB392" s="104"/>
      <c r="HC392" s="109"/>
      <c r="HD392" s="104"/>
      <c r="HE392" s="104"/>
      <c r="HF392" s="119"/>
      <c r="HG392" s="104"/>
      <c r="HH392" s="455"/>
      <c r="HI392" s="104"/>
      <c r="HJ392" s="104"/>
      <c r="HK392" s="109"/>
      <c r="HL392" s="104"/>
      <c r="HM392" s="104"/>
      <c r="HN392" s="119"/>
      <c r="HO392" s="104"/>
      <c r="HP392" s="455"/>
      <c r="HQ392" s="104"/>
      <c r="HR392" s="104"/>
      <c r="HS392" s="109"/>
      <c r="HT392" s="104"/>
      <c r="HU392" s="104"/>
      <c r="HV392" s="119"/>
      <c r="HW392" s="104"/>
      <c r="HX392" s="455"/>
      <c r="HY392" s="104"/>
      <c r="HZ392" s="104"/>
      <c r="IA392" s="109"/>
      <c r="IB392" s="104"/>
      <c r="IC392" s="104"/>
      <c r="ID392" s="119"/>
      <c r="IE392" s="104"/>
      <c r="IF392" s="455"/>
      <c r="IG392" s="104"/>
      <c r="IH392" s="104"/>
      <c r="II392" s="109"/>
      <c r="IJ392" s="104"/>
      <c r="IK392" s="104"/>
      <c r="IL392" s="119"/>
      <c r="IM392" s="104"/>
      <c r="IN392" s="455"/>
      <c r="IO392" s="104"/>
      <c r="IP392" s="104"/>
      <c r="IQ392" s="109"/>
      <c r="IR392" s="104"/>
      <c r="IS392" s="104"/>
      <c r="IT392" s="119"/>
      <c r="IU392" s="104"/>
      <c r="IV392" s="455"/>
      <c r="IW392" s="104"/>
      <c r="IX392" s="104"/>
      <c r="IY392" s="109"/>
      <c r="IZ392" s="104"/>
      <c r="JA392" s="104"/>
      <c r="JB392" s="119"/>
      <c r="JC392" s="104"/>
      <c r="JD392" s="455"/>
      <c r="JE392" s="104"/>
      <c r="JF392" s="104"/>
      <c r="JG392" s="109"/>
      <c r="JH392" s="104"/>
      <c r="JI392" s="104"/>
      <c r="JJ392" s="119"/>
      <c r="JK392" s="104"/>
      <c r="JL392" s="455"/>
      <c r="JM392" s="104"/>
      <c r="JN392" s="104"/>
      <c r="JO392" s="109"/>
      <c r="JP392" s="104"/>
      <c r="JQ392" s="104"/>
      <c r="JR392" s="119"/>
      <c r="JS392" s="104"/>
      <c r="JT392" s="455"/>
      <c r="JU392" s="104"/>
      <c r="JV392" s="104"/>
      <c r="JW392" s="109"/>
      <c r="JX392" s="104"/>
      <c r="JY392" s="104"/>
      <c r="JZ392" s="119"/>
      <c r="KA392" s="104"/>
      <c r="KB392" s="455"/>
      <c r="KC392" s="104"/>
      <c r="KD392" s="104"/>
      <c r="KE392" s="109"/>
      <c r="KF392" s="104"/>
      <c r="KG392" s="104"/>
      <c r="KH392" s="119"/>
      <c r="KI392" s="104"/>
      <c r="KJ392" s="455"/>
      <c r="KK392" s="104"/>
      <c r="KL392" s="104"/>
      <c r="KM392" s="109"/>
      <c r="KN392" s="104"/>
      <c r="KO392" s="104"/>
      <c r="KP392" s="119"/>
      <c r="KQ392" s="104"/>
      <c r="KR392" s="455"/>
      <c r="KS392" s="104"/>
      <c r="KT392" s="104"/>
      <c r="KU392" s="109"/>
      <c r="KV392" s="104"/>
      <c r="KW392" s="104"/>
      <c r="KX392" s="119"/>
      <c r="KY392" s="104"/>
      <c r="KZ392" s="455"/>
      <c r="LA392" s="104"/>
      <c r="LB392" s="104"/>
      <c r="LC392" s="109"/>
      <c r="LD392" s="104"/>
      <c r="LE392" s="104"/>
      <c r="LF392" s="119"/>
      <c r="LG392" s="104"/>
      <c r="LH392" s="455"/>
      <c r="LI392" s="104"/>
      <c r="LJ392" s="104"/>
      <c r="LK392" s="109"/>
      <c r="LL392" s="104"/>
      <c r="LM392" s="104"/>
      <c r="LN392" s="119"/>
      <c r="LO392" s="104"/>
      <c r="LP392" s="455"/>
      <c r="LQ392" s="104"/>
      <c r="LR392" s="104"/>
      <c r="LS392" s="109"/>
      <c r="LT392" s="104"/>
      <c r="LU392" s="104"/>
      <c r="LV392" s="119"/>
      <c r="LW392" s="104"/>
      <c r="LX392" s="455"/>
      <c r="LY392" s="104"/>
      <c r="LZ392" s="104"/>
      <c r="MA392" s="109"/>
      <c r="MB392" s="104"/>
      <c r="MC392" s="104"/>
      <c r="MD392" s="119"/>
      <c r="ME392" s="104"/>
      <c r="MF392" s="455"/>
      <c r="MG392" s="104"/>
      <c r="MH392" s="104"/>
      <c r="MI392" s="109"/>
      <c r="MJ392" s="104"/>
      <c r="MK392" s="104"/>
      <c r="ML392" s="119"/>
      <c r="MM392" s="104"/>
      <c r="MN392" s="455"/>
      <c r="MO392" s="104"/>
      <c r="MP392" s="104"/>
      <c r="MQ392" s="109"/>
      <c r="MR392" s="104"/>
      <c r="MS392" s="104"/>
      <c r="MT392" s="119"/>
      <c r="MU392" s="104"/>
      <c r="MV392" s="455"/>
      <c r="MW392" s="104"/>
      <c r="MX392" s="104"/>
      <c r="MY392" s="109"/>
      <c r="MZ392" s="104"/>
      <c r="NA392" s="104"/>
      <c r="NB392" s="119"/>
      <c r="NC392" s="104"/>
      <c r="ND392" s="455"/>
      <c r="NE392" s="104"/>
      <c r="NF392" s="104"/>
      <c r="NG392" s="109"/>
      <c r="NH392" s="104"/>
      <c r="NI392" s="104"/>
      <c r="NJ392" s="119"/>
      <c r="NK392" s="104"/>
      <c r="NL392" s="455"/>
      <c r="NM392" s="104"/>
      <c r="NN392" s="104"/>
      <c r="NO392" s="109"/>
      <c r="NP392" s="104"/>
      <c r="NQ392" s="104"/>
      <c r="NR392" s="119"/>
      <c r="NS392" s="104"/>
      <c r="NT392" s="455"/>
      <c r="NU392" s="104"/>
      <c r="NV392" s="104"/>
      <c r="NW392" s="109"/>
      <c r="NX392" s="104"/>
      <c r="NY392" s="104"/>
      <c r="NZ392" s="119"/>
      <c r="OA392" s="104"/>
      <c r="OB392" s="455"/>
      <c r="OC392" s="104"/>
      <c r="OD392" s="104"/>
      <c r="OE392" s="109"/>
      <c r="OF392" s="104"/>
      <c r="OG392" s="104"/>
      <c r="OH392" s="119"/>
      <c r="OI392" s="104"/>
      <c r="OJ392" s="455"/>
      <c r="OK392" s="104"/>
      <c r="OL392" s="104"/>
      <c r="OM392" s="109"/>
      <c r="ON392" s="104"/>
      <c r="OO392" s="104"/>
      <c r="OP392" s="119"/>
      <c r="OQ392" s="104"/>
      <c r="OR392" s="455"/>
      <c r="OS392" s="104"/>
      <c r="OT392" s="104"/>
      <c r="OU392" s="109"/>
      <c r="OV392" s="104"/>
      <c r="OW392" s="104"/>
      <c r="OX392" s="119"/>
      <c r="OY392" s="104"/>
      <c r="OZ392" s="455"/>
      <c r="PA392" s="104"/>
      <c r="PB392" s="104"/>
      <c r="PC392" s="109"/>
      <c r="PD392" s="104"/>
      <c r="PE392" s="104"/>
      <c r="PF392" s="119"/>
      <c r="PG392" s="104"/>
      <c r="PH392" s="455"/>
      <c r="PI392" s="104"/>
      <c r="PJ392" s="104"/>
      <c r="PK392" s="109"/>
      <c r="PL392" s="104"/>
      <c r="PM392" s="104"/>
      <c r="PN392" s="119"/>
      <c r="PO392" s="104"/>
      <c r="PP392" s="455"/>
      <c r="PQ392" s="104"/>
      <c r="PR392" s="104"/>
      <c r="PS392" s="109"/>
      <c r="PT392" s="104"/>
      <c r="PU392" s="104"/>
      <c r="PV392" s="119"/>
      <c r="PW392" s="104"/>
      <c r="PX392" s="455"/>
      <c r="PY392" s="104"/>
      <c r="PZ392" s="104"/>
      <c r="QA392" s="109"/>
      <c r="QB392" s="104"/>
      <c r="QC392" s="104"/>
      <c r="QD392" s="119"/>
      <c r="QE392" s="104"/>
      <c r="QF392" s="455"/>
      <c r="QG392" s="104"/>
      <c r="QH392" s="104"/>
      <c r="QI392" s="109"/>
      <c r="QJ392" s="104"/>
      <c r="QK392" s="104"/>
      <c r="QL392" s="119"/>
      <c r="QM392" s="104"/>
      <c r="QN392" s="455"/>
      <c r="QO392" s="104"/>
      <c r="QP392" s="104"/>
      <c r="QQ392" s="109"/>
      <c r="QR392" s="104"/>
      <c r="QS392" s="104"/>
      <c r="QT392" s="119"/>
      <c r="QU392" s="104"/>
      <c r="QV392" s="455"/>
      <c r="QW392" s="104"/>
      <c r="QX392" s="104"/>
      <c r="QY392" s="109"/>
      <c r="QZ392" s="104"/>
      <c r="RA392" s="104"/>
      <c r="RB392" s="119"/>
      <c r="RC392" s="104"/>
      <c r="RD392" s="455"/>
      <c r="RE392" s="104"/>
      <c r="RF392" s="104"/>
      <c r="RG392" s="109"/>
      <c r="RH392" s="104"/>
      <c r="RI392" s="104"/>
      <c r="RJ392" s="119"/>
      <c r="RK392" s="104"/>
      <c r="RL392" s="455"/>
      <c r="RM392" s="104"/>
      <c r="RN392" s="104"/>
      <c r="RO392" s="109"/>
      <c r="RP392" s="104"/>
      <c r="RQ392" s="104"/>
      <c r="RR392" s="119"/>
      <c r="RS392" s="104"/>
      <c r="RT392" s="455"/>
      <c r="RU392" s="104"/>
      <c r="RV392" s="104"/>
      <c r="RW392" s="109"/>
      <c r="RX392" s="104"/>
      <c r="RY392" s="104"/>
      <c r="RZ392" s="119"/>
      <c r="SA392" s="104"/>
      <c r="SB392" s="455"/>
      <c r="SC392" s="104"/>
      <c r="SD392" s="104"/>
      <c r="SE392" s="109"/>
      <c r="SF392" s="104"/>
      <c r="SG392" s="104"/>
      <c r="SH392" s="119"/>
      <c r="SI392" s="104"/>
      <c r="SJ392" s="455"/>
      <c r="SK392" s="104"/>
      <c r="SL392" s="104"/>
      <c r="SM392" s="109"/>
      <c r="SN392" s="104"/>
      <c r="SO392" s="104"/>
      <c r="SP392" s="119"/>
      <c r="SQ392" s="104"/>
      <c r="SR392" s="455"/>
      <c r="SS392" s="104"/>
      <c r="ST392" s="104"/>
      <c r="SU392" s="109"/>
      <c r="SV392" s="104"/>
      <c r="SW392" s="104"/>
      <c r="SX392" s="119"/>
      <c r="SY392" s="104"/>
      <c r="SZ392" s="455"/>
      <c r="TA392" s="104"/>
      <c r="TB392" s="104"/>
      <c r="TC392" s="109"/>
      <c r="TD392" s="104"/>
      <c r="TE392" s="104"/>
      <c r="TF392" s="119"/>
      <c r="TG392" s="104"/>
      <c r="TH392" s="455"/>
      <c r="TI392" s="104"/>
      <c r="TJ392" s="104"/>
      <c r="TK392" s="109"/>
      <c r="TL392" s="104"/>
      <c r="TM392" s="104"/>
      <c r="TN392" s="119"/>
      <c r="TO392" s="104"/>
      <c r="TP392" s="455"/>
      <c r="TQ392" s="104"/>
      <c r="TR392" s="104"/>
      <c r="TS392" s="109"/>
      <c r="TT392" s="104"/>
      <c r="TU392" s="104"/>
      <c r="TV392" s="119"/>
      <c r="TW392" s="104"/>
      <c r="TX392" s="455"/>
      <c r="TY392" s="104"/>
      <c r="TZ392" s="104"/>
      <c r="UA392" s="109"/>
      <c r="UB392" s="104"/>
      <c r="UC392" s="104"/>
      <c r="UD392" s="119"/>
      <c r="UE392" s="104"/>
      <c r="UF392" s="455"/>
      <c r="UG392" s="104"/>
      <c r="UH392" s="104"/>
      <c r="UI392" s="109"/>
      <c r="UJ392" s="104"/>
      <c r="UK392" s="104"/>
      <c r="UL392" s="119"/>
      <c r="UM392" s="104"/>
      <c r="UN392" s="455"/>
      <c r="UO392" s="104"/>
      <c r="UP392" s="104"/>
      <c r="UQ392" s="109"/>
      <c r="UR392" s="104"/>
      <c r="US392" s="104"/>
      <c r="UT392" s="119"/>
      <c r="UU392" s="104"/>
      <c r="UV392" s="455"/>
      <c r="UW392" s="104"/>
      <c r="UX392" s="104"/>
      <c r="UY392" s="109"/>
      <c r="UZ392" s="104"/>
      <c r="VA392" s="104"/>
      <c r="VB392" s="119"/>
      <c r="VC392" s="104"/>
      <c r="VD392" s="455"/>
      <c r="VE392" s="104"/>
      <c r="VF392" s="104"/>
      <c r="VG392" s="109"/>
      <c r="VH392" s="104"/>
      <c r="VI392" s="104"/>
      <c r="VJ392" s="119"/>
      <c r="VK392" s="104"/>
      <c r="VL392" s="455"/>
      <c r="VM392" s="104"/>
      <c r="VN392" s="104"/>
      <c r="VO392" s="109"/>
      <c r="VP392" s="104"/>
      <c r="VQ392" s="104"/>
      <c r="VR392" s="119"/>
      <c r="VS392" s="104"/>
      <c r="VT392" s="455"/>
      <c r="VU392" s="104"/>
      <c r="VV392" s="104"/>
      <c r="VW392" s="109"/>
      <c r="VX392" s="104"/>
      <c r="VY392" s="104"/>
      <c r="VZ392" s="119"/>
      <c r="WA392" s="104"/>
      <c r="WB392" s="455"/>
      <c r="WC392" s="104"/>
      <c r="WD392" s="104"/>
      <c r="WE392" s="109"/>
      <c r="WF392" s="104"/>
      <c r="WG392" s="104"/>
      <c r="WH392" s="119"/>
      <c r="WI392" s="104"/>
      <c r="WJ392" s="455"/>
      <c r="WK392" s="104"/>
      <c r="WL392" s="104"/>
      <c r="WM392" s="109"/>
      <c r="WN392" s="104"/>
      <c r="WO392" s="104"/>
      <c r="WP392" s="119"/>
      <c r="WQ392" s="104"/>
      <c r="WR392" s="455"/>
      <c r="WS392" s="104"/>
      <c r="WT392" s="104"/>
      <c r="WU392" s="109"/>
      <c r="WV392" s="104"/>
      <c r="WW392" s="104"/>
      <c r="WX392" s="119"/>
      <c r="WY392" s="104"/>
      <c r="WZ392" s="455"/>
      <c r="XA392" s="104"/>
      <c r="XB392" s="104"/>
      <c r="XC392" s="109"/>
      <c r="XD392" s="104"/>
      <c r="XE392" s="104"/>
      <c r="XF392" s="119"/>
      <c r="XG392" s="104"/>
      <c r="XH392" s="455"/>
      <c r="XI392" s="104"/>
      <c r="XJ392" s="104"/>
      <c r="XK392" s="109"/>
      <c r="XL392" s="104"/>
      <c r="XM392" s="104"/>
      <c r="XN392" s="119"/>
      <c r="XO392" s="104"/>
      <c r="XP392" s="455"/>
      <c r="XQ392" s="104"/>
      <c r="XR392" s="104"/>
      <c r="XS392" s="109"/>
      <c r="XT392" s="104"/>
      <c r="XU392" s="104"/>
      <c r="XV392" s="119"/>
      <c r="XW392" s="104"/>
      <c r="XX392" s="455"/>
      <c r="XY392" s="104"/>
      <c r="XZ392" s="104"/>
      <c r="YA392" s="109"/>
      <c r="YB392" s="104"/>
      <c r="YC392" s="104"/>
      <c r="YD392" s="119"/>
      <c r="YE392" s="104"/>
      <c r="YF392" s="455"/>
      <c r="YG392" s="104"/>
      <c r="YH392" s="104"/>
      <c r="YI392" s="109"/>
      <c r="YJ392" s="104"/>
      <c r="YK392" s="104"/>
      <c r="YL392" s="119"/>
      <c r="YM392" s="104"/>
      <c r="YN392" s="455"/>
      <c r="YO392" s="104"/>
      <c r="YP392" s="104"/>
      <c r="YQ392" s="109"/>
      <c r="YR392" s="104"/>
      <c r="YS392" s="104"/>
      <c r="YT392" s="119"/>
      <c r="YU392" s="104"/>
      <c r="YV392" s="455"/>
      <c r="YW392" s="104"/>
      <c r="YX392" s="104"/>
      <c r="YY392" s="109"/>
      <c r="YZ392" s="104"/>
      <c r="ZA392" s="104"/>
      <c r="ZB392" s="119"/>
      <c r="ZC392" s="104"/>
      <c r="ZD392" s="455"/>
      <c r="ZE392" s="104"/>
      <c r="ZF392" s="104"/>
      <c r="ZG392" s="109"/>
      <c r="ZH392" s="104"/>
      <c r="ZI392" s="104"/>
      <c r="ZJ392" s="119"/>
      <c r="ZK392" s="104"/>
      <c r="ZL392" s="455"/>
      <c r="ZM392" s="104"/>
      <c r="ZN392" s="104"/>
      <c r="ZO392" s="109"/>
      <c r="ZP392" s="104"/>
      <c r="ZQ392" s="104"/>
      <c r="ZR392" s="119"/>
      <c r="ZS392" s="104"/>
      <c r="ZT392" s="455"/>
      <c r="ZU392" s="104"/>
      <c r="ZV392" s="104"/>
      <c r="ZW392" s="109"/>
      <c r="ZX392" s="104"/>
      <c r="ZY392" s="104"/>
      <c r="ZZ392" s="119"/>
      <c r="AAA392" s="104"/>
      <c r="AAB392" s="455"/>
      <c r="AAC392" s="104"/>
      <c r="AAD392" s="104"/>
      <c r="AAE392" s="109"/>
      <c r="AAF392" s="104"/>
      <c r="AAG392" s="104"/>
      <c r="AAH392" s="119"/>
      <c r="AAI392" s="104"/>
      <c r="AAJ392" s="455"/>
      <c r="AAK392" s="104"/>
      <c r="AAL392" s="104"/>
      <c r="AAM392" s="109"/>
      <c r="AAN392" s="104"/>
      <c r="AAO392" s="104"/>
      <c r="AAP392" s="119"/>
      <c r="AAQ392" s="104"/>
      <c r="AAR392" s="455"/>
      <c r="AAS392" s="104"/>
      <c r="AAT392" s="104"/>
      <c r="AAU392" s="109"/>
      <c r="AAV392" s="104"/>
      <c r="AAW392" s="104"/>
      <c r="AAX392" s="119"/>
      <c r="AAY392" s="104"/>
      <c r="AAZ392" s="455"/>
      <c r="ABA392" s="104"/>
      <c r="ABB392" s="104"/>
      <c r="ABC392" s="109"/>
      <c r="ABD392" s="104"/>
      <c r="ABE392" s="104"/>
      <c r="ABF392" s="119"/>
      <c r="ABG392" s="104"/>
      <c r="ABH392" s="455"/>
      <c r="ABI392" s="104"/>
      <c r="ABJ392" s="104"/>
      <c r="ABK392" s="109"/>
      <c r="ABL392" s="104"/>
      <c r="ABM392" s="104"/>
      <c r="ABN392" s="119"/>
      <c r="ABO392" s="104"/>
      <c r="ABP392" s="455"/>
      <c r="ABQ392" s="104"/>
      <c r="ABR392" s="104"/>
      <c r="ABS392" s="109"/>
      <c r="ABT392" s="104"/>
      <c r="ABU392" s="104"/>
      <c r="ABV392" s="119"/>
      <c r="ABW392" s="104"/>
      <c r="ABX392" s="455"/>
      <c r="ABY392" s="104"/>
      <c r="ABZ392" s="104"/>
      <c r="ACA392" s="109"/>
      <c r="ACB392" s="104"/>
      <c r="ACC392" s="104"/>
      <c r="ACD392" s="119"/>
      <c r="ACE392" s="104"/>
      <c r="ACF392" s="455"/>
      <c r="ACG392" s="104"/>
      <c r="ACH392" s="104"/>
      <c r="ACI392" s="109"/>
      <c r="ACJ392" s="104"/>
      <c r="ACK392" s="104"/>
      <c r="ACL392" s="119"/>
      <c r="ACM392" s="104"/>
      <c r="ACN392" s="455"/>
      <c r="ACO392" s="104"/>
      <c r="ACP392" s="104"/>
      <c r="ACQ392" s="109"/>
      <c r="ACR392" s="104"/>
      <c r="ACS392" s="104"/>
      <c r="ACT392" s="119"/>
      <c r="ACU392" s="104"/>
      <c r="ACV392" s="455"/>
      <c r="ACW392" s="104"/>
      <c r="ACX392" s="104"/>
      <c r="ACY392" s="109"/>
      <c r="ACZ392" s="104"/>
      <c r="ADA392" s="104"/>
      <c r="ADB392" s="119"/>
      <c r="ADC392" s="104"/>
      <c r="ADD392" s="455"/>
      <c r="ADE392" s="104"/>
      <c r="ADF392" s="104"/>
      <c r="ADG392" s="109"/>
      <c r="ADH392" s="104"/>
      <c r="ADI392" s="104"/>
      <c r="ADJ392" s="119"/>
      <c r="ADK392" s="104"/>
      <c r="ADL392" s="455"/>
      <c r="ADM392" s="104"/>
      <c r="ADN392" s="104"/>
      <c r="ADO392" s="109"/>
      <c r="ADP392" s="104"/>
      <c r="ADQ392" s="104"/>
      <c r="ADR392" s="119"/>
      <c r="ADS392" s="104"/>
      <c r="ADT392" s="455"/>
      <c r="ADU392" s="104"/>
      <c r="ADV392" s="104"/>
      <c r="ADW392" s="109"/>
      <c r="ADX392" s="104"/>
      <c r="ADY392" s="104"/>
      <c r="ADZ392" s="119"/>
      <c r="AEA392" s="104"/>
      <c r="AEB392" s="455"/>
      <c r="AEC392" s="104"/>
      <c r="AED392" s="104"/>
      <c r="AEE392" s="109"/>
      <c r="AEF392" s="104"/>
      <c r="AEG392" s="104"/>
      <c r="AEH392" s="119"/>
      <c r="AEI392" s="104"/>
      <c r="AEJ392" s="455"/>
      <c r="AEK392" s="104"/>
      <c r="AEL392" s="104"/>
      <c r="AEM392" s="109"/>
      <c r="AEN392" s="104"/>
      <c r="AEO392" s="104"/>
      <c r="AEP392" s="119"/>
      <c r="AEQ392" s="104"/>
      <c r="AER392" s="455"/>
      <c r="AES392" s="104"/>
      <c r="AET392" s="104"/>
      <c r="AEU392" s="109"/>
      <c r="AEV392" s="104"/>
      <c r="AEW392" s="104"/>
      <c r="AEX392" s="119"/>
      <c r="AEY392" s="104"/>
      <c r="AEZ392" s="455"/>
      <c r="AFA392" s="104"/>
      <c r="AFB392" s="104"/>
      <c r="AFC392" s="109"/>
      <c r="AFD392" s="104"/>
      <c r="AFE392" s="104"/>
      <c r="AFF392" s="119"/>
      <c r="AFG392" s="104"/>
      <c r="AFH392" s="455"/>
      <c r="AFI392" s="104"/>
      <c r="AFJ392" s="104"/>
      <c r="AFK392" s="109"/>
      <c r="AFL392" s="104"/>
      <c r="AFM392" s="104"/>
      <c r="AFN392" s="119"/>
      <c r="AFO392" s="104"/>
      <c r="AFP392" s="455"/>
      <c r="AFQ392" s="104"/>
      <c r="AFR392" s="104"/>
      <c r="AFS392" s="109"/>
      <c r="AFT392" s="104"/>
      <c r="AFU392" s="104"/>
      <c r="AFV392" s="119"/>
      <c r="AFW392" s="104"/>
      <c r="AFX392" s="455"/>
      <c r="AFY392" s="104"/>
      <c r="AFZ392" s="104"/>
      <c r="AGA392" s="109"/>
      <c r="AGB392" s="104"/>
      <c r="AGC392" s="104"/>
      <c r="AGD392" s="119"/>
      <c r="AGE392" s="104"/>
      <c r="AGF392" s="455"/>
      <c r="AGG392" s="104"/>
      <c r="AGH392" s="104"/>
      <c r="AGI392" s="109"/>
      <c r="AGJ392" s="104"/>
      <c r="AGK392" s="104"/>
      <c r="AGL392" s="119"/>
      <c r="AGM392" s="104"/>
      <c r="AGN392" s="455"/>
      <c r="AGO392" s="104"/>
      <c r="AGP392" s="104"/>
      <c r="AGQ392" s="109"/>
      <c r="AGR392" s="104"/>
      <c r="AGS392" s="104"/>
      <c r="AGT392" s="119"/>
      <c r="AGU392" s="104"/>
      <c r="AGV392" s="455"/>
      <c r="AGW392" s="104"/>
      <c r="AGX392" s="104"/>
      <c r="AGY392" s="109"/>
      <c r="AGZ392" s="104"/>
      <c r="AHA392" s="104"/>
      <c r="AHB392" s="119"/>
      <c r="AHC392" s="104"/>
      <c r="AHD392" s="455"/>
      <c r="AHE392" s="104"/>
      <c r="AHF392" s="104"/>
      <c r="AHG392" s="109"/>
      <c r="AHH392" s="104"/>
      <c r="AHI392" s="104"/>
      <c r="AHJ392" s="119"/>
      <c r="AHK392" s="104"/>
      <c r="AHL392" s="455"/>
      <c r="AHM392" s="104"/>
      <c r="AHN392" s="104"/>
      <c r="AHO392" s="109"/>
      <c r="AHP392" s="104"/>
      <c r="AHQ392" s="104"/>
      <c r="AHR392" s="119"/>
      <c r="AHS392" s="104"/>
      <c r="AHT392" s="455"/>
      <c r="AHU392" s="104"/>
      <c r="AHV392" s="104"/>
      <c r="AHW392" s="109"/>
      <c r="AHX392" s="104"/>
      <c r="AHY392" s="104"/>
      <c r="AHZ392" s="119"/>
      <c r="AIA392" s="104"/>
      <c r="AIB392" s="455"/>
      <c r="AIC392" s="104"/>
      <c r="AID392" s="104"/>
      <c r="AIE392" s="109"/>
      <c r="AIF392" s="104"/>
      <c r="AIG392" s="104"/>
      <c r="AIH392" s="119"/>
      <c r="AII392" s="104"/>
      <c r="AIJ392" s="455"/>
      <c r="AIK392" s="104"/>
      <c r="AIL392" s="104"/>
      <c r="AIM392" s="109"/>
      <c r="AIN392" s="104"/>
      <c r="AIO392" s="104"/>
      <c r="AIP392" s="119"/>
      <c r="AIQ392" s="104"/>
      <c r="AIR392" s="455"/>
      <c r="AIS392" s="104"/>
      <c r="AIT392" s="104"/>
      <c r="AIU392" s="109"/>
      <c r="AIV392" s="104"/>
      <c r="AIW392" s="104"/>
      <c r="AIX392" s="119"/>
      <c r="AIY392" s="104"/>
      <c r="AIZ392" s="455"/>
      <c r="AJA392" s="104"/>
      <c r="AJB392" s="104"/>
      <c r="AJC392" s="109"/>
      <c r="AJD392" s="104"/>
      <c r="AJE392" s="104"/>
      <c r="AJF392" s="119"/>
      <c r="AJG392" s="104"/>
      <c r="AJH392" s="455"/>
      <c r="AJI392" s="104"/>
      <c r="AJJ392" s="104"/>
      <c r="AJK392" s="109"/>
      <c r="AJL392" s="104"/>
      <c r="AJM392" s="104"/>
      <c r="AJN392" s="119"/>
      <c r="AJO392" s="104"/>
      <c r="AJP392" s="455"/>
      <c r="AJQ392" s="104"/>
      <c r="AJR392" s="104"/>
      <c r="AJS392" s="109"/>
      <c r="AJT392" s="104"/>
      <c r="AJU392" s="104"/>
      <c r="AJV392" s="119"/>
      <c r="AJW392" s="104"/>
      <c r="AJX392" s="455"/>
      <c r="AJY392" s="104"/>
      <c r="AJZ392" s="104"/>
      <c r="AKA392" s="109"/>
      <c r="AKB392" s="104"/>
      <c r="AKC392" s="104"/>
      <c r="AKD392" s="119"/>
      <c r="AKE392" s="104"/>
      <c r="AKF392" s="455"/>
      <c r="AKG392" s="104"/>
      <c r="AKH392" s="104"/>
      <c r="AKI392" s="109"/>
      <c r="AKJ392" s="104"/>
      <c r="AKK392" s="104"/>
      <c r="AKL392" s="119"/>
      <c r="AKM392" s="104"/>
      <c r="AKN392" s="455"/>
      <c r="AKO392" s="104"/>
      <c r="AKP392" s="104"/>
      <c r="AKQ392" s="109"/>
      <c r="AKR392" s="104"/>
      <c r="AKS392" s="104"/>
      <c r="AKT392" s="119"/>
      <c r="AKU392" s="104"/>
      <c r="AKV392" s="455"/>
      <c r="AKW392" s="104"/>
      <c r="AKX392" s="104"/>
      <c r="AKY392" s="109"/>
      <c r="AKZ392" s="104"/>
      <c r="ALA392" s="104"/>
      <c r="ALB392" s="119"/>
      <c r="ALC392" s="104"/>
      <c r="ALD392" s="455"/>
      <c r="ALE392" s="104"/>
      <c r="ALF392" s="104"/>
      <c r="ALG392" s="109"/>
      <c r="ALH392" s="104"/>
      <c r="ALI392" s="104"/>
      <c r="ALJ392" s="119"/>
      <c r="ALK392" s="104"/>
      <c r="ALL392" s="455"/>
      <c r="ALM392" s="104"/>
      <c r="ALN392" s="104"/>
      <c r="ALO392" s="109"/>
      <c r="ALP392" s="104"/>
      <c r="ALQ392" s="104"/>
      <c r="ALR392" s="119"/>
      <c r="ALS392" s="104"/>
      <c r="ALT392" s="455"/>
      <c r="ALU392" s="104"/>
      <c r="ALV392" s="104"/>
      <c r="ALW392" s="109"/>
      <c r="ALX392" s="104"/>
      <c r="ALY392" s="104"/>
      <c r="ALZ392" s="119"/>
      <c r="AMA392" s="104"/>
      <c r="AMB392" s="455"/>
      <c r="AMC392" s="104"/>
      <c r="AMD392" s="104"/>
      <c r="AME392" s="109"/>
      <c r="AMF392" s="104"/>
      <c r="AMG392" s="104"/>
      <c r="AMH392" s="119"/>
      <c r="AMI392" s="104"/>
      <c r="AMJ392" s="455"/>
      <c r="AMK392" s="104"/>
      <c r="AML392" s="104"/>
      <c r="AMM392" s="109"/>
      <c r="AMN392" s="104"/>
      <c r="AMO392" s="104"/>
      <c r="AMP392" s="119"/>
      <c r="AMQ392" s="104"/>
      <c r="AMR392" s="455"/>
      <c r="AMS392" s="104"/>
      <c r="AMT392" s="104"/>
      <c r="AMU392" s="109"/>
      <c r="AMV392" s="104"/>
      <c r="AMW392" s="104"/>
      <c r="AMX392" s="119"/>
      <c r="AMY392" s="104"/>
      <c r="AMZ392" s="455"/>
      <c r="ANA392" s="104"/>
      <c r="ANB392" s="104"/>
      <c r="ANC392" s="109"/>
      <c r="AND392" s="104"/>
      <c r="ANE392" s="104"/>
      <c r="ANF392" s="119"/>
      <c r="ANG392" s="104"/>
      <c r="ANH392" s="455"/>
      <c r="ANI392" s="104"/>
      <c r="ANJ392" s="104"/>
      <c r="ANK392" s="109"/>
      <c r="ANL392" s="104"/>
      <c r="ANM392" s="104"/>
      <c r="ANN392" s="119"/>
      <c r="ANO392" s="104"/>
      <c r="ANP392" s="455"/>
      <c r="ANQ392" s="104"/>
      <c r="ANR392" s="104"/>
      <c r="ANS392" s="109"/>
      <c r="ANT392" s="104"/>
      <c r="ANU392" s="104"/>
      <c r="ANV392" s="119"/>
      <c r="ANW392" s="104"/>
      <c r="ANX392" s="455"/>
      <c r="ANY392" s="104"/>
      <c r="ANZ392" s="104"/>
      <c r="AOA392" s="109"/>
      <c r="AOB392" s="104"/>
      <c r="AOC392" s="104"/>
      <c r="AOD392" s="119"/>
      <c r="AOE392" s="104"/>
      <c r="AOF392" s="455"/>
      <c r="AOG392" s="104"/>
      <c r="AOH392" s="104"/>
      <c r="AOI392" s="109"/>
      <c r="AOJ392" s="104"/>
      <c r="AOK392" s="104"/>
      <c r="AOL392" s="119"/>
      <c r="AOM392" s="104"/>
      <c r="AON392" s="455"/>
      <c r="AOO392" s="104"/>
      <c r="AOP392" s="104"/>
      <c r="AOQ392" s="109"/>
      <c r="AOR392" s="104"/>
      <c r="AOS392" s="104"/>
      <c r="AOT392" s="119"/>
      <c r="AOU392" s="104"/>
      <c r="AOV392" s="455"/>
      <c r="AOW392" s="104"/>
      <c r="AOX392" s="104"/>
      <c r="AOY392" s="109"/>
      <c r="AOZ392" s="104"/>
      <c r="APA392" s="104"/>
      <c r="APB392" s="119"/>
      <c r="APC392" s="104"/>
      <c r="APD392" s="455"/>
      <c r="APE392" s="104"/>
      <c r="APF392" s="104"/>
      <c r="APG392" s="109"/>
      <c r="APH392" s="104"/>
      <c r="API392" s="104"/>
      <c r="APJ392" s="119"/>
      <c r="APK392" s="104"/>
      <c r="APL392" s="455"/>
      <c r="APM392" s="104"/>
      <c r="APN392" s="104"/>
      <c r="APO392" s="109"/>
      <c r="APP392" s="104"/>
      <c r="APQ392" s="104"/>
      <c r="APR392" s="119"/>
      <c r="APS392" s="104"/>
      <c r="APT392" s="455"/>
      <c r="APU392" s="104"/>
      <c r="APV392" s="104"/>
      <c r="APW392" s="109"/>
      <c r="APX392" s="104"/>
      <c r="APY392" s="104"/>
      <c r="APZ392" s="119"/>
      <c r="AQA392" s="104"/>
      <c r="AQB392" s="455"/>
      <c r="AQC392" s="104"/>
      <c r="AQD392" s="104"/>
      <c r="AQE392" s="109"/>
      <c r="AQF392" s="104"/>
      <c r="AQG392" s="104"/>
      <c r="AQH392" s="119"/>
      <c r="AQI392" s="104"/>
      <c r="AQJ392" s="455"/>
      <c r="AQK392" s="104"/>
      <c r="AQL392" s="104"/>
      <c r="AQM392" s="109"/>
      <c r="AQN392" s="104"/>
      <c r="AQO392" s="104"/>
      <c r="AQP392" s="119"/>
      <c r="AQQ392" s="104"/>
      <c r="AQR392" s="455"/>
      <c r="AQS392" s="104"/>
      <c r="AQT392" s="104"/>
      <c r="AQU392" s="109"/>
      <c r="AQV392" s="104"/>
      <c r="AQW392" s="104"/>
      <c r="AQX392" s="119"/>
      <c r="AQY392" s="104"/>
      <c r="AQZ392" s="455"/>
      <c r="ARA392" s="104"/>
      <c r="ARB392" s="104"/>
      <c r="ARC392" s="109"/>
      <c r="ARD392" s="104"/>
      <c r="ARE392" s="104"/>
      <c r="ARF392" s="119"/>
      <c r="ARG392" s="104"/>
      <c r="ARH392" s="455"/>
      <c r="ARI392" s="104"/>
      <c r="ARJ392" s="104"/>
      <c r="ARK392" s="109"/>
      <c r="ARL392" s="104"/>
      <c r="ARM392" s="104"/>
      <c r="ARN392" s="119"/>
      <c r="ARO392" s="104"/>
      <c r="ARP392" s="455"/>
      <c r="ARQ392" s="104"/>
      <c r="ARR392" s="104"/>
      <c r="ARS392" s="109"/>
      <c r="ART392" s="104"/>
      <c r="ARU392" s="104"/>
      <c r="ARV392" s="119"/>
      <c r="ARW392" s="104"/>
      <c r="ARX392" s="455"/>
      <c r="ARY392" s="104"/>
      <c r="ARZ392" s="104"/>
      <c r="ASA392" s="109"/>
      <c r="ASB392" s="104"/>
      <c r="ASC392" s="104"/>
      <c r="ASD392" s="119"/>
      <c r="ASE392" s="104"/>
      <c r="ASF392" s="455"/>
      <c r="ASG392" s="104"/>
      <c r="ASH392" s="104"/>
      <c r="ASI392" s="109"/>
      <c r="ASJ392" s="104"/>
      <c r="ASK392" s="104"/>
      <c r="ASL392" s="119"/>
      <c r="ASM392" s="104"/>
      <c r="ASN392" s="455"/>
      <c r="ASO392" s="104"/>
      <c r="ASP392" s="104"/>
      <c r="ASQ392" s="109"/>
      <c r="ASR392" s="104"/>
      <c r="ASS392" s="104"/>
      <c r="AST392" s="119"/>
      <c r="ASU392" s="104"/>
      <c r="ASV392" s="455"/>
      <c r="ASW392" s="104"/>
      <c r="ASX392" s="104"/>
      <c r="ASY392" s="109"/>
      <c r="ASZ392" s="104"/>
      <c r="ATA392" s="104"/>
      <c r="ATB392" s="119"/>
      <c r="ATC392" s="104"/>
      <c r="ATD392" s="455"/>
      <c r="ATE392" s="104"/>
      <c r="ATF392" s="104"/>
      <c r="ATG392" s="109"/>
      <c r="ATH392" s="104"/>
      <c r="ATI392" s="104"/>
      <c r="ATJ392" s="119"/>
      <c r="ATK392" s="104"/>
      <c r="ATL392" s="455"/>
      <c r="ATM392" s="104"/>
      <c r="ATN392" s="104"/>
      <c r="ATO392" s="109"/>
      <c r="ATP392" s="104"/>
      <c r="ATQ392" s="104"/>
      <c r="ATR392" s="119"/>
      <c r="ATS392" s="104"/>
      <c r="ATT392" s="455"/>
      <c r="ATU392" s="104"/>
      <c r="ATV392" s="104"/>
      <c r="ATW392" s="109"/>
      <c r="ATX392" s="104"/>
      <c r="ATY392" s="104"/>
      <c r="ATZ392" s="119"/>
      <c r="AUA392" s="104"/>
      <c r="AUB392" s="455"/>
      <c r="AUC392" s="104"/>
      <c r="AUD392" s="104"/>
      <c r="AUE392" s="109"/>
      <c r="AUF392" s="104"/>
      <c r="AUG392" s="104"/>
      <c r="AUH392" s="119"/>
      <c r="AUI392" s="104"/>
      <c r="AUJ392" s="455"/>
      <c r="AUK392" s="104"/>
      <c r="AUL392" s="104"/>
      <c r="AUM392" s="109"/>
      <c r="AUN392" s="104"/>
      <c r="AUO392" s="104"/>
      <c r="AUP392" s="119"/>
      <c r="AUQ392" s="104"/>
      <c r="AUR392" s="455"/>
      <c r="AUS392" s="104"/>
      <c r="AUT392" s="104"/>
      <c r="AUU392" s="109"/>
      <c r="AUV392" s="104"/>
      <c r="AUW392" s="104"/>
      <c r="AUX392" s="119"/>
      <c r="AUY392" s="104"/>
      <c r="AUZ392" s="455"/>
      <c r="AVA392" s="104"/>
      <c r="AVB392" s="104"/>
      <c r="AVC392" s="109"/>
      <c r="AVD392" s="104"/>
      <c r="AVE392" s="104"/>
      <c r="AVF392" s="119"/>
      <c r="AVG392" s="104"/>
      <c r="AVH392" s="455"/>
      <c r="AVI392" s="104"/>
      <c r="AVJ392" s="104"/>
      <c r="AVK392" s="109"/>
      <c r="AVL392" s="104"/>
      <c r="AVM392" s="104"/>
      <c r="AVN392" s="119"/>
      <c r="AVO392" s="104"/>
      <c r="AVP392" s="455"/>
      <c r="AVQ392" s="104"/>
      <c r="AVR392" s="104"/>
      <c r="AVS392" s="109"/>
      <c r="AVT392" s="104"/>
      <c r="AVU392" s="104"/>
      <c r="AVV392" s="119"/>
      <c r="AVW392" s="104"/>
      <c r="AVX392" s="455"/>
      <c r="AVY392" s="104"/>
      <c r="AVZ392" s="104"/>
      <c r="AWA392" s="109"/>
      <c r="AWB392" s="104"/>
      <c r="AWC392" s="104"/>
      <c r="AWD392" s="119"/>
      <c r="AWE392" s="104"/>
      <c r="AWF392" s="455"/>
      <c r="AWG392" s="104"/>
      <c r="AWH392" s="104"/>
      <c r="AWI392" s="109"/>
      <c r="AWJ392" s="104"/>
      <c r="AWK392" s="104"/>
      <c r="AWL392" s="119"/>
      <c r="AWM392" s="104"/>
      <c r="AWN392" s="455"/>
      <c r="AWO392" s="104"/>
      <c r="AWP392" s="104"/>
      <c r="AWQ392" s="109"/>
      <c r="AWR392" s="104"/>
      <c r="AWS392" s="104"/>
      <c r="AWT392" s="119"/>
      <c r="AWU392" s="104"/>
      <c r="AWV392" s="455"/>
      <c r="AWW392" s="104"/>
      <c r="AWX392" s="104"/>
      <c r="AWY392" s="109"/>
      <c r="AWZ392" s="104"/>
      <c r="AXA392" s="104"/>
      <c r="AXB392" s="119"/>
      <c r="AXC392" s="104"/>
      <c r="AXD392" s="455"/>
      <c r="AXE392" s="104"/>
      <c r="AXF392" s="104"/>
      <c r="AXG392" s="109"/>
      <c r="AXH392" s="104"/>
      <c r="AXI392" s="104"/>
      <c r="AXJ392" s="119"/>
      <c r="AXK392" s="104"/>
      <c r="AXL392" s="455"/>
      <c r="AXM392" s="104"/>
      <c r="AXN392" s="104"/>
      <c r="AXO392" s="109"/>
      <c r="AXP392" s="104"/>
      <c r="AXQ392" s="104"/>
      <c r="AXR392" s="119"/>
      <c r="AXS392" s="104"/>
      <c r="AXT392" s="455"/>
      <c r="AXU392" s="104"/>
      <c r="AXV392" s="104"/>
      <c r="AXW392" s="109"/>
      <c r="AXX392" s="104"/>
      <c r="AXY392" s="104"/>
      <c r="AXZ392" s="119"/>
      <c r="AYA392" s="104"/>
      <c r="AYB392" s="455"/>
      <c r="AYC392" s="104"/>
      <c r="AYD392" s="104"/>
      <c r="AYE392" s="109"/>
      <c r="AYF392" s="104"/>
      <c r="AYG392" s="104"/>
      <c r="AYH392" s="119"/>
      <c r="AYI392" s="104"/>
      <c r="AYJ392" s="455"/>
      <c r="AYK392" s="104"/>
      <c r="AYL392" s="104"/>
      <c r="AYM392" s="109"/>
      <c r="AYN392" s="104"/>
      <c r="AYO392" s="104"/>
      <c r="AYP392" s="119"/>
      <c r="AYQ392" s="104"/>
      <c r="AYR392" s="455"/>
      <c r="AYS392" s="104"/>
      <c r="AYT392" s="104"/>
      <c r="AYU392" s="109"/>
      <c r="AYV392" s="104"/>
      <c r="AYW392" s="104"/>
      <c r="AYX392" s="119"/>
      <c r="AYY392" s="104"/>
      <c r="AYZ392" s="455"/>
      <c r="AZA392" s="104"/>
      <c r="AZB392" s="104"/>
      <c r="AZC392" s="109"/>
      <c r="AZD392" s="104"/>
      <c r="AZE392" s="104"/>
      <c r="AZF392" s="119"/>
      <c r="AZG392" s="104"/>
      <c r="AZH392" s="455"/>
      <c r="AZI392" s="104"/>
      <c r="AZJ392" s="104"/>
      <c r="AZK392" s="109"/>
      <c r="AZL392" s="104"/>
      <c r="AZM392" s="104"/>
      <c r="AZN392" s="119"/>
      <c r="AZO392" s="104"/>
      <c r="AZP392" s="455"/>
      <c r="AZQ392" s="104"/>
      <c r="AZR392" s="104"/>
      <c r="AZS392" s="109"/>
      <c r="AZT392" s="104"/>
      <c r="AZU392" s="104"/>
      <c r="AZV392" s="119"/>
      <c r="AZW392" s="104"/>
      <c r="AZX392" s="455"/>
      <c r="AZY392" s="104"/>
      <c r="AZZ392" s="104"/>
      <c r="BAA392" s="109"/>
      <c r="BAB392" s="104"/>
      <c r="BAC392" s="104"/>
      <c r="BAD392" s="119"/>
      <c r="BAE392" s="104"/>
      <c r="BAF392" s="455"/>
      <c r="BAG392" s="104"/>
      <c r="BAH392" s="104"/>
      <c r="BAI392" s="109"/>
      <c r="BAJ392" s="104"/>
      <c r="BAK392" s="104"/>
      <c r="BAL392" s="119"/>
      <c r="BAM392" s="104"/>
      <c r="BAN392" s="455"/>
      <c r="BAO392" s="104"/>
      <c r="BAP392" s="104"/>
      <c r="BAQ392" s="109"/>
      <c r="BAR392" s="104"/>
      <c r="BAS392" s="104"/>
      <c r="BAT392" s="119"/>
      <c r="BAU392" s="104"/>
      <c r="BAV392" s="455"/>
      <c r="BAW392" s="104"/>
      <c r="BAX392" s="104"/>
      <c r="BAY392" s="109"/>
      <c r="BAZ392" s="104"/>
      <c r="BBA392" s="104"/>
      <c r="BBB392" s="119"/>
      <c r="BBC392" s="104"/>
      <c r="BBD392" s="455"/>
      <c r="BBE392" s="104"/>
      <c r="BBF392" s="104"/>
      <c r="BBG392" s="109"/>
      <c r="BBH392" s="104"/>
      <c r="BBI392" s="104"/>
      <c r="BBJ392" s="119"/>
      <c r="BBK392" s="104"/>
      <c r="BBL392" s="455"/>
      <c r="BBM392" s="104"/>
      <c r="BBN392" s="104"/>
      <c r="BBO392" s="109"/>
      <c r="BBP392" s="104"/>
      <c r="BBQ392" s="104"/>
      <c r="BBR392" s="119"/>
      <c r="BBS392" s="104"/>
      <c r="BBT392" s="455"/>
      <c r="BBU392" s="104"/>
      <c r="BBV392" s="104"/>
      <c r="BBW392" s="109"/>
      <c r="BBX392" s="104"/>
      <c r="BBY392" s="104"/>
      <c r="BBZ392" s="119"/>
      <c r="BCA392" s="104"/>
      <c r="BCB392" s="455"/>
      <c r="BCC392" s="104"/>
      <c r="BCD392" s="104"/>
      <c r="BCE392" s="109"/>
      <c r="BCF392" s="104"/>
      <c r="BCG392" s="104"/>
      <c r="BCH392" s="119"/>
      <c r="BCI392" s="104"/>
      <c r="BCJ392" s="455"/>
      <c r="BCK392" s="104"/>
      <c r="BCL392" s="104"/>
      <c r="BCM392" s="109"/>
      <c r="BCN392" s="104"/>
      <c r="BCO392" s="104"/>
      <c r="BCP392" s="119"/>
      <c r="BCQ392" s="104"/>
      <c r="BCR392" s="455"/>
      <c r="BCS392" s="104"/>
      <c r="BCT392" s="104"/>
      <c r="BCU392" s="109"/>
      <c r="BCV392" s="104"/>
      <c r="BCW392" s="104"/>
      <c r="BCX392" s="119"/>
      <c r="BCY392" s="104"/>
      <c r="BCZ392" s="455"/>
      <c r="BDA392" s="104"/>
      <c r="BDB392" s="104"/>
      <c r="BDC392" s="109"/>
      <c r="BDD392" s="104"/>
      <c r="BDE392" s="104"/>
      <c r="BDF392" s="119"/>
      <c r="BDG392" s="104"/>
      <c r="BDH392" s="455"/>
      <c r="BDI392" s="104"/>
      <c r="BDJ392" s="104"/>
      <c r="BDK392" s="109"/>
      <c r="BDL392" s="104"/>
      <c r="BDM392" s="104"/>
      <c r="BDN392" s="119"/>
      <c r="BDO392" s="104"/>
      <c r="BDP392" s="455"/>
      <c r="BDQ392" s="104"/>
      <c r="BDR392" s="104"/>
      <c r="BDS392" s="109"/>
      <c r="BDT392" s="104"/>
      <c r="BDU392" s="104"/>
      <c r="BDV392" s="119"/>
      <c r="BDW392" s="104"/>
      <c r="BDX392" s="455"/>
      <c r="BDY392" s="104"/>
      <c r="BDZ392" s="104"/>
      <c r="BEA392" s="109"/>
      <c r="BEB392" s="104"/>
      <c r="BEC392" s="104"/>
      <c r="BED392" s="119"/>
      <c r="BEE392" s="104"/>
      <c r="BEF392" s="455"/>
      <c r="BEG392" s="104"/>
      <c r="BEH392" s="104"/>
      <c r="BEI392" s="109"/>
      <c r="BEJ392" s="104"/>
      <c r="BEK392" s="104"/>
      <c r="BEL392" s="119"/>
      <c r="BEM392" s="104"/>
      <c r="BEN392" s="455"/>
      <c r="BEO392" s="104"/>
      <c r="BEP392" s="104"/>
      <c r="BEQ392" s="109"/>
      <c r="BER392" s="104"/>
      <c r="BES392" s="104"/>
      <c r="BET392" s="119"/>
      <c r="BEU392" s="104"/>
      <c r="BEV392" s="455"/>
      <c r="BEW392" s="104"/>
      <c r="BEX392" s="104"/>
      <c r="BEY392" s="109"/>
      <c r="BEZ392" s="104"/>
      <c r="BFA392" s="104"/>
      <c r="BFB392" s="119"/>
      <c r="BFC392" s="104"/>
      <c r="BFD392" s="455"/>
      <c r="BFE392" s="104"/>
      <c r="BFF392" s="104"/>
      <c r="BFG392" s="109"/>
      <c r="BFH392" s="104"/>
      <c r="BFI392" s="104"/>
      <c r="BFJ392" s="119"/>
      <c r="BFK392" s="104"/>
      <c r="BFL392" s="455"/>
      <c r="BFM392" s="104"/>
      <c r="BFN392" s="104"/>
      <c r="BFO392" s="109"/>
      <c r="BFP392" s="104"/>
      <c r="BFQ392" s="104"/>
      <c r="BFR392" s="119"/>
      <c r="BFS392" s="104"/>
      <c r="BFT392" s="455"/>
      <c r="BFU392" s="104"/>
      <c r="BFV392" s="104"/>
      <c r="BFW392" s="109"/>
      <c r="BFX392" s="104"/>
      <c r="BFY392" s="104"/>
      <c r="BFZ392" s="119"/>
      <c r="BGA392" s="104"/>
      <c r="BGB392" s="455"/>
      <c r="BGC392" s="104"/>
      <c r="BGD392" s="104"/>
      <c r="BGE392" s="109"/>
      <c r="BGF392" s="104"/>
      <c r="BGG392" s="104"/>
      <c r="BGH392" s="119"/>
      <c r="BGI392" s="104"/>
      <c r="BGJ392" s="455"/>
      <c r="BGK392" s="104"/>
      <c r="BGL392" s="104"/>
      <c r="BGM392" s="109"/>
      <c r="BGN392" s="104"/>
      <c r="BGO392" s="104"/>
      <c r="BGP392" s="119"/>
      <c r="BGQ392" s="104"/>
      <c r="BGR392" s="455"/>
      <c r="BGS392" s="104"/>
      <c r="BGT392" s="104"/>
      <c r="BGU392" s="109"/>
      <c r="BGV392" s="104"/>
      <c r="BGW392" s="104"/>
      <c r="BGX392" s="119"/>
      <c r="BGY392" s="104"/>
      <c r="BGZ392" s="455"/>
      <c r="BHA392" s="104"/>
      <c r="BHB392" s="104"/>
      <c r="BHC392" s="109"/>
      <c r="BHD392" s="104"/>
      <c r="BHE392" s="104"/>
      <c r="BHF392" s="119"/>
      <c r="BHG392" s="104"/>
      <c r="BHH392" s="455"/>
      <c r="BHI392" s="104"/>
      <c r="BHJ392" s="104"/>
      <c r="BHK392" s="109"/>
      <c r="BHL392" s="104"/>
      <c r="BHM392" s="104"/>
      <c r="BHN392" s="119"/>
      <c r="BHO392" s="104"/>
      <c r="BHP392" s="455"/>
      <c r="BHQ392" s="104"/>
      <c r="BHR392" s="104"/>
      <c r="BHS392" s="109"/>
      <c r="BHT392" s="104"/>
      <c r="BHU392" s="104"/>
      <c r="BHV392" s="119"/>
      <c r="BHW392" s="104"/>
      <c r="BHX392" s="455"/>
      <c r="BHY392" s="104"/>
      <c r="BHZ392" s="104"/>
      <c r="BIA392" s="109"/>
      <c r="BIB392" s="104"/>
      <c r="BIC392" s="104"/>
      <c r="BID392" s="119"/>
      <c r="BIE392" s="104"/>
      <c r="BIF392" s="455"/>
      <c r="BIG392" s="104"/>
      <c r="BIH392" s="104"/>
      <c r="BII392" s="109"/>
      <c r="BIJ392" s="104"/>
      <c r="BIK392" s="104"/>
      <c r="BIL392" s="119"/>
      <c r="BIM392" s="104"/>
      <c r="BIN392" s="455"/>
      <c r="BIO392" s="104"/>
      <c r="BIP392" s="104"/>
      <c r="BIQ392" s="109"/>
      <c r="BIR392" s="104"/>
      <c r="BIS392" s="104"/>
      <c r="BIT392" s="119"/>
      <c r="BIU392" s="104"/>
      <c r="BIV392" s="455"/>
      <c r="BIW392" s="104"/>
      <c r="BIX392" s="104"/>
      <c r="BIY392" s="109"/>
      <c r="BIZ392" s="104"/>
      <c r="BJA392" s="104"/>
      <c r="BJB392" s="119"/>
      <c r="BJC392" s="104"/>
      <c r="BJD392" s="455"/>
      <c r="BJE392" s="104"/>
      <c r="BJF392" s="104"/>
      <c r="BJG392" s="109"/>
      <c r="BJH392" s="104"/>
      <c r="BJI392" s="104"/>
      <c r="BJJ392" s="119"/>
      <c r="BJK392" s="104"/>
      <c r="BJL392" s="455"/>
      <c r="BJM392" s="104"/>
      <c r="BJN392" s="104"/>
      <c r="BJO392" s="109"/>
      <c r="BJP392" s="104"/>
      <c r="BJQ392" s="104"/>
      <c r="BJR392" s="119"/>
      <c r="BJS392" s="104"/>
      <c r="BJT392" s="455"/>
      <c r="BJU392" s="104"/>
      <c r="BJV392" s="104"/>
      <c r="BJW392" s="109"/>
      <c r="BJX392" s="104"/>
      <c r="BJY392" s="104"/>
      <c r="BJZ392" s="119"/>
      <c r="BKA392" s="104"/>
      <c r="BKB392" s="455"/>
      <c r="BKC392" s="104"/>
      <c r="BKD392" s="104"/>
      <c r="BKE392" s="109"/>
      <c r="BKF392" s="104"/>
      <c r="BKG392" s="104"/>
      <c r="BKH392" s="119"/>
      <c r="BKI392" s="104"/>
      <c r="BKJ392" s="455"/>
      <c r="BKK392" s="104"/>
      <c r="BKL392" s="104"/>
      <c r="BKM392" s="109"/>
      <c r="BKN392" s="104"/>
      <c r="BKO392" s="104"/>
      <c r="BKP392" s="119"/>
      <c r="BKQ392" s="104"/>
      <c r="BKR392" s="455"/>
      <c r="BKS392" s="104"/>
      <c r="BKT392" s="104"/>
      <c r="BKU392" s="109"/>
      <c r="BKV392" s="104"/>
      <c r="BKW392" s="104"/>
      <c r="BKX392" s="119"/>
      <c r="BKY392" s="104"/>
      <c r="BKZ392" s="455"/>
      <c r="BLA392" s="104"/>
      <c r="BLB392" s="104"/>
      <c r="BLC392" s="109"/>
      <c r="BLD392" s="104"/>
      <c r="BLE392" s="104"/>
      <c r="BLF392" s="119"/>
      <c r="BLG392" s="104"/>
      <c r="BLH392" s="455"/>
      <c r="BLI392" s="104"/>
      <c r="BLJ392" s="104"/>
      <c r="BLK392" s="109"/>
      <c r="BLL392" s="104"/>
      <c r="BLM392" s="104"/>
      <c r="BLN392" s="119"/>
      <c r="BLO392" s="104"/>
      <c r="BLP392" s="455"/>
      <c r="BLQ392" s="104"/>
      <c r="BLR392" s="104"/>
      <c r="BLS392" s="109"/>
      <c r="BLT392" s="104"/>
      <c r="BLU392" s="104"/>
      <c r="BLV392" s="119"/>
      <c r="BLW392" s="104"/>
      <c r="BLX392" s="455"/>
      <c r="BLY392" s="104"/>
      <c r="BLZ392" s="104"/>
      <c r="BMA392" s="109"/>
      <c r="BMB392" s="104"/>
      <c r="BMC392" s="104"/>
      <c r="BMD392" s="119"/>
      <c r="BME392" s="104"/>
      <c r="BMF392" s="455"/>
      <c r="BMG392" s="104"/>
      <c r="BMH392" s="104"/>
      <c r="BMI392" s="109"/>
      <c r="BMJ392" s="104"/>
      <c r="BMK392" s="104"/>
      <c r="BML392" s="119"/>
      <c r="BMM392" s="104"/>
      <c r="BMN392" s="455"/>
      <c r="BMO392" s="104"/>
      <c r="BMP392" s="104"/>
      <c r="BMQ392" s="109"/>
      <c r="BMR392" s="104"/>
      <c r="BMS392" s="104"/>
      <c r="BMT392" s="119"/>
      <c r="BMU392" s="104"/>
      <c r="BMV392" s="455"/>
      <c r="BMW392" s="104"/>
      <c r="BMX392" s="104"/>
      <c r="BMY392" s="109"/>
      <c r="BMZ392" s="104"/>
      <c r="BNA392" s="104"/>
      <c r="BNB392" s="119"/>
      <c r="BNC392" s="104"/>
      <c r="BND392" s="455"/>
      <c r="BNE392" s="104"/>
      <c r="BNF392" s="104"/>
      <c r="BNG392" s="109"/>
      <c r="BNH392" s="104"/>
      <c r="BNI392" s="104"/>
      <c r="BNJ392" s="119"/>
      <c r="BNK392" s="104"/>
      <c r="BNL392" s="455"/>
      <c r="BNM392" s="104"/>
      <c r="BNN392" s="104"/>
      <c r="BNO392" s="109"/>
      <c r="BNP392" s="104"/>
      <c r="BNQ392" s="104"/>
      <c r="BNR392" s="119"/>
      <c r="BNS392" s="104"/>
      <c r="BNT392" s="455"/>
      <c r="BNU392" s="104"/>
      <c r="BNV392" s="104"/>
      <c r="BNW392" s="109"/>
      <c r="BNX392" s="104"/>
      <c r="BNY392" s="104"/>
      <c r="BNZ392" s="119"/>
      <c r="BOA392" s="104"/>
      <c r="BOB392" s="455"/>
      <c r="BOC392" s="104"/>
      <c r="BOD392" s="104"/>
      <c r="BOE392" s="109"/>
      <c r="BOF392" s="104"/>
      <c r="BOG392" s="104"/>
      <c r="BOH392" s="119"/>
      <c r="BOI392" s="104"/>
      <c r="BOJ392" s="455"/>
      <c r="BOK392" s="104"/>
      <c r="BOL392" s="104"/>
      <c r="BOM392" s="109"/>
      <c r="BON392" s="104"/>
      <c r="BOO392" s="104"/>
      <c r="BOP392" s="119"/>
      <c r="BOQ392" s="104"/>
      <c r="BOR392" s="455"/>
      <c r="BOS392" s="104"/>
      <c r="BOT392" s="104"/>
      <c r="BOU392" s="109"/>
      <c r="BOV392" s="104"/>
      <c r="BOW392" s="104"/>
      <c r="BOX392" s="119"/>
      <c r="BOY392" s="104"/>
      <c r="BOZ392" s="455"/>
      <c r="BPA392" s="104"/>
      <c r="BPB392" s="104"/>
      <c r="BPC392" s="109"/>
      <c r="BPD392" s="104"/>
      <c r="BPE392" s="104"/>
      <c r="BPF392" s="119"/>
      <c r="BPG392" s="104"/>
      <c r="BPH392" s="455"/>
      <c r="BPI392" s="104"/>
      <c r="BPJ392" s="104"/>
      <c r="BPK392" s="109"/>
      <c r="BPL392" s="104"/>
      <c r="BPM392" s="104"/>
      <c r="BPN392" s="119"/>
      <c r="BPO392" s="104"/>
      <c r="BPP392" s="455"/>
      <c r="BPQ392" s="104"/>
      <c r="BPR392" s="104"/>
      <c r="BPS392" s="109"/>
      <c r="BPT392" s="104"/>
      <c r="BPU392" s="104"/>
      <c r="BPV392" s="119"/>
      <c r="BPW392" s="104"/>
      <c r="BPX392" s="455"/>
      <c r="BPY392" s="104"/>
      <c r="BPZ392" s="104"/>
      <c r="BQA392" s="109"/>
      <c r="BQB392" s="104"/>
      <c r="BQC392" s="104"/>
      <c r="BQD392" s="119"/>
      <c r="BQE392" s="104"/>
      <c r="BQF392" s="455"/>
      <c r="BQG392" s="104"/>
      <c r="BQH392" s="104"/>
      <c r="BQI392" s="109"/>
      <c r="BQJ392" s="104"/>
      <c r="BQK392" s="104"/>
      <c r="BQL392" s="119"/>
      <c r="BQM392" s="104"/>
      <c r="BQN392" s="455"/>
      <c r="BQO392" s="104"/>
      <c r="BQP392" s="104"/>
      <c r="BQQ392" s="109"/>
      <c r="BQR392" s="104"/>
      <c r="BQS392" s="104"/>
      <c r="BQT392" s="119"/>
      <c r="BQU392" s="104"/>
      <c r="BQV392" s="455"/>
      <c r="BQW392" s="104"/>
      <c r="BQX392" s="104"/>
      <c r="BQY392" s="109"/>
      <c r="BQZ392" s="104"/>
      <c r="BRA392" s="104"/>
      <c r="BRB392" s="119"/>
      <c r="BRC392" s="104"/>
      <c r="BRD392" s="455"/>
      <c r="BRE392" s="104"/>
      <c r="BRF392" s="104"/>
      <c r="BRG392" s="109"/>
      <c r="BRH392" s="104"/>
      <c r="BRI392" s="104"/>
      <c r="BRJ392" s="119"/>
      <c r="BRK392" s="104"/>
      <c r="BRL392" s="455"/>
      <c r="BRM392" s="104"/>
      <c r="BRN392" s="104"/>
      <c r="BRO392" s="109"/>
      <c r="BRP392" s="104"/>
      <c r="BRQ392" s="104"/>
      <c r="BRR392" s="119"/>
      <c r="BRS392" s="104"/>
      <c r="BRT392" s="455"/>
      <c r="BRU392" s="104"/>
      <c r="BRV392" s="104"/>
      <c r="BRW392" s="109"/>
      <c r="BRX392" s="104"/>
      <c r="BRY392" s="104"/>
      <c r="BRZ392" s="119"/>
      <c r="BSA392" s="104"/>
      <c r="BSB392" s="455"/>
      <c r="BSC392" s="104"/>
      <c r="BSD392" s="104"/>
      <c r="BSE392" s="109"/>
      <c r="BSF392" s="104"/>
      <c r="BSG392" s="104"/>
      <c r="BSH392" s="119"/>
      <c r="BSI392" s="104"/>
      <c r="BSJ392" s="455"/>
      <c r="BSK392" s="104"/>
      <c r="BSL392" s="104"/>
      <c r="BSM392" s="109"/>
      <c r="BSN392" s="104"/>
      <c r="BSO392" s="104"/>
      <c r="BSP392" s="119"/>
      <c r="BSQ392" s="104"/>
      <c r="BSR392" s="455"/>
      <c r="BSS392" s="104"/>
      <c r="BST392" s="104"/>
      <c r="BSU392" s="109"/>
      <c r="BSV392" s="104"/>
      <c r="BSW392" s="104"/>
      <c r="BSX392" s="119"/>
      <c r="BSY392" s="104"/>
      <c r="BSZ392" s="455"/>
      <c r="BTA392" s="104"/>
      <c r="BTB392" s="104"/>
      <c r="BTC392" s="109"/>
      <c r="BTD392" s="104"/>
      <c r="BTE392" s="104"/>
      <c r="BTF392" s="119"/>
      <c r="BTG392" s="104"/>
      <c r="BTH392" s="455"/>
      <c r="BTI392" s="104"/>
      <c r="BTJ392" s="104"/>
      <c r="BTK392" s="109"/>
      <c r="BTL392" s="104"/>
      <c r="BTM392" s="104"/>
      <c r="BTN392" s="119"/>
      <c r="BTO392" s="104"/>
      <c r="BTP392" s="455"/>
      <c r="BTQ392" s="104"/>
      <c r="BTR392" s="104"/>
      <c r="BTS392" s="109"/>
      <c r="BTT392" s="104"/>
      <c r="BTU392" s="104"/>
      <c r="BTV392" s="119"/>
      <c r="BTW392" s="104"/>
      <c r="BTX392" s="455"/>
      <c r="BTY392" s="104"/>
      <c r="BTZ392" s="104"/>
      <c r="BUA392" s="109"/>
      <c r="BUB392" s="104"/>
      <c r="BUC392" s="104"/>
      <c r="BUD392" s="119"/>
      <c r="BUE392" s="104"/>
      <c r="BUF392" s="455"/>
      <c r="BUG392" s="104"/>
      <c r="BUH392" s="104"/>
      <c r="BUI392" s="109"/>
      <c r="BUJ392" s="104"/>
      <c r="BUK392" s="104"/>
      <c r="BUL392" s="119"/>
      <c r="BUM392" s="104"/>
      <c r="BUN392" s="455"/>
      <c r="BUO392" s="104"/>
      <c r="BUP392" s="104"/>
      <c r="BUQ392" s="109"/>
      <c r="BUR392" s="104"/>
      <c r="BUS392" s="104"/>
      <c r="BUT392" s="119"/>
      <c r="BUU392" s="104"/>
      <c r="BUV392" s="455"/>
      <c r="BUW392" s="104"/>
      <c r="BUX392" s="104"/>
      <c r="BUY392" s="109"/>
      <c r="BUZ392" s="104"/>
      <c r="BVA392" s="104"/>
      <c r="BVB392" s="119"/>
      <c r="BVC392" s="104"/>
      <c r="BVD392" s="455"/>
      <c r="BVE392" s="104"/>
      <c r="BVF392" s="104"/>
      <c r="BVG392" s="109"/>
      <c r="BVH392" s="104"/>
      <c r="BVI392" s="104"/>
      <c r="BVJ392" s="119"/>
      <c r="BVK392" s="104"/>
      <c r="BVL392" s="455"/>
      <c r="BVM392" s="104"/>
      <c r="BVN392" s="104"/>
      <c r="BVO392" s="109"/>
      <c r="BVP392" s="104"/>
      <c r="BVQ392" s="104"/>
      <c r="BVR392" s="119"/>
      <c r="BVS392" s="104"/>
      <c r="BVT392" s="455"/>
      <c r="BVU392" s="104"/>
      <c r="BVV392" s="104"/>
      <c r="BVW392" s="109"/>
      <c r="BVX392" s="104"/>
      <c r="BVY392" s="104"/>
      <c r="BVZ392" s="119"/>
      <c r="BWA392" s="104"/>
      <c r="BWB392" s="455"/>
      <c r="BWC392" s="104"/>
      <c r="BWD392" s="104"/>
      <c r="BWE392" s="109"/>
      <c r="BWF392" s="104"/>
      <c r="BWG392" s="104"/>
      <c r="BWH392" s="119"/>
      <c r="BWI392" s="104"/>
      <c r="BWJ392" s="455"/>
      <c r="BWK392" s="104"/>
      <c r="BWL392" s="104"/>
      <c r="BWM392" s="109"/>
      <c r="BWN392" s="104"/>
      <c r="BWO392" s="104"/>
      <c r="BWP392" s="119"/>
      <c r="BWQ392" s="104"/>
      <c r="BWR392" s="455"/>
      <c r="BWS392" s="104"/>
      <c r="BWT392" s="104"/>
      <c r="BWU392" s="109"/>
      <c r="BWV392" s="104"/>
      <c r="BWW392" s="104"/>
      <c r="BWX392" s="119"/>
      <c r="BWY392" s="104"/>
      <c r="BWZ392" s="455"/>
      <c r="BXA392" s="104"/>
      <c r="BXB392" s="104"/>
      <c r="BXC392" s="109"/>
      <c r="BXD392" s="104"/>
      <c r="BXE392" s="104"/>
      <c r="BXF392" s="119"/>
      <c r="BXG392" s="104"/>
      <c r="BXH392" s="455"/>
      <c r="BXI392" s="104"/>
      <c r="BXJ392" s="104"/>
      <c r="BXK392" s="109"/>
      <c r="BXL392" s="104"/>
      <c r="BXM392" s="104"/>
      <c r="BXN392" s="119"/>
      <c r="BXO392" s="104"/>
      <c r="BXP392" s="455"/>
      <c r="BXQ392" s="104"/>
      <c r="BXR392" s="104"/>
      <c r="BXS392" s="109"/>
      <c r="BXT392" s="104"/>
      <c r="BXU392" s="104"/>
      <c r="BXV392" s="119"/>
      <c r="BXW392" s="104"/>
      <c r="BXX392" s="455"/>
      <c r="BXY392" s="104"/>
      <c r="BXZ392" s="104"/>
      <c r="BYA392" s="109"/>
      <c r="BYB392" s="104"/>
      <c r="BYC392" s="104"/>
      <c r="BYD392" s="119"/>
      <c r="BYE392" s="104"/>
      <c r="BYF392" s="455"/>
      <c r="BYG392" s="104"/>
      <c r="BYH392" s="104"/>
      <c r="BYI392" s="109"/>
      <c r="BYJ392" s="104"/>
      <c r="BYK392" s="104"/>
      <c r="BYL392" s="119"/>
      <c r="BYM392" s="104"/>
      <c r="BYN392" s="455"/>
      <c r="BYO392" s="104"/>
      <c r="BYP392" s="104"/>
      <c r="BYQ392" s="109"/>
      <c r="BYR392" s="104"/>
      <c r="BYS392" s="104"/>
      <c r="BYT392" s="119"/>
      <c r="BYU392" s="104"/>
      <c r="BYV392" s="455"/>
      <c r="BYW392" s="104"/>
      <c r="BYX392" s="104"/>
      <c r="BYY392" s="109"/>
      <c r="BYZ392" s="104"/>
      <c r="BZA392" s="104"/>
      <c r="BZB392" s="119"/>
      <c r="BZC392" s="104"/>
      <c r="BZD392" s="455"/>
      <c r="BZE392" s="104"/>
      <c r="BZF392" s="104"/>
      <c r="BZG392" s="109"/>
      <c r="BZH392" s="104"/>
      <c r="BZI392" s="104"/>
      <c r="BZJ392" s="119"/>
      <c r="BZK392" s="104"/>
      <c r="BZL392" s="455"/>
      <c r="BZM392" s="104"/>
      <c r="BZN392" s="104"/>
      <c r="BZO392" s="109"/>
      <c r="BZP392" s="104"/>
      <c r="BZQ392" s="104"/>
      <c r="BZR392" s="119"/>
      <c r="BZS392" s="104"/>
      <c r="BZT392" s="455"/>
      <c r="BZU392" s="104"/>
      <c r="BZV392" s="104"/>
      <c r="BZW392" s="109"/>
      <c r="BZX392" s="104"/>
      <c r="BZY392" s="104"/>
      <c r="BZZ392" s="119"/>
      <c r="CAA392" s="104"/>
      <c r="CAB392" s="455"/>
      <c r="CAC392" s="104"/>
      <c r="CAD392" s="104"/>
      <c r="CAE392" s="109"/>
      <c r="CAF392" s="104"/>
      <c r="CAG392" s="104"/>
      <c r="CAH392" s="119"/>
      <c r="CAI392" s="104"/>
      <c r="CAJ392" s="455"/>
      <c r="CAK392" s="104"/>
      <c r="CAL392" s="104"/>
      <c r="CAM392" s="109"/>
      <c r="CAN392" s="104"/>
      <c r="CAO392" s="104"/>
      <c r="CAP392" s="119"/>
      <c r="CAQ392" s="104"/>
      <c r="CAR392" s="455"/>
      <c r="CAS392" s="104"/>
      <c r="CAT392" s="104"/>
      <c r="CAU392" s="109"/>
      <c r="CAV392" s="104"/>
      <c r="CAW392" s="104"/>
      <c r="CAX392" s="119"/>
      <c r="CAY392" s="104"/>
      <c r="CAZ392" s="455"/>
      <c r="CBA392" s="104"/>
      <c r="CBB392" s="104"/>
      <c r="CBC392" s="109"/>
      <c r="CBD392" s="104"/>
      <c r="CBE392" s="104"/>
      <c r="CBF392" s="119"/>
      <c r="CBG392" s="104"/>
      <c r="CBH392" s="455"/>
      <c r="CBI392" s="104"/>
      <c r="CBJ392" s="104"/>
      <c r="CBK392" s="109"/>
      <c r="CBL392" s="104"/>
      <c r="CBM392" s="104"/>
      <c r="CBN392" s="119"/>
      <c r="CBO392" s="104"/>
      <c r="CBP392" s="455"/>
      <c r="CBQ392" s="104"/>
      <c r="CBR392" s="104"/>
      <c r="CBS392" s="109"/>
      <c r="CBT392" s="104"/>
      <c r="CBU392" s="104"/>
      <c r="CBV392" s="119"/>
      <c r="CBW392" s="104"/>
      <c r="CBX392" s="455"/>
      <c r="CBY392" s="104"/>
      <c r="CBZ392" s="104"/>
      <c r="CCA392" s="109"/>
      <c r="CCB392" s="104"/>
      <c r="CCC392" s="104"/>
      <c r="CCD392" s="119"/>
      <c r="CCE392" s="104"/>
      <c r="CCF392" s="455"/>
      <c r="CCG392" s="104"/>
      <c r="CCH392" s="104"/>
      <c r="CCI392" s="109"/>
      <c r="CCJ392" s="104"/>
      <c r="CCK392" s="104"/>
      <c r="CCL392" s="119"/>
      <c r="CCM392" s="104"/>
      <c r="CCN392" s="455"/>
      <c r="CCO392" s="104"/>
      <c r="CCP392" s="104"/>
      <c r="CCQ392" s="109"/>
      <c r="CCR392" s="104"/>
      <c r="CCS392" s="104"/>
      <c r="CCT392" s="119"/>
      <c r="CCU392" s="104"/>
      <c r="CCV392" s="455"/>
      <c r="CCW392" s="104"/>
      <c r="CCX392" s="104"/>
      <c r="CCY392" s="109"/>
      <c r="CCZ392" s="104"/>
      <c r="CDA392" s="104"/>
      <c r="CDB392" s="119"/>
      <c r="CDC392" s="104"/>
      <c r="CDD392" s="455"/>
      <c r="CDE392" s="104"/>
      <c r="CDF392" s="104"/>
      <c r="CDG392" s="109"/>
      <c r="CDH392" s="104"/>
      <c r="CDI392" s="104"/>
      <c r="CDJ392" s="119"/>
      <c r="CDK392" s="104"/>
      <c r="CDL392" s="455"/>
      <c r="CDM392" s="104"/>
      <c r="CDN392" s="104"/>
      <c r="CDO392" s="109"/>
      <c r="CDP392" s="104"/>
      <c r="CDQ392" s="104"/>
      <c r="CDR392" s="119"/>
      <c r="CDS392" s="104"/>
      <c r="CDT392" s="455"/>
      <c r="CDU392" s="104"/>
      <c r="CDV392" s="104"/>
      <c r="CDW392" s="109"/>
      <c r="CDX392" s="104"/>
      <c r="CDY392" s="104"/>
      <c r="CDZ392" s="119"/>
      <c r="CEA392" s="104"/>
      <c r="CEB392" s="455"/>
      <c r="CEC392" s="104"/>
      <c r="CED392" s="104"/>
      <c r="CEE392" s="109"/>
      <c r="CEF392" s="104"/>
      <c r="CEG392" s="104"/>
      <c r="CEH392" s="119"/>
      <c r="CEI392" s="104"/>
      <c r="CEJ392" s="455"/>
      <c r="CEK392" s="104"/>
      <c r="CEL392" s="104"/>
      <c r="CEM392" s="109"/>
      <c r="CEN392" s="104"/>
      <c r="CEO392" s="104"/>
      <c r="CEP392" s="119"/>
      <c r="CEQ392" s="104"/>
      <c r="CER392" s="455"/>
      <c r="CES392" s="104"/>
      <c r="CET392" s="104"/>
      <c r="CEU392" s="109"/>
      <c r="CEV392" s="104"/>
      <c r="CEW392" s="104"/>
      <c r="CEX392" s="119"/>
      <c r="CEY392" s="104"/>
      <c r="CEZ392" s="455"/>
      <c r="CFA392" s="104"/>
      <c r="CFB392" s="104"/>
      <c r="CFC392" s="109"/>
      <c r="CFD392" s="104"/>
      <c r="CFE392" s="104"/>
      <c r="CFF392" s="119"/>
      <c r="CFG392" s="104"/>
      <c r="CFH392" s="455"/>
      <c r="CFI392" s="104"/>
      <c r="CFJ392" s="104"/>
      <c r="CFK392" s="109"/>
      <c r="CFL392" s="104"/>
      <c r="CFM392" s="104"/>
      <c r="CFN392" s="119"/>
      <c r="CFO392" s="104"/>
      <c r="CFP392" s="455"/>
      <c r="CFQ392" s="104"/>
      <c r="CFR392" s="104"/>
      <c r="CFS392" s="109"/>
      <c r="CFT392" s="104"/>
      <c r="CFU392" s="104"/>
      <c r="CFV392" s="119"/>
      <c r="CFW392" s="104"/>
      <c r="CFX392" s="455"/>
      <c r="CFY392" s="104"/>
      <c r="CFZ392" s="104"/>
      <c r="CGA392" s="109"/>
      <c r="CGB392" s="104"/>
      <c r="CGC392" s="104"/>
      <c r="CGD392" s="119"/>
      <c r="CGE392" s="104"/>
      <c r="CGF392" s="455"/>
      <c r="CGG392" s="104"/>
      <c r="CGH392" s="104"/>
      <c r="CGI392" s="109"/>
      <c r="CGJ392" s="104"/>
      <c r="CGK392" s="104"/>
      <c r="CGL392" s="119"/>
      <c r="CGM392" s="104"/>
      <c r="CGN392" s="455"/>
      <c r="CGO392" s="104"/>
      <c r="CGP392" s="104"/>
      <c r="CGQ392" s="109"/>
      <c r="CGR392" s="104"/>
      <c r="CGS392" s="104"/>
      <c r="CGT392" s="119"/>
      <c r="CGU392" s="104"/>
      <c r="CGV392" s="455"/>
      <c r="CGW392" s="104"/>
      <c r="CGX392" s="104"/>
      <c r="CGY392" s="109"/>
      <c r="CGZ392" s="104"/>
      <c r="CHA392" s="104"/>
      <c r="CHB392" s="119"/>
      <c r="CHC392" s="104"/>
      <c r="CHD392" s="455"/>
      <c r="CHE392" s="104"/>
      <c r="CHF392" s="104"/>
      <c r="CHG392" s="109"/>
      <c r="CHH392" s="104"/>
      <c r="CHI392" s="104"/>
      <c r="CHJ392" s="119"/>
      <c r="CHK392" s="104"/>
      <c r="CHL392" s="455"/>
      <c r="CHM392" s="104"/>
      <c r="CHN392" s="104"/>
      <c r="CHO392" s="109"/>
      <c r="CHP392" s="104"/>
      <c r="CHQ392" s="104"/>
      <c r="CHR392" s="119"/>
      <c r="CHS392" s="104"/>
      <c r="CHT392" s="455"/>
      <c r="CHU392" s="104"/>
      <c r="CHV392" s="104"/>
      <c r="CHW392" s="109"/>
      <c r="CHX392" s="104"/>
      <c r="CHY392" s="104"/>
      <c r="CHZ392" s="119"/>
      <c r="CIA392" s="104"/>
      <c r="CIB392" s="455"/>
      <c r="CIC392" s="104"/>
      <c r="CID392" s="104"/>
      <c r="CIE392" s="109"/>
      <c r="CIF392" s="104"/>
      <c r="CIG392" s="104"/>
      <c r="CIH392" s="119"/>
      <c r="CII392" s="104"/>
      <c r="CIJ392" s="455"/>
      <c r="CIK392" s="104"/>
      <c r="CIL392" s="104"/>
      <c r="CIM392" s="109"/>
      <c r="CIN392" s="104"/>
      <c r="CIO392" s="104"/>
      <c r="CIP392" s="119"/>
      <c r="CIQ392" s="104"/>
      <c r="CIR392" s="455"/>
      <c r="CIS392" s="104"/>
      <c r="CIT392" s="104"/>
      <c r="CIU392" s="109"/>
      <c r="CIV392" s="104"/>
      <c r="CIW392" s="104"/>
      <c r="CIX392" s="119"/>
      <c r="CIY392" s="104"/>
      <c r="CIZ392" s="455"/>
      <c r="CJA392" s="104"/>
      <c r="CJB392" s="104"/>
      <c r="CJC392" s="109"/>
      <c r="CJD392" s="104"/>
      <c r="CJE392" s="104"/>
      <c r="CJF392" s="119"/>
      <c r="CJG392" s="104"/>
      <c r="CJH392" s="455"/>
      <c r="CJI392" s="104"/>
      <c r="CJJ392" s="104"/>
      <c r="CJK392" s="109"/>
      <c r="CJL392" s="104"/>
      <c r="CJM392" s="104"/>
      <c r="CJN392" s="119"/>
      <c r="CJO392" s="104"/>
      <c r="CJP392" s="455"/>
      <c r="CJQ392" s="104"/>
      <c r="CJR392" s="104"/>
      <c r="CJS392" s="109"/>
      <c r="CJT392" s="104"/>
      <c r="CJU392" s="104"/>
      <c r="CJV392" s="119"/>
      <c r="CJW392" s="104"/>
      <c r="CJX392" s="455"/>
      <c r="CJY392" s="104"/>
      <c r="CJZ392" s="104"/>
      <c r="CKA392" s="109"/>
      <c r="CKB392" s="104"/>
      <c r="CKC392" s="104"/>
      <c r="CKD392" s="119"/>
      <c r="CKE392" s="104"/>
      <c r="CKF392" s="455"/>
      <c r="CKG392" s="104"/>
      <c r="CKH392" s="104"/>
      <c r="CKI392" s="109"/>
      <c r="CKJ392" s="104"/>
      <c r="CKK392" s="104"/>
      <c r="CKL392" s="119"/>
      <c r="CKM392" s="104"/>
      <c r="CKN392" s="455"/>
      <c r="CKO392" s="104"/>
      <c r="CKP392" s="104"/>
      <c r="CKQ392" s="109"/>
      <c r="CKR392" s="104"/>
      <c r="CKS392" s="104"/>
      <c r="CKT392" s="119"/>
      <c r="CKU392" s="104"/>
      <c r="CKV392" s="455"/>
      <c r="CKW392" s="104"/>
      <c r="CKX392" s="104"/>
      <c r="CKY392" s="109"/>
      <c r="CKZ392" s="104"/>
      <c r="CLA392" s="104"/>
      <c r="CLB392" s="119"/>
      <c r="CLC392" s="104"/>
      <c r="CLD392" s="455"/>
      <c r="CLE392" s="104"/>
      <c r="CLF392" s="104"/>
      <c r="CLG392" s="109"/>
      <c r="CLH392" s="104"/>
      <c r="CLI392" s="104"/>
      <c r="CLJ392" s="119"/>
      <c r="CLK392" s="104"/>
      <c r="CLL392" s="455"/>
      <c r="CLM392" s="104"/>
      <c r="CLN392" s="104"/>
      <c r="CLO392" s="109"/>
      <c r="CLP392" s="104"/>
      <c r="CLQ392" s="104"/>
      <c r="CLR392" s="119"/>
      <c r="CLS392" s="104"/>
      <c r="CLT392" s="455"/>
      <c r="CLU392" s="104"/>
      <c r="CLV392" s="104"/>
      <c r="CLW392" s="109"/>
      <c r="CLX392" s="104"/>
      <c r="CLY392" s="104"/>
      <c r="CLZ392" s="119"/>
      <c r="CMA392" s="104"/>
      <c r="CMB392" s="455"/>
      <c r="CMC392" s="104"/>
      <c r="CMD392" s="104"/>
      <c r="CME392" s="109"/>
      <c r="CMF392" s="104"/>
      <c r="CMG392" s="104"/>
      <c r="CMH392" s="119"/>
      <c r="CMI392" s="104"/>
      <c r="CMJ392" s="455"/>
      <c r="CMK392" s="104"/>
      <c r="CML392" s="104"/>
      <c r="CMM392" s="109"/>
      <c r="CMN392" s="104"/>
      <c r="CMO392" s="104"/>
      <c r="CMP392" s="119"/>
      <c r="CMQ392" s="104"/>
      <c r="CMR392" s="455"/>
      <c r="CMS392" s="104"/>
      <c r="CMT392" s="104"/>
      <c r="CMU392" s="109"/>
      <c r="CMV392" s="104"/>
      <c r="CMW392" s="104"/>
      <c r="CMX392" s="119"/>
      <c r="CMY392" s="104"/>
      <c r="CMZ392" s="455"/>
      <c r="CNA392" s="104"/>
      <c r="CNB392" s="104"/>
      <c r="CNC392" s="109"/>
      <c r="CND392" s="104"/>
      <c r="CNE392" s="104"/>
      <c r="CNF392" s="119"/>
      <c r="CNG392" s="104"/>
      <c r="CNH392" s="455"/>
      <c r="CNI392" s="104"/>
      <c r="CNJ392" s="104"/>
      <c r="CNK392" s="109"/>
      <c r="CNL392" s="104"/>
      <c r="CNM392" s="104"/>
      <c r="CNN392" s="119"/>
      <c r="CNO392" s="104"/>
      <c r="CNP392" s="455"/>
      <c r="CNQ392" s="104"/>
      <c r="CNR392" s="104"/>
      <c r="CNS392" s="109"/>
      <c r="CNT392" s="104"/>
      <c r="CNU392" s="104"/>
      <c r="CNV392" s="119"/>
      <c r="CNW392" s="104"/>
      <c r="CNX392" s="455"/>
      <c r="CNY392" s="104"/>
      <c r="CNZ392" s="104"/>
      <c r="COA392" s="109"/>
      <c r="COB392" s="104"/>
      <c r="COC392" s="104"/>
      <c r="COD392" s="119"/>
      <c r="COE392" s="104"/>
      <c r="COF392" s="455"/>
      <c r="COG392" s="104"/>
      <c r="COH392" s="104"/>
      <c r="COI392" s="109"/>
      <c r="COJ392" s="104"/>
      <c r="COK392" s="104"/>
      <c r="COL392" s="119"/>
      <c r="COM392" s="104"/>
      <c r="CON392" s="455"/>
      <c r="COO392" s="104"/>
      <c r="COP392" s="104"/>
      <c r="COQ392" s="109"/>
      <c r="COR392" s="104"/>
      <c r="COS392" s="104"/>
      <c r="COT392" s="119"/>
      <c r="COU392" s="104"/>
      <c r="COV392" s="455"/>
      <c r="COW392" s="104"/>
      <c r="COX392" s="104"/>
      <c r="COY392" s="109"/>
      <c r="COZ392" s="104"/>
      <c r="CPA392" s="104"/>
      <c r="CPB392" s="119"/>
      <c r="CPC392" s="104"/>
      <c r="CPD392" s="455"/>
      <c r="CPE392" s="104"/>
      <c r="CPF392" s="104"/>
      <c r="CPG392" s="109"/>
      <c r="CPH392" s="104"/>
      <c r="CPI392" s="104"/>
      <c r="CPJ392" s="119"/>
      <c r="CPK392" s="104"/>
      <c r="CPL392" s="455"/>
      <c r="CPM392" s="104"/>
      <c r="CPN392" s="104"/>
      <c r="CPO392" s="109"/>
      <c r="CPP392" s="104"/>
      <c r="CPQ392" s="104"/>
      <c r="CPR392" s="119"/>
      <c r="CPS392" s="104"/>
      <c r="CPT392" s="455"/>
      <c r="CPU392" s="104"/>
      <c r="CPV392" s="104"/>
      <c r="CPW392" s="109"/>
      <c r="CPX392" s="104"/>
      <c r="CPY392" s="104"/>
      <c r="CPZ392" s="119"/>
      <c r="CQA392" s="104"/>
      <c r="CQB392" s="455"/>
      <c r="CQC392" s="104"/>
      <c r="CQD392" s="104"/>
      <c r="CQE392" s="109"/>
      <c r="CQF392" s="104"/>
      <c r="CQG392" s="104"/>
      <c r="CQH392" s="119"/>
      <c r="CQI392" s="104"/>
      <c r="CQJ392" s="455"/>
      <c r="CQK392" s="104"/>
      <c r="CQL392" s="104"/>
      <c r="CQM392" s="109"/>
      <c r="CQN392" s="104"/>
      <c r="CQO392" s="104"/>
      <c r="CQP392" s="119"/>
      <c r="CQQ392" s="104"/>
      <c r="CQR392" s="455"/>
      <c r="CQS392" s="104"/>
      <c r="CQT392" s="104"/>
      <c r="CQU392" s="109"/>
      <c r="CQV392" s="104"/>
      <c r="CQW392" s="104"/>
      <c r="CQX392" s="119"/>
      <c r="CQY392" s="104"/>
      <c r="CQZ392" s="455"/>
      <c r="CRA392" s="104"/>
      <c r="CRB392" s="104"/>
      <c r="CRC392" s="109"/>
      <c r="CRD392" s="104"/>
      <c r="CRE392" s="104"/>
      <c r="CRF392" s="119"/>
      <c r="CRG392" s="104"/>
      <c r="CRH392" s="455"/>
      <c r="CRI392" s="104"/>
      <c r="CRJ392" s="104"/>
      <c r="CRK392" s="109"/>
      <c r="CRL392" s="104"/>
      <c r="CRM392" s="104"/>
      <c r="CRN392" s="119"/>
      <c r="CRO392" s="104"/>
      <c r="CRP392" s="455"/>
      <c r="CRQ392" s="104"/>
      <c r="CRR392" s="104"/>
      <c r="CRS392" s="109"/>
      <c r="CRT392" s="104"/>
      <c r="CRU392" s="104"/>
      <c r="CRV392" s="119"/>
      <c r="CRW392" s="104"/>
      <c r="CRX392" s="455"/>
      <c r="CRY392" s="104"/>
      <c r="CRZ392" s="104"/>
      <c r="CSA392" s="109"/>
      <c r="CSB392" s="104"/>
      <c r="CSC392" s="104"/>
      <c r="CSD392" s="119"/>
      <c r="CSE392" s="104"/>
      <c r="CSF392" s="455"/>
      <c r="CSG392" s="104"/>
      <c r="CSH392" s="104"/>
      <c r="CSI392" s="109"/>
      <c r="CSJ392" s="104"/>
      <c r="CSK392" s="104"/>
      <c r="CSL392" s="119"/>
      <c r="CSM392" s="104"/>
      <c r="CSN392" s="455"/>
      <c r="CSO392" s="104"/>
      <c r="CSP392" s="104"/>
      <c r="CSQ392" s="109"/>
      <c r="CSR392" s="104"/>
      <c r="CSS392" s="104"/>
      <c r="CST392" s="119"/>
      <c r="CSU392" s="104"/>
      <c r="CSV392" s="455"/>
      <c r="CSW392" s="104"/>
      <c r="CSX392" s="104"/>
      <c r="CSY392" s="109"/>
      <c r="CSZ392" s="104"/>
      <c r="CTA392" s="104"/>
      <c r="CTB392" s="119"/>
      <c r="CTC392" s="104"/>
      <c r="CTD392" s="455"/>
      <c r="CTE392" s="104"/>
      <c r="CTF392" s="104"/>
      <c r="CTG392" s="109"/>
      <c r="CTH392" s="104"/>
      <c r="CTI392" s="104"/>
      <c r="CTJ392" s="119"/>
      <c r="CTK392" s="104"/>
      <c r="CTL392" s="455"/>
      <c r="CTM392" s="104"/>
      <c r="CTN392" s="104"/>
      <c r="CTO392" s="109"/>
      <c r="CTP392" s="104"/>
      <c r="CTQ392" s="104"/>
      <c r="CTR392" s="119"/>
      <c r="CTS392" s="104"/>
      <c r="CTT392" s="455"/>
      <c r="CTU392" s="104"/>
      <c r="CTV392" s="104"/>
      <c r="CTW392" s="109"/>
      <c r="CTX392" s="104"/>
      <c r="CTY392" s="104"/>
      <c r="CTZ392" s="119"/>
      <c r="CUA392" s="104"/>
      <c r="CUB392" s="455"/>
      <c r="CUC392" s="104"/>
      <c r="CUD392" s="104"/>
      <c r="CUE392" s="109"/>
      <c r="CUF392" s="104"/>
      <c r="CUG392" s="104"/>
      <c r="CUH392" s="119"/>
      <c r="CUI392" s="104"/>
      <c r="CUJ392" s="455"/>
      <c r="CUK392" s="104"/>
      <c r="CUL392" s="104"/>
      <c r="CUM392" s="109"/>
      <c r="CUN392" s="104"/>
      <c r="CUO392" s="104"/>
      <c r="CUP392" s="119"/>
      <c r="CUQ392" s="104"/>
      <c r="CUR392" s="455"/>
      <c r="CUS392" s="104"/>
      <c r="CUT392" s="104"/>
      <c r="CUU392" s="109"/>
      <c r="CUV392" s="104"/>
      <c r="CUW392" s="104"/>
      <c r="CUX392" s="119"/>
      <c r="CUY392" s="104"/>
      <c r="CUZ392" s="455"/>
      <c r="CVA392" s="104"/>
      <c r="CVB392" s="104"/>
      <c r="CVC392" s="109"/>
      <c r="CVD392" s="104"/>
      <c r="CVE392" s="104"/>
      <c r="CVF392" s="119"/>
      <c r="CVG392" s="104"/>
      <c r="CVH392" s="455"/>
      <c r="CVI392" s="104"/>
      <c r="CVJ392" s="104"/>
      <c r="CVK392" s="109"/>
      <c r="CVL392" s="104"/>
      <c r="CVM392" s="104"/>
      <c r="CVN392" s="119"/>
      <c r="CVO392" s="104"/>
      <c r="CVP392" s="455"/>
      <c r="CVQ392" s="104"/>
      <c r="CVR392" s="104"/>
      <c r="CVS392" s="109"/>
      <c r="CVT392" s="104"/>
      <c r="CVU392" s="104"/>
      <c r="CVV392" s="119"/>
      <c r="CVW392" s="104"/>
      <c r="CVX392" s="455"/>
      <c r="CVY392" s="104"/>
      <c r="CVZ392" s="104"/>
      <c r="CWA392" s="109"/>
      <c r="CWB392" s="104"/>
      <c r="CWC392" s="104"/>
      <c r="CWD392" s="119"/>
      <c r="CWE392" s="104"/>
      <c r="CWF392" s="455"/>
      <c r="CWG392" s="104"/>
      <c r="CWH392" s="104"/>
      <c r="CWI392" s="109"/>
      <c r="CWJ392" s="104"/>
      <c r="CWK392" s="104"/>
      <c r="CWL392" s="119"/>
      <c r="CWM392" s="104"/>
      <c r="CWN392" s="455"/>
      <c r="CWO392" s="104"/>
      <c r="CWP392" s="104"/>
      <c r="CWQ392" s="109"/>
      <c r="CWR392" s="104"/>
      <c r="CWS392" s="104"/>
      <c r="CWT392" s="119"/>
      <c r="CWU392" s="104"/>
      <c r="CWV392" s="455"/>
      <c r="CWW392" s="104"/>
      <c r="CWX392" s="104"/>
      <c r="CWY392" s="109"/>
      <c r="CWZ392" s="104"/>
      <c r="CXA392" s="104"/>
      <c r="CXB392" s="119"/>
      <c r="CXC392" s="104"/>
      <c r="CXD392" s="455"/>
      <c r="CXE392" s="104"/>
      <c r="CXF392" s="104"/>
      <c r="CXG392" s="109"/>
      <c r="CXH392" s="104"/>
      <c r="CXI392" s="104"/>
      <c r="CXJ392" s="119"/>
      <c r="CXK392" s="104"/>
      <c r="CXL392" s="455"/>
      <c r="CXM392" s="104"/>
      <c r="CXN392" s="104"/>
      <c r="CXO392" s="109"/>
      <c r="CXP392" s="104"/>
      <c r="CXQ392" s="104"/>
      <c r="CXR392" s="119"/>
      <c r="CXS392" s="104"/>
      <c r="CXT392" s="455"/>
      <c r="CXU392" s="104"/>
      <c r="CXV392" s="104"/>
      <c r="CXW392" s="109"/>
      <c r="CXX392" s="104"/>
      <c r="CXY392" s="104"/>
      <c r="CXZ392" s="119"/>
      <c r="CYA392" s="104"/>
      <c r="CYB392" s="455"/>
      <c r="CYC392" s="104"/>
      <c r="CYD392" s="104"/>
      <c r="CYE392" s="109"/>
      <c r="CYF392" s="104"/>
      <c r="CYG392" s="104"/>
      <c r="CYH392" s="119"/>
      <c r="CYI392" s="104"/>
      <c r="CYJ392" s="455"/>
      <c r="CYK392" s="104"/>
      <c r="CYL392" s="104"/>
      <c r="CYM392" s="109"/>
      <c r="CYN392" s="104"/>
      <c r="CYO392" s="104"/>
      <c r="CYP392" s="119"/>
      <c r="CYQ392" s="104"/>
      <c r="CYR392" s="455"/>
      <c r="CYS392" s="104"/>
      <c r="CYT392" s="104"/>
      <c r="CYU392" s="109"/>
      <c r="CYV392" s="104"/>
      <c r="CYW392" s="104"/>
      <c r="CYX392" s="119"/>
      <c r="CYY392" s="104"/>
      <c r="CYZ392" s="455"/>
      <c r="CZA392" s="104"/>
      <c r="CZB392" s="104"/>
      <c r="CZC392" s="109"/>
      <c r="CZD392" s="104"/>
      <c r="CZE392" s="104"/>
      <c r="CZF392" s="119"/>
      <c r="CZG392" s="104"/>
      <c r="CZH392" s="455"/>
      <c r="CZI392" s="104"/>
      <c r="CZJ392" s="104"/>
      <c r="CZK392" s="109"/>
      <c r="CZL392" s="104"/>
      <c r="CZM392" s="104"/>
      <c r="CZN392" s="119"/>
      <c r="CZO392" s="104"/>
      <c r="CZP392" s="455"/>
      <c r="CZQ392" s="104"/>
      <c r="CZR392" s="104"/>
      <c r="CZS392" s="109"/>
      <c r="CZT392" s="104"/>
      <c r="CZU392" s="104"/>
      <c r="CZV392" s="119"/>
      <c r="CZW392" s="104"/>
      <c r="CZX392" s="455"/>
      <c r="CZY392" s="104"/>
      <c r="CZZ392" s="104"/>
      <c r="DAA392" s="109"/>
      <c r="DAB392" s="104"/>
      <c r="DAC392" s="104"/>
      <c r="DAD392" s="119"/>
      <c r="DAE392" s="104"/>
      <c r="DAF392" s="455"/>
      <c r="DAG392" s="104"/>
      <c r="DAH392" s="104"/>
      <c r="DAI392" s="109"/>
      <c r="DAJ392" s="104"/>
      <c r="DAK392" s="104"/>
      <c r="DAL392" s="119"/>
      <c r="DAM392" s="104"/>
      <c r="DAN392" s="455"/>
      <c r="DAO392" s="104"/>
      <c r="DAP392" s="104"/>
      <c r="DAQ392" s="109"/>
      <c r="DAR392" s="104"/>
      <c r="DAS392" s="104"/>
      <c r="DAT392" s="119"/>
      <c r="DAU392" s="104"/>
      <c r="DAV392" s="455"/>
      <c r="DAW392" s="104"/>
      <c r="DAX392" s="104"/>
      <c r="DAY392" s="109"/>
      <c r="DAZ392" s="104"/>
      <c r="DBA392" s="104"/>
      <c r="DBB392" s="119"/>
      <c r="DBC392" s="104"/>
      <c r="DBD392" s="455"/>
      <c r="DBE392" s="104"/>
      <c r="DBF392" s="104"/>
      <c r="DBG392" s="109"/>
      <c r="DBH392" s="104"/>
      <c r="DBI392" s="104"/>
      <c r="DBJ392" s="119"/>
      <c r="DBK392" s="104"/>
      <c r="DBL392" s="455"/>
      <c r="DBM392" s="104"/>
      <c r="DBN392" s="104"/>
      <c r="DBO392" s="109"/>
      <c r="DBP392" s="104"/>
      <c r="DBQ392" s="104"/>
      <c r="DBR392" s="119"/>
      <c r="DBS392" s="104"/>
      <c r="DBT392" s="455"/>
      <c r="DBU392" s="104"/>
      <c r="DBV392" s="104"/>
      <c r="DBW392" s="109"/>
      <c r="DBX392" s="104"/>
      <c r="DBY392" s="104"/>
      <c r="DBZ392" s="119"/>
      <c r="DCA392" s="104"/>
      <c r="DCB392" s="455"/>
      <c r="DCC392" s="104"/>
      <c r="DCD392" s="104"/>
      <c r="DCE392" s="109"/>
      <c r="DCF392" s="104"/>
      <c r="DCG392" s="104"/>
      <c r="DCH392" s="119"/>
      <c r="DCI392" s="104"/>
      <c r="DCJ392" s="455"/>
      <c r="DCK392" s="104"/>
      <c r="DCL392" s="104"/>
      <c r="DCM392" s="109"/>
      <c r="DCN392" s="104"/>
      <c r="DCO392" s="104"/>
      <c r="DCP392" s="119"/>
      <c r="DCQ392" s="104"/>
      <c r="DCR392" s="455"/>
      <c r="DCS392" s="104"/>
      <c r="DCT392" s="104"/>
      <c r="DCU392" s="109"/>
      <c r="DCV392" s="104"/>
      <c r="DCW392" s="104"/>
      <c r="DCX392" s="119"/>
      <c r="DCY392" s="104"/>
      <c r="DCZ392" s="455"/>
      <c r="DDA392" s="104"/>
      <c r="DDB392" s="104"/>
      <c r="DDC392" s="109"/>
      <c r="DDD392" s="104"/>
      <c r="DDE392" s="104"/>
      <c r="DDF392" s="119"/>
      <c r="DDG392" s="104"/>
      <c r="DDH392" s="455"/>
      <c r="DDI392" s="104"/>
      <c r="DDJ392" s="104"/>
      <c r="DDK392" s="109"/>
      <c r="DDL392" s="104"/>
      <c r="DDM392" s="104"/>
      <c r="DDN392" s="119"/>
      <c r="DDO392" s="104"/>
      <c r="DDP392" s="455"/>
      <c r="DDQ392" s="104"/>
      <c r="DDR392" s="104"/>
      <c r="DDS392" s="109"/>
      <c r="DDT392" s="104"/>
      <c r="DDU392" s="104"/>
      <c r="DDV392" s="119"/>
      <c r="DDW392" s="104"/>
      <c r="DDX392" s="455"/>
      <c r="DDY392" s="104"/>
      <c r="DDZ392" s="104"/>
      <c r="DEA392" s="109"/>
      <c r="DEB392" s="104"/>
      <c r="DEC392" s="104"/>
      <c r="DED392" s="119"/>
      <c r="DEE392" s="104"/>
      <c r="DEF392" s="455"/>
      <c r="DEG392" s="104"/>
      <c r="DEH392" s="104"/>
      <c r="DEI392" s="109"/>
      <c r="DEJ392" s="104"/>
      <c r="DEK392" s="104"/>
      <c r="DEL392" s="119"/>
      <c r="DEM392" s="104"/>
      <c r="DEN392" s="455"/>
      <c r="DEO392" s="104"/>
      <c r="DEP392" s="104"/>
      <c r="DEQ392" s="109"/>
      <c r="DER392" s="104"/>
      <c r="DES392" s="104"/>
      <c r="DET392" s="119"/>
      <c r="DEU392" s="104"/>
      <c r="DEV392" s="455"/>
      <c r="DEW392" s="104"/>
      <c r="DEX392" s="104"/>
      <c r="DEY392" s="109"/>
      <c r="DEZ392" s="104"/>
      <c r="DFA392" s="104"/>
      <c r="DFB392" s="119"/>
      <c r="DFC392" s="104"/>
      <c r="DFD392" s="455"/>
      <c r="DFE392" s="104"/>
      <c r="DFF392" s="104"/>
      <c r="DFG392" s="109"/>
      <c r="DFH392" s="104"/>
      <c r="DFI392" s="104"/>
      <c r="DFJ392" s="119"/>
      <c r="DFK392" s="104"/>
      <c r="DFL392" s="455"/>
      <c r="DFM392" s="104"/>
      <c r="DFN392" s="104"/>
      <c r="DFO392" s="109"/>
      <c r="DFP392" s="104"/>
      <c r="DFQ392" s="104"/>
      <c r="DFR392" s="119"/>
      <c r="DFS392" s="104"/>
      <c r="DFT392" s="455"/>
      <c r="DFU392" s="104"/>
      <c r="DFV392" s="104"/>
      <c r="DFW392" s="109"/>
      <c r="DFX392" s="104"/>
      <c r="DFY392" s="104"/>
      <c r="DFZ392" s="119"/>
      <c r="DGA392" s="104"/>
      <c r="DGB392" s="455"/>
      <c r="DGC392" s="104"/>
      <c r="DGD392" s="104"/>
      <c r="DGE392" s="109"/>
      <c r="DGF392" s="104"/>
      <c r="DGG392" s="104"/>
      <c r="DGH392" s="119"/>
      <c r="DGI392" s="104"/>
      <c r="DGJ392" s="455"/>
      <c r="DGK392" s="104"/>
      <c r="DGL392" s="104"/>
      <c r="DGM392" s="109"/>
      <c r="DGN392" s="104"/>
      <c r="DGO392" s="104"/>
      <c r="DGP392" s="119"/>
      <c r="DGQ392" s="104"/>
      <c r="DGR392" s="455"/>
      <c r="DGS392" s="104"/>
      <c r="DGT392" s="104"/>
      <c r="DGU392" s="109"/>
      <c r="DGV392" s="104"/>
      <c r="DGW392" s="104"/>
      <c r="DGX392" s="119"/>
      <c r="DGY392" s="104"/>
      <c r="DGZ392" s="455"/>
      <c r="DHA392" s="104"/>
      <c r="DHB392" s="104"/>
      <c r="DHC392" s="109"/>
      <c r="DHD392" s="104"/>
      <c r="DHE392" s="104"/>
      <c r="DHF392" s="119"/>
      <c r="DHG392" s="104"/>
      <c r="DHH392" s="455"/>
      <c r="DHI392" s="104"/>
      <c r="DHJ392" s="104"/>
      <c r="DHK392" s="109"/>
      <c r="DHL392" s="104"/>
      <c r="DHM392" s="104"/>
      <c r="DHN392" s="119"/>
      <c r="DHO392" s="104"/>
      <c r="DHP392" s="455"/>
      <c r="DHQ392" s="104"/>
      <c r="DHR392" s="104"/>
      <c r="DHS392" s="109"/>
      <c r="DHT392" s="104"/>
      <c r="DHU392" s="104"/>
      <c r="DHV392" s="119"/>
      <c r="DHW392" s="104"/>
      <c r="DHX392" s="455"/>
      <c r="DHY392" s="104"/>
      <c r="DHZ392" s="104"/>
      <c r="DIA392" s="109"/>
      <c r="DIB392" s="104"/>
      <c r="DIC392" s="104"/>
      <c r="DID392" s="119"/>
      <c r="DIE392" s="104"/>
      <c r="DIF392" s="455"/>
      <c r="DIG392" s="104"/>
      <c r="DIH392" s="104"/>
      <c r="DII392" s="109"/>
      <c r="DIJ392" s="104"/>
      <c r="DIK392" s="104"/>
      <c r="DIL392" s="119"/>
      <c r="DIM392" s="104"/>
      <c r="DIN392" s="455"/>
      <c r="DIO392" s="104"/>
      <c r="DIP392" s="104"/>
      <c r="DIQ392" s="109"/>
      <c r="DIR392" s="104"/>
      <c r="DIS392" s="104"/>
      <c r="DIT392" s="119"/>
      <c r="DIU392" s="104"/>
      <c r="DIV392" s="455"/>
      <c r="DIW392" s="104"/>
      <c r="DIX392" s="104"/>
      <c r="DIY392" s="109"/>
      <c r="DIZ392" s="104"/>
      <c r="DJA392" s="104"/>
      <c r="DJB392" s="119"/>
      <c r="DJC392" s="104"/>
      <c r="DJD392" s="455"/>
      <c r="DJE392" s="104"/>
      <c r="DJF392" s="104"/>
      <c r="DJG392" s="109"/>
      <c r="DJH392" s="104"/>
      <c r="DJI392" s="104"/>
      <c r="DJJ392" s="119"/>
      <c r="DJK392" s="104"/>
      <c r="DJL392" s="455"/>
      <c r="DJM392" s="104"/>
      <c r="DJN392" s="104"/>
      <c r="DJO392" s="109"/>
      <c r="DJP392" s="104"/>
      <c r="DJQ392" s="104"/>
      <c r="DJR392" s="119"/>
      <c r="DJS392" s="104"/>
      <c r="DJT392" s="455"/>
      <c r="DJU392" s="104"/>
      <c r="DJV392" s="104"/>
      <c r="DJW392" s="109"/>
      <c r="DJX392" s="104"/>
      <c r="DJY392" s="104"/>
      <c r="DJZ392" s="119"/>
      <c r="DKA392" s="104"/>
      <c r="DKB392" s="455"/>
      <c r="DKC392" s="104"/>
      <c r="DKD392" s="104"/>
      <c r="DKE392" s="109"/>
      <c r="DKF392" s="104"/>
      <c r="DKG392" s="104"/>
      <c r="DKH392" s="119"/>
      <c r="DKI392" s="104"/>
      <c r="DKJ392" s="455"/>
      <c r="DKK392" s="104"/>
      <c r="DKL392" s="104"/>
      <c r="DKM392" s="109"/>
      <c r="DKN392" s="104"/>
      <c r="DKO392" s="104"/>
      <c r="DKP392" s="119"/>
      <c r="DKQ392" s="104"/>
      <c r="DKR392" s="455"/>
      <c r="DKS392" s="104"/>
      <c r="DKT392" s="104"/>
      <c r="DKU392" s="109"/>
      <c r="DKV392" s="104"/>
      <c r="DKW392" s="104"/>
      <c r="DKX392" s="119"/>
      <c r="DKY392" s="104"/>
      <c r="DKZ392" s="455"/>
      <c r="DLA392" s="104"/>
      <c r="DLB392" s="104"/>
      <c r="DLC392" s="109"/>
      <c r="DLD392" s="104"/>
      <c r="DLE392" s="104"/>
      <c r="DLF392" s="119"/>
      <c r="DLG392" s="104"/>
      <c r="DLH392" s="455"/>
      <c r="DLI392" s="104"/>
      <c r="DLJ392" s="104"/>
      <c r="DLK392" s="109"/>
      <c r="DLL392" s="104"/>
      <c r="DLM392" s="104"/>
      <c r="DLN392" s="119"/>
      <c r="DLO392" s="104"/>
      <c r="DLP392" s="455"/>
      <c r="DLQ392" s="104"/>
      <c r="DLR392" s="104"/>
      <c r="DLS392" s="109"/>
      <c r="DLT392" s="104"/>
      <c r="DLU392" s="104"/>
      <c r="DLV392" s="119"/>
      <c r="DLW392" s="104"/>
      <c r="DLX392" s="455"/>
      <c r="DLY392" s="104"/>
      <c r="DLZ392" s="104"/>
      <c r="DMA392" s="109"/>
      <c r="DMB392" s="104"/>
      <c r="DMC392" s="104"/>
      <c r="DMD392" s="119"/>
      <c r="DME392" s="104"/>
      <c r="DMF392" s="455"/>
      <c r="DMG392" s="104"/>
      <c r="DMH392" s="104"/>
      <c r="DMI392" s="109"/>
      <c r="DMJ392" s="104"/>
      <c r="DMK392" s="104"/>
      <c r="DML392" s="119"/>
      <c r="DMM392" s="104"/>
      <c r="DMN392" s="455"/>
      <c r="DMO392" s="104"/>
      <c r="DMP392" s="104"/>
      <c r="DMQ392" s="109"/>
      <c r="DMR392" s="104"/>
      <c r="DMS392" s="104"/>
      <c r="DMT392" s="119"/>
      <c r="DMU392" s="104"/>
      <c r="DMV392" s="455"/>
      <c r="DMW392" s="104"/>
      <c r="DMX392" s="104"/>
      <c r="DMY392" s="109"/>
      <c r="DMZ392" s="104"/>
      <c r="DNA392" s="104"/>
      <c r="DNB392" s="119"/>
      <c r="DNC392" s="104"/>
      <c r="DND392" s="455"/>
      <c r="DNE392" s="104"/>
      <c r="DNF392" s="104"/>
      <c r="DNG392" s="109"/>
      <c r="DNH392" s="104"/>
      <c r="DNI392" s="104"/>
      <c r="DNJ392" s="119"/>
      <c r="DNK392" s="104"/>
      <c r="DNL392" s="455"/>
      <c r="DNM392" s="104"/>
      <c r="DNN392" s="104"/>
      <c r="DNO392" s="109"/>
      <c r="DNP392" s="104"/>
      <c r="DNQ392" s="104"/>
      <c r="DNR392" s="119"/>
      <c r="DNS392" s="104"/>
      <c r="DNT392" s="455"/>
      <c r="DNU392" s="104"/>
      <c r="DNV392" s="104"/>
      <c r="DNW392" s="109"/>
      <c r="DNX392" s="104"/>
      <c r="DNY392" s="104"/>
      <c r="DNZ392" s="119"/>
      <c r="DOA392" s="104"/>
      <c r="DOB392" s="455"/>
      <c r="DOC392" s="104"/>
      <c r="DOD392" s="104"/>
      <c r="DOE392" s="109"/>
      <c r="DOF392" s="104"/>
      <c r="DOG392" s="104"/>
      <c r="DOH392" s="119"/>
      <c r="DOI392" s="104"/>
      <c r="DOJ392" s="455"/>
      <c r="DOK392" s="104"/>
      <c r="DOL392" s="104"/>
      <c r="DOM392" s="109"/>
      <c r="DON392" s="104"/>
      <c r="DOO392" s="104"/>
      <c r="DOP392" s="119"/>
      <c r="DOQ392" s="104"/>
      <c r="DOR392" s="455"/>
      <c r="DOS392" s="104"/>
      <c r="DOT392" s="104"/>
      <c r="DOU392" s="109"/>
      <c r="DOV392" s="104"/>
      <c r="DOW392" s="104"/>
      <c r="DOX392" s="119"/>
      <c r="DOY392" s="104"/>
      <c r="DOZ392" s="455"/>
      <c r="DPA392" s="104"/>
      <c r="DPB392" s="104"/>
      <c r="DPC392" s="109"/>
      <c r="DPD392" s="104"/>
      <c r="DPE392" s="104"/>
      <c r="DPF392" s="119"/>
      <c r="DPG392" s="104"/>
      <c r="DPH392" s="455"/>
      <c r="DPI392" s="104"/>
      <c r="DPJ392" s="104"/>
      <c r="DPK392" s="109"/>
      <c r="DPL392" s="104"/>
      <c r="DPM392" s="104"/>
      <c r="DPN392" s="119"/>
      <c r="DPO392" s="104"/>
      <c r="DPP392" s="455"/>
      <c r="DPQ392" s="104"/>
      <c r="DPR392" s="104"/>
      <c r="DPS392" s="109"/>
      <c r="DPT392" s="104"/>
      <c r="DPU392" s="104"/>
      <c r="DPV392" s="119"/>
      <c r="DPW392" s="104"/>
      <c r="DPX392" s="455"/>
      <c r="DPY392" s="104"/>
      <c r="DPZ392" s="104"/>
      <c r="DQA392" s="109"/>
      <c r="DQB392" s="104"/>
      <c r="DQC392" s="104"/>
      <c r="DQD392" s="119"/>
      <c r="DQE392" s="104"/>
      <c r="DQF392" s="455"/>
      <c r="DQG392" s="104"/>
      <c r="DQH392" s="104"/>
      <c r="DQI392" s="109"/>
      <c r="DQJ392" s="104"/>
      <c r="DQK392" s="104"/>
      <c r="DQL392" s="119"/>
      <c r="DQM392" s="104"/>
      <c r="DQN392" s="455"/>
      <c r="DQO392" s="104"/>
      <c r="DQP392" s="104"/>
      <c r="DQQ392" s="109"/>
      <c r="DQR392" s="104"/>
      <c r="DQS392" s="104"/>
      <c r="DQT392" s="119"/>
      <c r="DQU392" s="104"/>
      <c r="DQV392" s="455"/>
      <c r="DQW392" s="104"/>
      <c r="DQX392" s="104"/>
      <c r="DQY392" s="109"/>
      <c r="DQZ392" s="104"/>
      <c r="DRA392" s="104"/>
      <c r="DRB392" s="119"/>
      <c r="DRC392" s="104"/>
      <c r="DRD392" s="455"/>
      <c r="DRE392" s="104"/>
      <c r="DRF392" s="104"/>
      <c r="DRG392" s="109"/>
      <c r="DRH392" s="104"/>
      <c r="DRI392" s="104"/>
      <c r="DRJ392" s="119"/>
      <c r="DRK392" s="104"/>
      <c r="DRL392" s="455"/>
      <c r="DRM392" s="104"/>
      <c r="DRN392" s="104"/>
      <c r="DRO392" s="109"/>
      <c r="DRP392" s="104"/>
      <c r="DRQ392" s="104"/>
      <c r="DRR392" s="119"/>
      <c r="DRS392" s="104"/>
      <c r="DRT392" s="455"/>
      <c r="DRU392" s="104"/>
      <c r="DRV392" s="104"/>
      <c r="DRW392" s="109"/>
      <c r="DRX392" s="104"/>
      <c r="DRY392" s="104"/>
      <c r="DRZ392" s="119"/>
      <c r="DSA392" s="104"/>
      <c r="DSB392" s="455"/>
      <c r="DSC392" s="104"/>
      <c r="DSD392" s="104"/>
      <c r="DSE392" s="109"/>
      <c r="DSF392" s="104"/>
      <c r="DSG392" s="104"/>
      <c r="DSH392" s="119"/>
      <c r="DSI392" s="104"/>
      <c r="DSJ392" s="455"/>
      <c r="DSK392" s="104"/>
      <c r="DSL392" s="104"/>
      <c r="DSM392" s="109"/>
      <c r="DSN392" s="104"/>
      <c r="DSO392" s="104"/>
      <c r="DSP392" s="119"/>
      <c r="DSQ392" s="104"/>
      <c r="DSR392" s="455"/>
      <c r="DSS392" s="104"/>
      <c r="DST392" s="104"/>
      <c r="DSU392" s="109"/>
      <c r="DSV392" s="104"/>
      <c r="DSW392" s="104"/>
      <c r="DSX392" s="119"/>
      <c r="DSY392" s="104"/>
      <c r="DSZ392" s="455"/>
      <c r="DTA392" s="104"/>
      <c r="DTB392" s="104"/>
      <c r="DTC392" s="109"/>
      <c r="DTD392" s="104"/>
      <c r="DTE392" s="104"/>
      <c r="DTF392" s="119"/>
      <c r="DTG392" s="104"/>
      <c r="DTH392" s="455"/>
      <c r="DTI392" s="104"/>
      <c r="DTJ392" s="104"/>
      <c r="DTK392" s="109"/>
      <c r="DTL392" s="104"/>
      <c r="DTM392" s="104"/>
      <c r="DTN392" s="119"/>
      <c r="DTO392" s="104"/>
      <c r="DTP392" s="455"/>
      <c r="DTQ392" s="104"/>
      <c r="DTR392" s="104"/>
      <c r="DTS392" s="109"/>
      <c r="DTT392" s="104"/>
      <c r="DTU392" s="104"/>
      <c r="DTV392" s="119"/>
      <c r="DTW392" s="104"/>
      <c r="DTX392" s="455"/>
      <c r="DTY392" s="104"/>
      <c r="DTZ392" s="104"/>
      <c r="DUA392" s="109"/>
      <c r="DUB392" s="104"/>
      <c r="DUC392" s="104"/>
      <c r="DUD392" s="119"/>
      <c r="DUE392" s="104"/>
      <c r="DUF392" s="455"/>
      <c r="DUG392" s="104"/>
      <c r="DUH392" s="104"/>
      <c r="DUI392" s="109"/>
      <c r="DUJ392" s="104"/>
      <c r="DUK392" s="104"/>
      <c r="DUL392" s="119"/>
      <c r="DUM392" s="104"/>
      <c r="DUN392" s="455"/>
      <c r="DUO392" s="104"/>
      <c r="DUP392" s="104"/>
      <c r="DUQ392" s="109"/>
      <c r="DUR392" s="104"/>
      <c r="DUS392" s="104"/>
      <c r="DUT392" s="119"/>
      <c r="DUU392" s="104"/>
      <c r="DUV392" s="455"/>
      <c r="DUW392" s="104"/>
      <c r="DUX392" s="104"/>
      <c r="DUY392" s="109"/>
      <c r="DUZ392" s="104"/>
      <c r="DVA392" s="104"/>
      <c r="DVB392" s="119"/>
      <c r="DVC392" s="104"/>
      <c r="DVD392" s="455"/>
      <c r="DVE392" s="104"/>
      <c r="DVF392" s="104"/>
      <c r="DVG392" s="109"/>
      <c r="DVH392" s="104"/>
      <c r="DVI392" s="104"/>
      <c r="DVJ392" s="119"/>
      <c r="DVK392" s="104"/>
      <c r="DVL392" s="455"/>
      <c r="DVM392" s="104"/>
      <c r="DVN392" s="104"/>
      <c r="DVO392" s="109"/>
      <c r="DVP392" s="104"/>
      <c r="DVQ392" s="104"/>
      <c r="DVR392" s="119"/>
      <c r="DVS392" s="104"/>
      <c r="DVT392" s="455"/>
      <c r="DVU392" s="104"/>
      <c r="DVV392" s="104"/>
      <c r="DVW392" s="109"/>
      <c r="DVX392" s="104"/>
      <c r="DVY392" s="104"/>
      <c r="DVZ392" s="119"/>
      <c r="DWA392" s="104"/>
      <c r="DWB392" s="455"/>
      <c r="DWC392" s="104"/>
      <c r="DWD392" s="104"/>
      <c r="DWE392" s="109"/>
      <c r="DWF392" s="104"/>
      <c r="DWG392" s="104"/>
      <c r="DWH392" s="119"/>
      <c r="DWI392" s="104"/>
      <c r="DWJ392" s="455"/>
      <c r="DWK392" s="104"/>
      <c r="DWL392" s="104"/>
      <c r="DWM392" s="109"/>
      <c r="DWN392" s="104"/>
      <c r="DWO392" s="104"/>
      <c r="DWP392" s="119"/>
      <c r="DWQ392" s="104"/>
      <c r="DWR392" s="455"/>
      <c r="DWS392" s="104"/>
      <c r="DWT392" s="104"/>
      <c r="DWU392" s="109"/>
      <c r="DWV392" s="104"/>
      <c r="DWW392" s="104"/>
      <c r="DWX392" s="119"/>
      <c r="DWY392" s="104"/>
      <c r="DWZ392" s="455"/>
      <c r="DXA392" s="104"/>
      <c r="DXB392" s="104"/>
      <c r="DXC392" s="109"/>
      <c r="DXD392" s="104"/>
      <c r="DXE392" s="104"/>
      <c r="DXF392" s="119"/>
      <c r="DXG392" s="104"/>
      <c r="DXH392" s="455"/>
      <c r="DXI392" s="104"/>
      <c r="DXJ392" s="104"/>
      <c r="DXK392" s="109"/>
      <c r="DXL392" s="104"/>
      <c r="DXM392" s="104"/>
      <c r="DXN392" s="119"/>
      <c r="DXO392" s="104"/>
      <c r="DXP392" s="455"/>
      <c r="DXQ392" s="104"/>
      <c r="DXR392" s="104"/>
      <c r="DXS392" s="109"/>
      <c r="DXT392" s="104"/>
      <c r="DXU392" s="104"/>
      <c r="DXV392" s="119"/>
      <c r="DXW392" s="104"/>
      <c r="DXX392" s="455"/>
      <c r="DXY392" s="104"/>
      <c r="DXZ392" s="104"/>
      <c r="DYA392" s="109"/>
      <c r="DYB392" s="104"/>
      <c r="DYC392" s="104"/>
      <c r="DYD392" s="119"/>
      <c r="DYE392" s="104"/>
      <c r="DYF392" s="455"/>
      <c r="DYG392" s="104"/>
      <c r="DYH392" s="104"/>
      <c r="DYI392" s="109"/>
      <c r="DYJ392" s="104"/>
      <c r="DYK392" s="104"/>
      <c r="DYL392" s="119"/>
      <c r="DYM392" s="104"/>
      <c r="DYN392" s="455"/>
      <c r="DYO392" s="104"/>
      <c r="DYP392" s="104"/>
      <c r="DYQ392" s="109"/>
      <c r="DYR392" s="104"/>
      <c r="DYS392" s="104"/>
      <c r="DYT392" s="119"/>
      <c r="DYU392" s="104"/>
      <c r="DYV392" s="455"/>
      <c r="DYW392" s="104"/>
      <c r="DYX392" s="104"/>
      <c r="DYY392" s="109"/>
      <c r="DYZ392" s="104"/>
      <c r="DZA392" s="104"/>
      <c r="DZB392" s="119"/>
      <c r="DZC392" s="104"/>
      <c r="DZD392" s="455"/>
      <c r="DZE392" s="104"/>
      <c r="DZF392" s="104"/>
      <c r="DZG392" s="109"/>
      <c r="DZH392" s="104"/>
      <c r="DZI392" s="104"/>
      <c r="DZJ392" s="119"/>
      <c r="DZK392" s="104"/>
      <c r="DZL392" s="455"/>
      <c r="DZM392" s="104"/>
      <c r="DZN392" s="104"/>
      <c r="DZO392" s="109"/>
      <c r="DZP392" s="104"/>
      <c r="DZQ392" s="104"/>
      <c r="DZR392" s="119"/>
      <c r="DZS392" s="104"/>
      <c r="DZT392" s="455"/>
      <c r="DZU392" s="104"/>
      <c r="DZV392" s="104"/>
      <c r="DZW392" s="109"/>
      <c r="DZX392" s="104"/>
      <c r="DZY392" s="104"/>
      <c r="DZZ392" s="119"/>
      <c r="EAA392" s="104"/>
      <c r="EAB392" s="455"/>
      <c r="EAC392" s="104"/>
      <c r="EAD392" s="104"/>
      <c r="EAE392" s="109"/>
      <c r="EAF392" s="104"/>
      <c r="EAG392" s="104"/>
      <c r="EAH392" s="119"/>
      <c r="EAI392" s="104"/>
      <c r="EAJ392" s="455"/>
      <c r="EAK392" s="104"/>
      <c r="EAL392" s="104"/>
      <c r="EAM392" s="109"/>
      <c r="EAN392" s="104"/>
      <c r="EAO392" s="104"/>
      <c r="EAP392" s="119"/>
      <c r="EAQ392" s="104"/>
      <c r="EAR392" s="455"/>
      <c r="EAS392" s="104"/>
      <c r="EAT392" s="104"/>
      <c r="EAU392" s="109"/>
      <c r="EAV392" s="104"/>
      <c r="EAW392" s="104"/>
      <c r="EAX392" s="119"/>
      <c r="EAY392" s="104"/>
      <c r="EAZ392" s="455"/>
      <c r="EBA392" s="104"/>
      <c r="EBB392" s="104"/>
      <c r="EBC392" s="109"/>
      <c r="EBD392" s="104"/>
      <c r="EBE392" s="104"/>
      <c r="EBF392" s="119"/>
      <c r="EBG392" s="104"/>
      <c r="EBH392" s="455"/>
      <c r="EBI392" s="104"/>
      <c r="EBJ392" s="104"/>
      <c r="EBK392" s="109"/>
      <c r="EBL392" s="104"/>
      <c r="EBM392" s="104"/>
      <c r="EBN392" s="119"/>
      <c r="EBO392" s="104"/>
      <c r="EBP392" s="455"/>
      <c r="EBQ392" s="104"/>
      <c r="EBR392" s="104"/>
      <c r="EBS392" s="109"/>
      <c r="EBT392" s="104"/>
      <c r="EBU392" s="104"/>
      <c r="EBV392" s="119"/>
      <c r="EBW392" s="104"/>
      <c r="EBX392" s="455"/>
      <c r="EBY392" s="104"/>
      <c r="EBZ392" s="104"/>
      <c r="ECA392" s="109"/>
      <c r="ECB392" s="104"/>
      <c r="ECC392" s="104"/>
      <c r="ECD392" s="119"/>
      <c r="ECE392" s="104"/>
      <c r="ECF392" s="455"/>
      <c r="ECG392" s="104"/>
      <c r="ECH392" s="104"/>
      <c r="ECI392" s="109"/>
      <c r="ECJ392" s="104"/>
      <c r="ECK392" s="104"/>
      <c r="ECL392" s="119"/>
      <c r="ECM392" s="104"/>
      <c r="ECN392" s="455"/>
      <c r="ECO392" s="104"/>
      <c r="ECP392" s="104"/>
      <c r="ECQ392" s="109"/>
      <c r="ECR392" s="104"/>
      <c r="ECS392" s="104"/>
      <c r="ECT392" s="119"/>
      <c r="ECU392" s="104"/>
      <c r="ECV392" s="455"/>
      <c r="ECW392" s="104"/>
      <c r="ECX392" s="104"/>
      <c r="ECY392" s="109"/>
      <c r="ECZ392" s="104"/>
      <c r="EDA392" s="104"/>
      <c r="EDB392" s="119"/>
      <c r="EDC392" s="104"/>
      <c r="EDD392" s="455"/>
      <c r="EDE392" s="104"/>
      <c r="EDF392" s="104"/>
      <c r="EDG392" s="109"/>
      <c r="EDH392" s="104"/>
      <c r="EDI392" s="104"/>
      <c r="EDJ392" s="119"/>
      <c r="EDK392" s="104"/>
      <c r="EDL392" s="455"/>
      <c r="EDM392" s="104"/>
      <c r="EDN392" s="104"/>
      <c r="EDO392" s="109"/>
      <c r="EDP392" s="104"/>
      <c r="EDQ392" s="104"/>
      <c r="EDR392" s="119"/>
      <c r="EDS392" s="104"/>
      <c r="EDT392" s="455"/>
      <c r="EDU392" s="104"/>
      <c r="EDV392" s="104"/>
      <c r="EDW392" s="109"/>
      <c r="EDX392" s="104"/>
      <c r="EDY392" s="104"/>
      <c r="EDZ392" s="119"/>
      <c r="EEA392" s="104"/>
      <c r="EEB392" s="455"/>
      <c r="EEC392" s="104"/>
      <c r="EED392" s="104"/>
      <c r="EEE392" s="109"/>
      <c r="EEF392" s="104"/>
      <c r="EEG392" s="104"/>
      <c r="EEH392" s="119"/>
      <c r="EEI392" s="104"/>
      <c r="EEJ392" s="455"/>
      <c r="EEK392" s="104"/>
      <c r="EEL392" s="104"/>
      <c r="EEM392" s="109"/>
      <c r="EEN392" s="104"/>
      <c r="EEO392" s="104"/>
      <c r="EEP392" s="119"/>
      <c r="EEQ392" s="104"/>
      <c r="EER392" s="455"/>
      <c r="EES392" s="104"/>
      <c r="EET392" s="104"/>
      <c r="EEU392" s="109"/>
      <c r="EEV392" s="104"/>
      <c r="EEW392" s="104"/>
      <c r="EEX392" s="119"/>
      <c r="EEY392" s="104"/>
      <c r="EEZ392" s="455"/>
      <c r="EFA392" s="104"/>
      <c r="EFB392" s="104"/>
      <c r="EFC392" s="109"/>
      <c r="EFD392" s="104"/>
      <c r="EFE392" s="104"/>
      <c r="EFF392" s="119"/>
      <c r="EFG392" s="104"/>
      <c r="EFH392" s="455"/>
      <c r="EFI392" s="104"/>
      <c r="EFJ392" s="104"/>
      <c r="EFK392" s="109"/>
      <c r="EFL392" s="104"/>
      <c r="EFM392" s="104"/>
      <c r="EFN392" s="119"/>
      <c r="EFO392" s="104"/>
      <c r="EFP392" s="455"/>
      <c r="EFQ392" s="104"/>
      <c r="EFR392" s="104"/>
      <c r="EFS392" s="109"/>
      <c r="EFT392" s="104"/>
      <c r="EFU392" s="104"/>
      <c r="EFV392" s="119"/>
      <c r="EFW392" s="104"/>
      <c r="EFX392" s="455"/>
      <c r="EFY392" s="104"/>
      <c r="EFZ392" s="104"/>
      <c r="EGA392" s="109"/>
      <c r="EGB392" s="104"/>
      <c r="EGC392" s="104"/>
      <c r="EGD392" s="119"/>
      <c r="EGE392" s="104"/>
      <c r="EGF392" s="455"/>
      <c r="EGG392" s="104"/>
      <c r="EGH392" s="104"/>
      <c r="EGI392" s="109"/>
      <c r="EGJ392" s="104"/>
      <c r="EGK392" s="104"/>
      <c r="EGL392" s="119"/>
      <c r="EGM392" s="104"/>
      <c r="EGN392" s="455"/>
      <c r="EGO392" s="104"/>
      <c r="EGP392" s="104"/>
      <c r="EGQ392" s="109"/>
      <c r="EGR392" s="104"/>
      <c r="EGS392" s="104"/>
      <c r="EGT392" s="119"/>
      <c r="EGU392" s="104"/>
      <c r="EGV392" s="455"/>
      <c r="EGW392" s="104"/>
      <c r="EGX392" s="104"/>
      <c r="EGY392" s="109"/>
      <c r="EGZ392" s="104"/>
      <c r="EHA392" s="104"/>
      <c r="EHB392" s="119"/>
      <c r="EHC392" s="104"/>
      <c r="EHD392" s="455"/>
      <c r="EHE392" s="104"/>
      <c r="EHF392" s="104"/>
      <c r="EHG392" s="109"/>
      <c r="EHH392" s="104"/>
      <c r="EHI392" s="104"/>
      <c r="EHJ392" s="119"/>
      <c r="EHK392" s="104"/>
      <c r="EHL392" s="455"/>
      <c r="EHM392" s="104"/>
      <c r="EHN392" s="104"/>
      <c r="EHO392" s="109"/>
      <c r="EHP392" s="104"/>
      <c r="EHQ392" s="104"/>
      <c r="EHR392" s="119"/>
      <c r="EHS392" s="104"/>
      <c r="EHT392" s="455"/>
      <c r="EHU392" s="104"/>
      <c r="EHV392" s="104"/>
      <c r="EHW392" s="109"/>
      <c r="EHX392" s="104"/>
      <c r="EHY392" s="104"/>
      <c r="EHZ392" s="119"/>
      <c r="EIA392" s="104"/>
      <c r="EIB392" s="455"/>
      <c r="EIC392" s="104"/>
      <c r="EID392" s="104"/>
      <c r="EIE392" s="109"/>
      <c r="EIF392" s="104"/>
      <c r="EIG392" s="104"/>
      <c r="EIH392" s="119"/>
      <c r="EII392" s="104"/>
      <c r="EIJ392" s="455"/>
      <c r="EIK392" s="104"/>
      <c r="EIL392" s="104"/>
      <c r="EIM392" s="109"/>
      <c r="EIN392" s="104"/>
      <c r="EIO392" s="104"/>
      <c r="EIP392" s="119"/>
      <c r="EIQ392" s="104"/>
      <c r="EIR392" s="455"/>
      <c r="EIS392" s="104"/>
      <c r="EIT392" s="104"/>
      <c r="EIU392" s="109"/>
      <c r="EIV392" s="104"/>
      <c r="EIW392" s="104"/>
      <c r="EIX392" s="119"/>
      <c r="EIY392" s="104"/>
      <c r="EIZ392" s="455"/>
      <c r="EJA392" s="104"/>
      <c r="EJB392" s="104"/>
      <c r="EJC392" s="109"/>
      <c r="EJD392" s="104"/>
      <c r="EJE392" s="104"/>
      <c r="EJF392" s="119"/>
      <c r="EJG392" s="104"/>
      <c r="EJH392" s="455"/>
      <c r="EJI392" s="104"/>
      <c r="EJJ392" s="104"/>
      <c r="EJK392" s="109"/>
      <c r="EJL392" s="104"/>
      <c r="EJM392" s="104"/>
      <c r="EJN392" s="119"/>
      <c r="EJO392" s="104"/>
      <c r="EJP392" s="455"/>
      <c r="EJQ392" s="104"/>
      <c r="EJR392" s="104"/>
      <c r="EJS392" s="109"/>
      <c r="EJT392" s="104"/>
      <c r="EJU392" s="104"/>
      <c r="EJV392" s="119"/>
      <c r="EJW392" s="104"/>
      <c r="EJX392" s="455"/>
      <c r="EJY392" s="104"/>
      <c r="EJZ392" s="104"/>
      <c r="EKA392" s="109"/>
      <c r="EKB392" s="104"/>
      <c r="EKC392" s="104"/>
      <c r="EKD392" s="119"/>
      <c r="EKE392" s="104"/>
      <c r="EKF392" s="455"/>
      <c r="EKG392" s="104"/>
      <c r="EKH392" s="104"/>
      <c r="EKI392" s="109"/>
      <c r="EKJ392" s="104"/>
      <c r="EKK392" s="104"/>
      <c r="EKL392" s="119"/>
      <c r="EKM392" s="104"/>
      <c r="EKN392" s="455"/>
      <c r="EKO392" s="104"/>
      <c r="EKP392" s="104"/>
      <c r="EKQ392" s="109"/>
      <c r="EKR392" s="104"/>
      <c r="EKS392" s="104"/>
      <c r="EKT392" s="119"/>
      <c r="EKU392" s="104"/>
      <c r="EKV392" s="455"/>
      <c r="EKW392" s="104"/>
      <c r="EKX392" s="104"/>
      <c r="EKY392" s="109"/>
      <c r="EKZ392" s="104"/>
      <c r="ELA392" s="104"/>
      <c r="ELB392" s="119"/>
      <c r="ELC392" s="104"/>
      <c r="ELD392" s="455"/>
      <c r="ELE392" s="104"/>
      <c r="ELF392" s="104"/>
      <c r="ELG392" s="109"/>
      <c r="ELH392" s="104"/>
      <c r="ELI392" s="104"/>
      <c r="ELJ392" s="119"/>
      <c r="ELK392" s="104"/>
      <c r="ELL392" s="455"/>
      <c r="ELM392" s="104"/>
      <c r="ELN392" s="104"/>
      <c r="ELO392" s="109"/>
      <c r="ELP392" s="104"/>
      <c r="ELQ392" s="104"/>
      <c r="ELR392" s="119"/>
      <c r="ELS392" s="104"/>
      <c r="ELT392" s="455"/>
      <c r="ELU392" s="104"/>
      <c r="ELV392" s="104"/>
      <c r="ELW392" s="109"/>
      <c r="ELX392" s="104"/>
      <c r="ELY392" s="104"/>
      <c r="ELZ392" s="119"/>
      <c r="EMA392" s="104"/>
      <c r="EMB392" s="455"/>
      <c r="EMC392" s="104"/>
      <c r="EMD392" s="104"/>
      <c r="EME392" s="109"/>
      <c r="EMF392" s="104"/>
      <c r="EMG392" s="104"/>
      <c r="EMH392" s="119"/>
      <c r="EMI392" s="104"/>
      <c r="EMJ392" s="455"/>
      <c r="EMK392" s="104"/>
      <c r="EML392" s="104"/>
      <c r="EMM392" s="109"/>
      <c r="EMN392" s="104"/>
      <c r="EMO392" s="104"/>
      <c r="EMP392" s="119"/>
      <c r="EMQ392" s="104"/>
      <c r="EMR392" s="455"/>
      <c r="EMS392" s="104"/>
      <c r="EMT392" s="104"/>
      <c r="EMU392" s="109"/>
      <c r="EMV392" s="104"/>
      <c r="EMW392" s="104"/>
      <c r="EMX392" s="119"/>
      <c r="EMY392" s="104"/>
      <c r="EMZ392" s="455"/>
      <c r="ENA392" s="104"/>
      <c r="ENB392" s="104"/>
      <c r="ENC392" s="109"/>
      <c r="END392" s="104"/>
      <c r="ENE392" s="104"/>
      <c r="ENF392" s="119"/>
      <c r="ENG392" s="104"/>
      <c r="ENH392" s="455"/>
      <c r="ENI392" s="104"/>
      <c r="ENJ392" s="104"/>
      <c r="ENK392" s="109"/>
      <c r="ENL392" s="104"/>
      <c r="ENM392" s="104"/>
      <c r="ENN392" s="119"/>
      <c r="ENO392" s="104"/>
      <c r="ENP392" s="455"/>
      <c r="ENQ392" s="104"/>
      <c r="ENR392" s="104"/>
      <c r="ENS392" s="109"/>
      <c r="ENT392" s="104"/>
      <c r="ENU392" s="104"/>
      <c r="ENV392" s="119"/>
      <c r="ENW392" s="104"/>
      <c r="ENX392" s="455"/>
      <c r="ENY392" s="104"/>
      <c r="ENZ392" s="104"/>
      <c r="EOA392" s="109"/>
      <c r="EOB392" s="104"/>
      <c r="EOC392" s="104"/>
      <c r="EOD392" s="119"/>
      <c r="EOE392" s="104"/>
      <c r="EOF392" s="455"/>
      <c r="EOG392" s="104"/>
      <c r="EOH392" s="104"/>
      <c r="EOI392" s="109"/>
      <c r="EOJ392" s="104"/>
      <c r="EOK392" s="104"/>
      <c r="EOL392" s="119"/>
      <c r="EOM392" s="104"/>
      <c r="EON392" s="455"/>
      <c r="EOO392" s="104"/>
      <c r="EOP392" s="104"/>
      <c r="EOQ392" s="109"/>
      <c r="EOR392" s="104"/>
      <c r="EOS392" s="104"/>
      <c r="EOT392" s="119"/>
      <c r="EOU392" s="104"/>
      <c r="EOV392" s="455"/>
      <c r="EOW392" s="104"/>
      <c r="EOX392" s="104"/>
      <c r="EOY392" s="109"/>
      <c r="EOZ392" s="104"/>
      <c r="EPA392" s="104"/>
      <c r="EPB392" s="119"/>
      <c r="EPC392" s="104"/>
      <c r="EPD392" s="455"/>
      <c r="EPE392" s="104"/>
      <c r="EPF392" s="104"/>
      <c r="EPG392" s="109"/>
      <c r="EPH392" s="104"/>
      <c r="EPI392" s="104"/>
      <c r="EPJ392" s="119"/>
      <c r="EPK392" s="104"/>
      <c r="EPL392" s="455"/>
      <c r="EPM392" s="104"/>
      <c r="EPN392" s="104"/>
      <c r="EPO392" s="109"/>
      <c r="EPP392" s="104"/>
      <c r="EPQ392" s="104"/>
      <c r="EPR392" s="119"/>
      <c r="EPS392" s="104"/>
      <c r="EPT392" s="455"/>
      <c r="EPU392" s="104"/>
      <c r="EPV392" s="104"/>
      <c r="EPW392" s="109"/>
      <c r="EPX392" s="104"/>
      <c r="EPY392" s="104"/>
      <c r="EPZ392" s="119"/>
      <c r="EQA392" s="104"/>
      <c r="EQB392" s="455"/>
      <c r="EQC392" s="104"/>
      <c r="EQD392" s="104"/>
      <c r="EQE392" s="109"/>
      <c r="EQF392" s="104"/>
      <c r="EQG392" s="104"/>
      <c r="EQH392" s="119"/>
      <c r="EQI392" s="104"/>
      <c r="EQJ392" s="455"/>
      <c r="EQK392" s="104"/>
      <c r="EQL392" s="104"/>
      <c r="EQM392" s="109"/>
      <c r="EQN392" s="104"/>
      <c r="EQO392" s="104"/>
      <c r="EQP392" s="119"/>
      <c r="EQQ392" s="104"/>
      <c r="EQR392" s="455"/>
      <c r="EQS392" s="104"/>
      <c r="EQT392" s="104"/>
      <c r="EQU392" s="109"/>
      <c r="EQV392" s="104"/>
      <c r="EQW392" s="104"/>
      <c r="EQX392" s="119"/>
      <c r="EQY392" s="104"/>
      <c r="EQZ392" s="455"/>
      <c r="ERA392" s="104"/>
      <c r="ERB392" s="104"/>
      <c r="ERC392" s="109"/>
      <c r="ERD392" s="104"/>
      <c r="ERE392" s="104"/>
      <c r="ERF392" s="119"/>
      <c r="ERG392" s="104"/>
      <c r="ERH392" s="455"/>
      <c r="ERI392" s="104"/>
      <c r="ERJ392" s="104"/>
      <c r="ERK392" s="109"/>
      <c r="ERL392" s="104"/>
      <c r="ERM392" s="104"/>
      <c r="ERN392" s="119"/>
      <c r="ERO392" s="104"/>
      <c r="ERP392" s="455"/>
      <c r="ERQ392" s="104"/>
      <c r="ERR392" s="104"/>
      <c r="ERS392" s="109"/>
      <c r="ERT392" s="104"/>
      <c r="ERU392" s="104"/>
      <c r="ERV392" s="119"/>
      <c r="ERW392" s="104"/>
      <c r="ERX392" s="455"/>
      <c r="ERY392" s="104"/>
      <c r="ERZ392" s="104"/>
      <c r="ESA392" s="109"/>
      <c r="ESB392" s="104"/>
      <c r="ESC392" s="104"/>
      <c r="ESD392" s="119"/>
      <c r="ESE392" s="104"/>
      <c r="ESF392" s="455"/>
      <c r="ESG392" s="104"/>
      <c r="ESH392" s="104"/>
      <c r="ESI392" s="109"/>
      <c r="ESJ392" s="104"/>
      <c r="ESK392" s="104"/>
      <c r="ESL392" s="119"/>
      <c r="ESM392" s="104"/>
      <c r="ESN392" s="455"/>
      <c r="ESO392" s="104"/>
      <c r="ESP392" s="104"/>
      <c r="ESQ392" s="109"/>
      <c r="ESR392" s="104"/>
      <c r="ESS392" s="104"/>
      <c r="EST392" s="119"/>
      <c r="ESU392" s="104"/>
      <c r="ESV392" s="455"/>
      <c r="ESW392" s="104"/>
      <c r="ESX392" s="104"/>
      <c r="ESY392" s="109"/>
      <c r="ESZ392" s="104"/>
      <c r="ETA392" s="104"/>
      <c r="ETB392" s="119"/>
      <c r="ETC392" s="104"/>
      <c r="ETD392" s="455"/>
      <c r="ETE392" s="104"/>
      <c r="ETF392" s="104"/>
      <c r="ETG392" s="109"/>
      <c r="ETH392" s="104"/>
      <c r="ETI392" s="104"/>
      <c r="ETJ392" s="119"/>
      <c r="ETK392" s="104"/>
      <c r="ETL392" s="455"/>
      <c r="ETM392" s="104"/>
      <c r="ETN392" s="104"/>
      <c r="ETO392" s="109"/>
      <c r="ETP392" s="104"/>
      <c r="ETQ392" s="104"/>
      <c r="ETR392" s="119"/>
      <c r="ETS392" s="104"/>
      <c r="ETT392" s="455"/>
      <c r="ETU392" s="104"/>
      <c r="ETV392" s="104"/>
      <c r="ETW392" s="109"/>
      <c r="ETX392" s="104"/>
      <c r="ETY392" s="104"/>
      <c r="ETZ392" s="119"/>
      <c r="EUA392" s="104"/>
      <c r="EUB392" s="455"/>
      <c r="EUC392" s="104"/>
      <c r="EUD392" s="104"/>
      <c r="EUE392" s="109"/>
      <c r="EUF392" s="104"/>
      <c r="EUG392" s="104"/>
      <c r="EUH392" s="119"/>
      <c r="EUI392" s="104"/>
      <c r="EUJ392" s="455"/>
      <c r="EUK392" s="104"/>
      <c r="EUL392" s="104"/>
      <c r="EUM392" s="109"/>
      <c r="EUN392" s="104"/>
      <c r="EUO392" s="104"/>
      <c r="EUP392" s="119"/>
      <c r="EUQ392" s="104"/>
      <c r="EUR392" s="455"/>
      <c r="EUS392" s="104"/>
      <c r="EUT392" s="104"/>
      <c r="EUU392" s="109"/>
      <c r="EUV392" s="104"/>
      <c r="EUW392" s="104"/>
      <c r="EUX392" s="119"/>
      <c r="EUY392" s="104"/>
      <c r="EUZ392" s="455"/>
      <c r="EVA392" s="104"/>
      <c r="EVB392" s="104"/>
      <c r="EVC392" s="109"/>
      <c r="EVD392" s="104"/>
      <c r="EVE392" s="104"/>
      <c r="EVF392" s="119"/>
      <c r="EVG392" s="104"/>
      <c r="EVH392" s="455"/>
      <c r="EVI392" s="104"/>
      <c r="EVJ392" s="104"/>
      <c r="EVK392" s="109"/>
      <c r="EVL392" s="104"/>
      <c r="EVM392" s="104"/>
      <c r="EVN392" s="119"/>
      <c r="EVO392" s="104"/>
      <c r="EVP392" s="455"/>
      <c r="EVQ392" s="104"/>
      <c r="EVR392" s="104"/>
      <c r="EVS392" s="109"/>
      <c r="EVT392" s="104"/>
      <c r="EVU392" s="104"/>
      <c r="EVV392" s="119"/>
      <c r="EVW392" s="104"/>
      <c r="EVX392" s="455"/>
      <c r="EVY392" s="104"/>
      <c r="EVZ392" s="104"/>
      <c r="EWA392" s="109"/>
      <c r="EWB392" s="104"/>
      <c r="EWC392" s="104"/>
      <c r="EWD392" s="119"/>
      <c r="EWE392" s="104"/>
      <c r="EWF392" s="455"/>
      <c r="EWG392" s="104"/>
      <c r="EWH392" s="104"/>
      <c r="EWI392" s="109"/>
      <c r="EWJ392" s="104"/>
      <c r="EWK392" s="104"/>
      <c r="EWL392" s="119"/>
      <c r="EWM392" s="104"/>
      <c r="EWN392" s="455"/>
      <c r="EWO392" s="104"/>
      <c r="EWP392" s="104"/>
      <c r="EWQ392" s="109"/>
      <c r="EWR392" s="104"/>
      <c r="EWS392" s="104"/>
      <c r="EWT392" s="119"/>
      <c r="EWU392" s="104"/>
      <c r="EWV392" s="455"/>
      <c r="EWW392" s="104"/>
      <c r="EWX392" s="104"/>
      <c r="EWY392" s="109"/>
      <c r="EWZ392" s="104"/>
      <c r="EXA392" s="104"/>
      <c r="EXB392" s="119"/>
      <c r="EXC392" s="104"/>
      <c r="EXD392" s="455"/>
      <c r="EXE392" s="104"/>
      <c r="EXF392" s="104"/>
      <c r="EXG392" s="109"/>
      <c r="EXH392" s="104"/>
      <c r="EXI392" s="104"/>
      <c r="EXJ392" s="119"/>
      <c r="EXK392" s="104"/>
      <c r="EXL392" s="455"/>
      <c r="EXM392" s="104"/>
      <c r="EXN392" s="104"/>
      <c r="EXO392" s="109"/>
      <c r="EXP392" s="104"/>
      <c r="EXQ392" s="104"/>
      <c r="EXR392" s="119"/>
      <c r="EXS392" s="104"/>
      <c r="EXT392" s="455"/>
      <c r="EXU392" s="104"/>
      <c r="EXV392" s="104"/>
      <c r="EXW392" s="109"/>
      <c r="EXX392" s="104"/>
      <c r="EXY392" s="104"/>
      <c r="EXZ392" s="119"/>
      <c r="EYA392" s="104"/>
      <c r="EYB392" s="455"/>
      <c r="EYC392" s="104"/>
      <c r="EYD392" s="104"/>
      <c r="EYE392" s="109"/>
      <c r="EYF392" s="104"/>
      <c r="EYG392" s="104"/>
      <c r="EYH392" s="119"/>
      <c r="EYI392" s="104"/>
      <c r="EYJ392" s="455"/>
      <c r="EYK392" s="104"/>
      <c r="EYL392" s="104"/>
      <c r="EYM392" s="109"/>
      <c r="EYN392" s="104"/>
      <c r="EYO392" s="104"/>
      <c r="EYP392" s="119"/>
      <c r="EYQ392" s="104"/>
      <c r="EYR392" s="455"/>
      <c r="EYS392" s="104"/>
      <c r="EYT392" s="104"/>
      <c r="EYU392" s="109"/>
      <c r="EYV392" s="104"/>
      <c r="EYW392" s="104"/>
      <c r="EYX392" s="119"/>
      <c r="EYY392" s="104"/>
      <c r="EYZ392" s="455"/>
      <c r="EZA392" s="104"/>
      <c r="EZB392" s="104"/>
      <c r="EZC392" s="109"/>
      <c r="EZD392" s="104"/>
      <c r="EZE392" s="104"/>
      <c r="EZF392" s="119"/>
      <c r="EZG392" s="104"/>
      <c r="EZH392" s="455"/>
      <c r="EZI392" s="104"/>
      <c r="EZJ392" s="104"/>
      <c r="EZK392" s="109"/>
      <c r="EZL392" s="104"/>
      <c r="EZM392" s="104"/>
      <c r="EZN392" s="119"/>
      <c r="EZO392" s="104"/>
      <c r="EZP392" s="455"/>
      <c r="EZQ392" s="104"/>
      <c r="EZR392" s="104"/>
      <c r="EZS392" s="109"/>
      <c r="EZT392" s="104"/>
      <c r="EZU392" s="104"/>
      <c r="EZV392" s="119"/>
      <c r="EZW392" s="104"/>
      <c r="EZX392" s="455"/>
      <c r="EZY392" s="104"/>
      <c r="EZZ392" s="104"/>
      <c r="FAA392" s="109"/>
      <c r="FAB392" s="104"/>
      <c r="FAC392" s="104"/>
      <c r="FAD392" s="119"/>
      <c r="FAE392" s="104"/>
      <c r="FAF392" s="455"/>
      <c r="FAG392" s="104"/>
      <c r="FAH392" s="104"/>
      <c r="FAI392" s="109"/>
      <c r="FAJ392" s="104"/>
      <c r="FAK392" s="104"/>
      <c r="FAL392" s="119"/>
      <c r="FAM392" s="104"/>
      <c r="FAN392" s="455"/>
      <c r="FAO392" s="104"/>
      <c r="FAP392" s="104"/>
      <c r="FAQ392" s="109"/>
      <c r="FAR392" s="104"/>
      <c r="FAS392" s="104"/>
      <c r="FAT392" s="119"/>
      <c r="FAU392" s="104"/>
      <c r="FAV392" s="455"/>
      <c r="FAW392" s="104"/>
      <c r="FAX392" s="104"/>
      <c r="FAY392" s="109"/>
      <c r="FAZ392" s="104"/>
      <c r="FBA392" s="104"/>
      <c r="FBB392" s="119"/>
      <c r="FBC392" s="104"/>
      <c r="FBD392" s="455"/>
      <c r="FBE392" s="104"/>
      <c r="FBF392" s="104"/>
      <c r="FBG392" s="109"/>
      <c r="FBH392" s="104"/>
      <c r="FBI392" s="104"/>
      <c r="FBJ392" s="119"/>
      <c r="FBK392" s="104"/>
      <c r="FBL392" s="455"/>
      <c r="FBM392" s="104"/>
      <c r="FBN392" s="104"/>
      <c r="FBO392" s="109"/>
      <c r="FBP392" s="104"/>
      <c r="FBQ392" s="104"/>
      <c r="FBR392" s="119"/>
      <c r="FBS392" s="104"/>
      <c r="FBT392" s="455"/>
      <c r="FBU392" s="104"/>
      <c r="FBV392" s="104"/>
      <c r="FBW392" s="109"/>
      <c r="FBX392" s="104"/>
      <c r="FBY392" s="104"/>
      <c r="FBZ392" s="119"/>
      <c r="FCA392" s="104"/>
      <c r="FCB392" s="455"/>
      <c r="FCC392" s="104"/>
      <c r="FCD392" s="104"/>
      <c r="FCE392" s="109"/>
      <c r="FCF392" s="104"/>
      <c r="FCG392" s="104"/>
      <c r="FCH392" s="119"/>
      <c r="FCI392" s="104"/>
      <c r="FCJ392" s="455"/>
      <c r="FCK392" s="104"/>
      <c r="FCL392" s="104"/>
      <c r="FCM392" s="109"/>
      <c r="FCN392" s="104"/>
      <c r="FCO392" s="104"/>
      <c r="FCP392" s="119"/>
      <c r="FCQ392" s="104"/>
      <c r="FCR392" s="455"/>
      <c r="FCS392" s="104"/>
      <c r="FCT392" s="104"/>
      <c r="FCU392" s="109"/>
      <c r="FCV392" s="104"/>
      <c r="FCW392" s="104"/>
      <c r="FCX392" s="119"/>
      <c r="FCY392" s="104"/>
      <c r="FCZ392" s="455"/>
      <c r="FDA392" s="104"/>
      <c r="FDB392" s="104"/>
      <c r="FDC392" s="109"/>
      <c r="FDD392" s="104"/>
      <c r="FDE392" s="104"/>
      <c r="FDF392" s="119"/>
      <c r="FDG392" s="104"/>
      <c r="FDH392" s="455"/>
      <c r="FDI392" s="104"/>
      <c r="FDJ392" s="104"/>
      <c r="FDK392" s="109"/>
      <c r="FDL392" s="104"/>
      <c r="FDM392" s="104"/>
      <c r="FDN392" s="119"/>
      <c r="FDO392" s="104"/>
      <c r="FDP392" s="455"/>
      <c r="FDQ392" s="104"/>
      <c r="FDR392" s="104"/>
      <c r="FDS392" s="109"/>
      <c r="FDT392" s="104"/>
      <c r="FDU392" s="104"/>
      <c r="FDV392" s="119"/>
      <c r="FDW392" s="104"/>
      <c r="FDX392" s="455"/>
      <c r="FDY392" s="104"/>
      <c r="FDZ392" s="104"/>
      <c r="FEA392" s="109"/>
      <c r="FEB392" s="104"/>
      <c r="FEC392" s="104"/>
      <c r="FED392" s="119"/>
      <c r="FEE392" s="104"/>
      <c r="FEF392" s="455"/>
      <c r="FEG392" s="104"/>
      <c r="FEH392" s="104"/>
      <c r="FEI392" s="109"/>
      <c r="FEJ392" s="104"/>
      <c r="FEK392" s="104"/>
      <c r="FEL392" s="119"/>
      <c r="FEM392" s="104"/>
      <c r="FEN392" s="455"/>
      <c r="FEO392" s="104"/>
      <c r="FEP392" s="104"/>
      <c r="FEQ392" s="109"/>
      <c r="FER392" s="104"/>
      <c r="FES392" s="104"/>
      <c r="FET392" s="119"/>
      <c r="FEU392" s="104"/>
      <c r="FEV392" s="455"/>
      <c r="FEW392" s="104"/>
      <c r="FEX392" s="104"/>
      <c r="FEY392" s="109"/>
      <c r="FEZ392" s="104"/>
      <c r="FFA392" s="104"/>
      <c r="FFB392" s="119"/>
      <c r="FFC392" s="104"/>
      <c r="FFD392" s="455"/>
      <c r="FFE392" s="104"/>
      <c r="FFF392" s="104"/>
      <c r="FFG392" s="109"/>
      <c r="FFH392" s="104"/>
      <c r="FFI392" s="104"/>
      <c r="FFJ392" s="119"/>
      <c r="FFK392" s="104"/>
      <c r="FFL392" s="455"/>
      <c r="FFM392" s="104"/>
      <c r="FFN392" s="104"/>
      <c r="FFO392" s="109"/>
      <c r="FFP392" s="104"/>
      <c r="FFQ392" s="104"/>
      <c r="FFR392" s="119"/>
      <c r="FFS392" s="104"/>
      <c r="FFT392" s="455"/>
      <c r="FFU392" s="104"/>
      <c r="FFV392" s="104"/>
      <c r="FFW392" s="109"/>
      <c r="FFX392" s="104"/>
      <c r="FFY392" s="104"/>
      <c r="FFZ392" s="119"/>
      <c r="FGA392" s="104"/>
      <c r="FGB392" s="455"/>
      <c r="FGC392" s="104"/>
      <c r="FGD392" s="104"/>
      <c r="FGE392" s="109"/>
      <c r="FGF392" s="104"/>
      <c r="FGG392" s="104"/>
      <c r="FGH392" s="119"/>
      <c r="FGI392" s="104"/>
      <c r="FGJ392" s="455"/>
      <c r="FGK392" s="104"/>
      <c r="FGL392" s="104"/>
      <c r="FGM392" s="109"/>
      <c r="FGN392" s="104"/>
      <c r="FGO392" s="104"/>
      <c r="FGP392" s="119"/>
      <c r="FGQ392" s="104"/>
      <c r="FGR392" s="455"/>
      <c r="FGS392" s="104"/>
      <c r="FGT392" s="104"/>
      <c r="FGU392" s="109"/>
      <c r="FGV392" s="104"/>
      <c r="FGW392" s="104"/>
      <c r="FGX392" s="119"/>
      <c r="FGY392" s="104"/>
      <c r="FGZ392" s="455"/>
      <c r="FHA392" s="104"/>
      <c r="FHB392" s="104"/>
      <c r="FHC392" s="109"/>
      <c r="FHD392" s="104"/>
      <c r="FHE392" s="104"/>
      <c r="FHF392" s="119"/>
      <c r="FHG392" s="104"/>
      <c r="FHH392" s="455"/>
      <c r="FHI392" s="104"/>
      <c r="FHJ392" s="104"/>
      <c r="FHK392" s="109"/>
      <c r="FHL392" s="104"/>
      <c r="FHM392" s="104"/>
      <c r="FHN392" s="119"/>
      <c r="FHO392" s="104"/>
      <c r="FHP392" s="455"/>
      <c r="FHQ392" s="104"/>
      <c r="FHR392" s="104"/>
      <c r="FHS392" s="109"/>
      <c r="FHT392" s="104"/>
      <c r="FHU392" s="104"/>
      <c r="FHV392" s="119"/>
      <c r="FHW392" s="104"/>
      <c r="FHX392" s="455"/>
      <c r="FHY392" s="104"/>
      <c r="FHZ392" s="104"/>
      <c r="FIA392" s="109"/>
      <c r="FIB392" s="104"/>
      <c r="FIC392" s="104"/>
      <c r="FID392" s="119"/>
      <c r="FIE392" s="104"/>
      <c r="FIF392" s="455"/>
      <c r="FIG392" s="104"/>
      <c r="FIH392" s="104"/>
      <c r="FII392" s="109"/>
      <c r="FIJ392" s="104"/>
      <c r="FIK392" s="104"/>
      <c r="FIL392" s="119"/>
      <c r="FIM392" s="104"/>
      <c r="FIN392" s="455"/>
      <c r="FIO392" s="104"/>
      <c r="FIP392" s="104"/>
      <c r="FIQ392" s="109"/>
      <c r="FIR392" s="104"/>
      <c r="FIS392" s="104"/>
      <c r="FIT392" s="119"/>
      <c r="FIU392" s="104"/>
      <c r="FIV392" s="455"/>
      <c r="FIW392" s="104"/>
      <c r="FIX392" s="104"/>
      <c r="FIY392" s="109"/>
      <c r="FIZ392" s="104"/>
      <c r="FJA392" s="104"/>
      <c r="FJB392" s="119"/>
      <c r="FJC392" s="104"/>
      <c r="FJD392" s="455"/>
      <c r="FJE392" s="104"/>
      <c r="FJF392" s="104"/>
      <c r="FJG392" s="109"/>
      <c r="FJH392" s="104"/>
      <c r="FJI392" s="104"/>
      <c r="FJJ392" s="119"/>
      <c r="FJK392" s="104"/>
      <c r="FJL392" s="455"/>
      <c r="FJM392" s="104"/>
      <c r="FJN392" s="104"/>
      <c r="FJO392" s="109"/>
      <c r="FJP392" s="104"/>
      <c r="FJQ392" s="104"/>
      <c r="FJR392" s="119"/>
      <c r="FJS392" s="104"/>
      <c r="FJT392" s="455"/>
      <c r="FJU392" s="104"/>
      <c r="FJV392" s="104"/>
      <c r="FJW392" s="109"/>
      <c r="FJX392" s="104"/>
      <c r="FJY392" s="104"/>
      <c r="FJZ392" s="119"/>
      <c r="FKA392" s="104"/>
      <c r="FKB392" s="455"/>
      <c r="FKC392" s="104"/>
      <c r="FKD392" s="104"/>
      <c r="FKE392" s="109"/>
      <c r="FKF392" s="104"/>
      <c r="FKG392" s="104"/>
      <c r="FKH392" s="119"/>
      <c r="FKI392" s="104"/>
      <c r="FKJ392" s="455"/>
      <c r="FKK392" s="104"/>
      <c r="FKL392" s="104"/>
      <c r="FKM392" s="109"/>
      <c r="FKN392" s="104"/>
      <c r="FKO392" s="104"/>
      <c r="FKP392" s="119"/>
      <c r="FKQ392" s="104"/>
      <c r="FKR392" s="455"/>
      <c r="FKS392" s="104"/>
      <c r="FKT392" s="104"/>
      <c r="FKU392" s="109"/>
      <c r="FKV392" s="104"/>
      <c r="FKW392" s="104"/>
      <c r="FKX392" s="119"/>
      <c r="FKY392" s="104"/>
      <c r="FKZ392" s="455"/>
      <c r="FLA392" s="104"/>
      <c r="FLB392" s="104"/>
      <c r="FLC392" s="109"/>
      <c r="FLD392" s="104"/>
      <c r="FLE392" s="104"/>
      <c r="FLF392" s="119"/>
      <c r="FLG392" s="104"/>
      <c r="FLH392" s="455"/>
      <c r="FLI392" s="104"/>
      <c r="FLJ392" s="104"/>
      <c r="FLK392" s="109"/>
      <c r="FLL392" s="104"/>
      <c r="FLM392" s="104"/>
      <c r="FLN392" s="119"/>
      <c r="FLO392" s="104"/>
      <c r="FLP392" s="455"/>
      <c r="FLQ392" s="104"/>
      <c r="FLR392" s="104"/>
      <c r="FLS392" s="109"/>
      <c r="FLT392" s="104"/>
      <c r="FLU392" s="104"/>
      <c r="FLV392" s="119"/>
      <c r="FLW392" s="104"/>
      <c r="FLX392" s="455"/>
      <c r="FLY392" s="104"/>
      <c r="FLZ392" s="104"/>
      <c r="FMA392" s="109"/>
      <c r="FMB392" s="104"/>
      <c r="FMC392" s="104"/>
      <c r="FMD392" s="119"/>
      <c r="FME392" s="104"/>
      <c r="FMF392" s="455"/>
      <c r="FMG392" s="104"/>
      <c r="FMH392" s="104"/>
      <c r="FMI392" s="109"/>
      <c r="FMJ392" s="104"/>
      <c r="FMK392" s="104"/>
      <c r="FML392" s="119"/>
      <c r="FMM392" s="104"/>
      <c r="FMN392" s="455"/>
      <c r="FMO392" s="104"/>
      <c r="FMP392" s="104"/>
      <c r="FMQ392" s="109"/>
      <c r="FMR392" s="104"/>
      <c r="FMS392" s="104"/>
      <c r="FMT392" s="119"/>
      <c r="FMU392" s="104"/>
      <c r="FMV392" s="455"/>
      <c r="FMW392" s="104"/>
      <c r="FMX392" s="104"/>
      <c r="FMY392" s="109"/>
      <c r="FMZ392" s="104"/>
      <c r="FNA392" s="104"/>
      <c r="FNB392" s="119"/>
      <c r="FNC392" s="104"/>
      <c r="FND392" s="455"/>
      <c r="FNE392" s="104"/>
      <c r="FNF392" s="104"/>
      <c r="FNG392" s="109"/>
      <c r="FNH392" s="104"/>
      <c r="FNI392" s="104"/>
      <c r="FNJ392" s="119"/>
      <c r="FNK392" s="104"/>
      <c r="FNL392" s="455"/>
      <c r="FNM392" s="104"/>
      <c r="FNN392" s="104"/>
      <c r="FNO392" s="109"/>
      <c r="FNP392" s="104"/>
      <c r="FNQ392" s="104"/>
      <c r="FNR392" s="119"/>
      <c r="FNS392" s="104"/>
      <c r="FNT392" s="455"/>
      <c r="FNU392" s="104"/>
      <c r="FNV392" s="104"/>
      <c r="FNW392" s="109"/>
      <c r="FNX392" s="104"/>
      <c r="FNY392" s="104"/>
      <c r="FNZ392" s="119"/>
      <c r="FOA392" s="104"/>
      <c r="FOB392" s="455"/>
      <c r="FOC392" s="104"/>
      <c r="FOD392" s="104"/>
      <c r="FOE392" s="109"/>
      <c r="FOF392" s="104"/>
      <c r="FOG392" s="104"/>
      <c r="FOH392" s="119"/>
      <c r="FOI392" s="104"/>
      <c r="FOJ392" s="455"/>
      <c r="FOK392" s="104"/>
      <c r="FOL392" s="104"/>
      <c r="FOM392" s="109"/>
      <c r="FON392" s="104"/>
      <c r="FOO392" s="104"/>
      <c r="FOP392" s="119"/>
      <c r="FOQ392" s="104"/>
      <c r="FOR392" s="455"/>
      <c r="FOS392" s="104"/>
      <c r="FOT392" s="104"/>
      <c r="FOU392" s="109"/>
      <c r="FOV392" s="104"/>
      <c r="FOW392" s="104"/>
      <c r="FOX392" s="119"/>
      <c r="FOY392" s="104"/>
      <c r="FOZ392" s="455"/>
      <c r="FPA392" s="104"/>
      <c r="FPB392" s="104"/>
      <c r="FPC392" s="109"/>
      <c r="FPD392" s="104"/>
      <c r="FPE392" s="104"/>
      <c r="FPF392" s="119"/>
      <c r="FPG392" s="104"/>
      <c r="FPH392" s="455"/>
      <c r="FPI392" s="104"/>
      <c r="FPJ392" s="104"/>
      <c r="FPK392" s="109"/>
      <c r="FPL392" s="104"/>
      <c r="FPM392" s="104"/>
      <c r="FPN392" s="119"/>
      <c r="FPO392" s="104"/>
      <c r="FPP392" s="455"/>
      <c r="FPQ392" s="104"/>
      <c r="FPR392" s="104"/>
      <c r="FPS392" s="109"/>
      <c r="FPT392" s="104"/>
      <c r="FPU392" s="104"/>
      <c r="FPV392" s="119"/>
      <c r="FPW392" s="104"/>
      <c r="FPX392" s="455"/>
      <c r="FPY392" s="104"/>
      <c r="FPZ392" s="104"/>
      <c r="FQA392" s="109"/>
      <c r="FQB392" s="104"/>
      <c r="FQC392" s="104"/>
      <c r="FQD392" s="119"/>
      <c r="FQE392" s="104"/>
      <c r="FQF392" s="455"/>
      <c r="FQG392" s="104"/>
      <c r="FQH392" s="104"/>
      <c r="FQI392" s="109"/>
      <c r="FQJ392" s="104"/>
      <c r="FQK392" s="104"/>
      <c r="FQL392" s="119"/>
      <c r="FQM392" s="104"/>
      <c r="FQN392" s="455"/>
      <c r="FQO392" s="104"/>
      <c r="FQP392" s="104"/>
      <c r="FQQ392" s="109"/>
      <c r="FQR392" s="104"/>
      <c r="FQS392" s="104"/>
      <c r="FQT392" s="119"/>
      <c r="FQU392" s="104"/>
      <c r="FQV392" s="455"/>
      <c r="FQW392" s="104"/>
      <c r="FQX392" s="104"/>
      <c r="FQY392" s="109"/>
      <c r="FQZ392" s="104"/>
      <c r="FRA392" s="104"/>
      <c r="FRB392" s="119"/>
      <c r="FRC392" s="104"/>
      <c r="FRD392" s="455"/>
      <c r="FRE392" s="104"/>
      <c r="FRF392" s="104"/>
      <c r="FRG392" s="109"/>
      <c r="FRH392" s="104"/>
      <c r="FRI392" s="104"/>
      <c r="FRJ392" s="119"/>
      <c r="FRK392" s="104"/>
      <c r="FRL392" s="455"/>
      <c r="FRM392" s="104"/>
      <c r="FRN392" s="104"/>
      <c r="FRO392" s="109"/>
      <c r="FRP392" s="104"/>
      <c r="FRQ392" s="104"/>
      <c r="FRR392" s="119"/>
      <c r="FRS392" s="104"/>
      <c r="FRT392" s="455"/>
      <c r="FRU392" s="104"/>
      <c r="FRV392" s="104"/>
      <c r="FRW392" s="109"/>
      <c r="FRX392" s="104"/>
      <c r="FRY392" s="104"/>
      <c r="FRZ392" s="119"/>
      <c r="FSA392" s="104"/>
      <c r="FSB392" s="455"/>
      <c r="FSC392" s="104"/>
      <c r="FSD392" s="104"/>
      <c r="FSE392" s="109"/>
      <c r="FSF392" s="104"/>
      <c r="FSG392" s="104"/>
      <c r="FSH392" s="119"/>
      <c r="FSI392" s="104"/>
      <c r="FSJ392" s="455"/>
      <c r="FSK392" s="104"/>
      <c r="FSL392" s="104"/>
      <c r="FSM392" s="109"/>
      <c r="FSN392" s="104"/>
      <c r="FSO392" s="104"/>
      <c r="FSP392" s="119"/>
      <c r="FSQ392" s="104"/>
      <c r="FSR392" s="455"/>
      <c r="FSS392" s="104"/>
      <c r="FST392" s="104"/>
      <c r="FSU392" s="109"/>
      <c r="FSV392" s="104"/>
      <c r="FSW392" s="104"/>
      <c r="FSX392" s="119"/>
      <c r="FSY392" s="104"/>
      <c r="FSZ392" s="455"/>
      <c r="FTA392" s="104"/>
      <c r="FTB392" s="104"/>
      <c r="FTC392" s="109"/>
      <c r="FTD392" s="104"/>
      <c r="FTE392" s="104"/>
      <c r="FTF392" s="119"/>
      <c r="FTG392" s="104"/>
      <c r="FTH392" s="455"/>
      <c r="FTI392" s="104"/>
      <c r="FTJ392" s="104"/>
      <c r="FTK392" s="109"/>
      <c r="FTL392" s="104"/>
      <c r="FTM392" s="104"/>
      <c r="FTN392" s="119"/>
      <c r="FTO392" s="104"/>
      <c r="FTP392" s="455"/>
      <c r="FTQ392" s="104"/>
      <c r="FTR392" s="104"/>
      <c r="FTS392" s="109"/>
      <c r="FTT392" s="104"/>
      <c r="FTU392" s="104"/>
      <c r="FTV392" s="119"/>
      <c r="FTW392" s="104"/>
      <c r="FTX392" s="455"/>
      <c r="FTY392" s="104"/>
      <c r="FTZ392" s="104"/>
      <c r="FUA392" s="109"/>
      <c r="FUB392" s="104"/>
      <c r="FUC392" s="104"/>
      <c r="FUD392" s="119"/>
      <c r="FUE392" s="104"/>
      <c r="FUF392" s="455"/>
      <c r="FUG392" s="104"/>
      <c r="FUH392" s="104"/>
      <c r="FUI392" s="109"/>
      <c r="FUJ392" s="104"/>
      <c r="FUK392" s="104"/>
      <c r="FUL392" s="119"/>
      <c r="FUM392" s="104"/>
      <c r="FUN392" s="455"/>
      <c r="FUO392" s="104"/>
      <c r="FUP392" s="104"/>
      <c r="FUQ392" s="109"/>
      <c r="FUR392" s="104"/>
      <c r="FUS392" s="104"/>
      <c r="FUT392" s="119"/>
      <c r="FUU392" s="104"/>
      <c r="FUV392" s="455"/>
      <c r="FUW392" s="104"/>
      <c r="FUX392" s="104"/>
      <c r="FUY392" s="109"/>
      <c r="FUZ392" s="104"/>
      <c r="FVA392" s="104"/>
      <c r="FVB392" s="119"/>
      <c r="FVC392" s="104"/>
      <c r="FVD392" s="455"/>
      <c r="FVE392" s="104"/>
      <c r="FVF392" s="104"/>
      <c r="FVG392" s="109"/>
      <c r="FVH392" s="104"/>
      <c r="FVI392" s="104"/>
      <c r="FVJ392" s="119"/>
      <c r="FVK392" s="104"/>
      <c r="FVL392" s="455"/>
      <c r="FVM392" s="104"/>
      <c r="FVN392" s="104"/>
      <c r="FVO392" s="109"/>
      <c r="FVP392" s="104"/>
      <c r="FVQ392" s="104"/>
      <c r="FVR392" s="119"/>
      <c r="FVS392" s="104"/>
      <c r="FVT392" s="455"/>
      <c r="FVU392" s="104"/>
      <c r="FVV392" s="104"/>
      <c r="FVW392" s="109"/>
      <c r="FVX392" s="104"/>
      <c r="FVY392" s="104"/>
      <c r="FVZ392" s="119"/>
      <c r="FWA392" s="104"/>
      <c r="FWB392" s="455"/>
      <c r="FWC392" s="104"/>
      <c r="FWD392" s="104"/>
      <c r="FWE392" s="109"/>
      <c r="FWF392" s="104"/>
      <c r="FWG392" s="104"/>
      <c r="FWH392" s="119"/>
      <c r="FWI392" s="104"/>
      <c r="FWJ392" s="455"/>
      <c r="FWK392" s="104"/>
      <c r="FWL392" s="104"/>
      <c r="FWM392" s="109"/>
      <c r="FWN392" s="104"/>
      <c r="FWO392" s="104"/>
      <c r="FWP392" s="119"/>
      <c r="FWQ392" s="104"/>
      <c r="FWR392" s="455"/>
      <c r="FWS392" s="104"/>
      <c r="FWT392" s="104"/>
      <c r="FWU392" s="109"/>
      <c r="FWV392" s="104"/>
      <c r="FWW392" s="104"/>
      <c r="FWX392" s="119"/>
      <c r="FWY392" s="104"/>
      <c r="FWZ392" s="455"/>
      <c r="FXA392" s="104"/>
      <c r="FXB392" s="104"/>
      <c r="FXC392" s="109"/>
      <c r="FXD392" s="104"/>
      <c r="FXE392" s="104"/>
      <c r="FXF392" s="119"/>
      <c r="FXG392" s="104"/>
      <c r="FXH392" s="455"/>
      <c r="FXI392" s="104"/>
      <c r="FXJ392" s="104"/>
      <c r="FXK392" s="109"/>
      <c r="FXL392" s="104"/>
      <c r="FXM392" s="104"/>
      <c r="FXN392" s="119"/>
      <c r="FXO392" s="104"/>
      <c r="FXP392" s="455"/>
      <c r="FXQ392" s="104"/>
      <c r="FXR392" s="104"/>
      <c r="FXS392" s="109"/>
      <c r="FXT392" s="104"/>
      <c r="FXU392" s="104"/>
      <c r="FXV392" s="119"/>
      <c r="FXW392" s="104"/>
      <c r="FXX392" s="455"/>
      <c r="FXY392" s="104"/>
      <c r="FXZ392" s="104"/>
      <c r="FYA392" s="109"/>
      <c r="FYB392" s="104"/>
      <c r="FYC392" s="104"/>
      <c r="FYD392" s="119"/>
      <c r="FYE392" s="104"/>
      <c r="FYF392" s="455"/>
      <c r="FYG392" s="104"/>
      <c r="FYH392" s="104"/>
      <c r="FYI392" s="109"/>
      <c r="FYJ392" s="104"/>
      <c r="FYK392" s="104"/>
      <c r="FYL392" s="119"/>
      <c r="FYM392" s="104"/>
      <c r="FYN392" s="455"/>
      <c r="FYO392" s="104"/>
      <c r="FYP392" s="104"/>
      <c r="FYQ392" s="109"/>
      <c r="FYR392" s="104"/>
      <c r="FYS392" s="104"/>
      <c r="FYT392" s="119"/>
      <c r="FYU392" s="104"/>
      <c r="FYV392" s="455"/>
      <c r="FYW392" s="104"/>
      <c r="FYX392" s="104"/>
      <c r="FYY392" s="109"/>
      <c r="FYZ392" s="104"/>
      <c r="FZA392" s="104"/>
      <c r="FZB392" s="119"/>
      <c r="FZC392" s="104"/>
      <c r="FZD392" s="455"/>
      <c r="FZE392" s="104"/>
      <c r="FZF392" s="104"/>
      <c r="FZG392" s="109"/>
      <c r="FZH392" s="104"/>
      <c r="FZI392" s="104"/>
      <c r="FZJ392" s="119"/>
      <c r="FZK392" s="104"/>
      <c r="FZL392" s="455"/>
      <c r="FZM392" s="104"/>
      <c r="FZN392" s="104"/>
      <c r="FZO392" s="109"/>
      <c r="FZP392" s="104"/>
      <c r="FZQ392" s="104"/>
      <c r="FZR392" s="119"/>
      <c r="FZS392" s="104"/>
      <c r="FZT392" s="455"/>
      <c r="FZU392" s="104"/>
      <c r="FZV392" s="104"/>
      <c r="FZW392" s="109"/>
      <c r="FZX392" s="104"/>
      <c r="FZY392" s="104"/>
      <c r="FZZ392" s="119"/>
      <c r="GAA392" s="104"/>
      <c r="GAB392" s="455"/>
      <c r="GAC392" s="104"/>
      <c r="GAD392" s="104"/>
      <c r="GAE392" s="109"/>
      <c r="GAF392" s="104"/>
      <c r="GAG392" s="104"/>
      <c r="GAH392" s="119"/>
      <c r="GAI392" s="104"/>
      <c r="GAJ392" s="455"/>
      <c r="GAK392" s="104"/>
      <c r="GAL392" s="104"/>
      <c r="GAM392" s="109"/>
      <c r="GAN392" s="104"/>
      <c r="GAO392" s="104"/>
      <c r="GAP392" s="119"/>
      <c r="GAQ392" s="104"/>
      <c r="GAR392" s="455"/>
      <c r="GAS392" s="104"/>
      <c r="GAT392" s="104"/>
      <c r="GAU392" s="109"/>
      <c r="GAV392" s="104"/>
      <c r="GAW392" s="104"/>
      <c r="GAX392" s="119"/>
      <c r="GAY392" s="104"/>
      <c r="GAZ392" s="455"/>
      <c r="GBA392" s="104"/>
      <c r="GBB392" s="104"/>
      <c r="GBC392" s="109"/>
      <c r="GBD392" s="104"/>
      <c r="GBE392" s="104"/>
      <c r="GBF392" s="119"/>
      <c r="GBG392" s="104"/>
      <c r="GBH392" s="455"/>
      <c r="GBI392" s="104"/>
      <c r="GBJ392" s="104"/>
      <c r="GBK392" s="109"/>
      <c r="GBL392" s="104"/>
      <c r="GBM392" s="104"/>
      <c r="GBN392" s="119"/>
      <c r="GBO392" s="104"/>
      <c r="GBP392" s="455"/>
      <c r="GBQ392" s="104"/>
      <c r="GBR392" s="104"/>
      <c r="GBS392" s="109"/>
      <c r="GBT392" s="104"/>
      <c r="GBU392" s="104"/>
      <c r="GBV392" s="119"/>
      <c r="GBW392" s="104"/>
      <c r="GBX392" s="455"/>
      <c r="GBY392" s="104"/>
      <c r="GBZ392" s="104"/>
      <c r="GCA392" s="109"/>
      <c r="GCB392" s="104"/>
      <c r="GCC392" s="104"/>
      <c r="GCD392" s="119"/>
      <c r="GCE392" s="104"/>
      <c r="GCF392" s="455"/>
      <c r="GCG392" s="104"/>
      <c r="GCH392" s="104"/>
      <c r="GCI392" s="109"/>
      <c r="GCJ392" s="104"/>
      <c r="GCK392" s="104"/>
      <c r="GCL392" s="119"/>
      <c r="GCM392" s="104"/>
      <c r="GCN392" s="455"/>
      <c r="GCO392" s="104"/>
      <c r="GCP392" s="104"/>
      <c r="GCQ392" s="109"/>
      <c r="GCR392" s="104"/>
      <c r="GCS392" s="104"/>
      <c r="GCT392" s="119"/>
      <c r="GCU392" s="104"/>
      <c r="GCV392" s="455"/>
      <c r="GCW392" s="104"/>
      <c r="GCX392" s="104"/>
      <c r="GCY392" s="109"/>
      <c r="GCZ392" s="104"/>
      <c r="GDA392" s="104"/>
      <c r="GDB392" s="119"/>
      <c r="GDC392" s="104"/>
      <c r="GDD392" s="455"/>
      <c r="GDE392" s="104"/>
      <c r="GDF392" s="104"/>
      <c r="GDG392" s="109"/>
      <c r="GDH392" s="104"/>
      <c r="GDI392" s="104"/>
      <c r="GDJ392" s="119"/>
      <c r="GDK392" s="104"/>
      <c r="GDL392" s="455"/>
      <c r="GDM392" s="104"/>
      <c r="GDN392" s="104"/>
      <c r="GDO392" s="109"/>
      <c r="GDP392" s="104"/>
      <c r="GDQ392" s="104"/>
      <c r="GDR392" s="119"/>
      <c r="GDS392" s="104"/>
      <c r="GDT392" s="455"/>
      <c r="GDU392" s="104"/>
      <c r="GDV392" s="104"/>
      <c r="GDW392" s="109"/>
      <c r="GDX392" s="104"/>
      <c r="GDY392" s="104"/>
      <c r="GDZ392" s="119"/>
      <c r="GEA392" s="104"/>
      <c r="GEB392" s="455"/>
      <c r="GEC392" s="104"/>
      <c r="GED392" s="104"/>
      <c r="GEE392" s="109"/>
      <c r="GEF392" s="104"/>
      <c r="GEG392" s="104"/>
      <c r="GEH392" s="119"/>
      <c r="GEI392" s="104"/>
      <c r="GEJ392" s="455"/>
      <c r="GEK392" s="104"/>
      <c r="GEL392" s="104"/>
      <c r="GEM392" s="109"/>
      <c r="GEN392" s="104"/>
      <c r="GEO392" s="104"/>
      <c r="GEP392" s="119"/>
      <c r="GEQ392" s="104"/>
      <c r="GER392" s="455"/>
      <c r="GES392" s="104"/>
      <c r="GET392" s="104"/>
      <c r="GEU392" s="109"/>
      <c r="GEV392" s="104"/>
      <c r="GEW392" s="104"/>
      <c r="GEX392" s="119"/>
      <c r="GEY392" s="104"/>
      <c r="GEZ392" s="455"/>
      <c r="GFA392" s="104"/>
      <c r="GFB392" s="104"/>
      <c r="GFC392" s="109"/>
      <c r="GFD392" s="104"/>
      <c r="GFE392" s="104"/>
      <c r="GFF392" s="119"/>
      <c r="GFG392" s="104"/>
      <c r="GFH392" s="455"/>
      <c r="GFI392" s="104"/>
      <c r="GFJ392" s="104"/>
      <c r="GFK392" s="109"/>
      <c r="GFL392" s="104"/>
      <c r="GFM392" s="104"/>
      <c r="GFN392" s="119"/>
      <c r="GFO392" s="104"/>
      <c r="GFP392" s="455"/>
      <c r="GFQ392" s="104"/>
      <c r="GFR392" s="104"/>
      <c r="GFS392" s="109"/>
      <c r="GFT392" s="104"/>
      <c r="GFU392" s="104"/>
      <c r="GFV392" s="119"/>
      <c r="GFW392" s="104"/>
      <c r="GFX392" s="455"/>
      <c r="GFY392" s="104"/>
      <c r="GFZ392" s="104"/>
      <c r="GGA392" s="109"/>
      <c r="GGB392" s="104"/>
      <c r="GGC392" s="104"/>
      <c r="GGD392" s="119"/>
      <c r="GGE392" s="104"/>
      <c r="GGF392" s="455"/>
      <c r="GGG392" s="104"/>
      <c r="GGH392" s="104"/>
      <c r="GGI392" s="109"/>
      <c r="GGJ392" s="104"/>
      <c r="GGK392" s="104"/>
      <c r="GGL392" s="119"/>
      <c r="GGM392" s="104"/>
      <c r="GGN392" s="455"/>
      <c r="GGO392" s="104"/>
      <c r="GGP392" s="104"/>
      <c r="GGQ392" s="109"/>
      <c r="GGR392" s="104"/>
      <c r="GGS392" s="104"/>
      <c r="GGT392" s="119"/>
      <c r="GGU392" s="104"/>
      <c r="GGV392" s="455"/>
      <c r="GGW392" s="104"/>
      <c r="GGX392" s="104"/>
      <c r="GGY392" s="109"/>
      <c r="GGZ392" s="104"/>
      <c r="GHA392" s="104"/>
      <c r="GHB392" s="119"/>
      <c r="GHC392" s="104"/>
      <c r="GHD392" s="455"/>
      <c r="GHE392" s="104"/>
      <c r="GHF392" s="104"/>
      <c r="GHG392" s="109"/>
      <c r="GHH392" s="104"/>
      <c r="GHI392" s="104"/>
      <c r="GHJ392" s="119"/>
      <c r="GHK392" s="104"/>
      <c r="GHL392" s="455"/>
      <c r="GHM392" s="104"/>
      <c r="GHN392" s="104"/>
      <c r="GHO392" s="109"/>
      <c r="GHP392" s="104"/>
      <c r="GHQ392" s="104"/>
      <c r="GHR392" s="119"/>
      <c r="GHS392" s="104"/>
      <c r="GHT392" s="455"/>
      <c r="GHU392" s="104"/>
      <c r="GHV392" s="104"/>
      <c r="GHW392" s="109"/>
      <c r="GHX392" s="104"/>
      <c r="GHY392" s="104"/>
      <c r="GHZ392" s="119"/>
      <c r="GIA392" s="104"/>
      <c r="GIB392" s="455"/>
      <c r="GIC392" s="104"/>
      <c r="GID392" s="104"/>
      <c r="GIE392" s="109"/>
      <c r="GIF392" s="104"/>
      <c r="GIG392" s="104"/>
      <c r="GIH392" s="119"/>
      <c r="GII392" s="104"/>
      <c r="GIJ392" s="455"/>
      <c r="GIK392" s="104"/>
      <c r="GIL392" s="104"/>
      <c r="GIM392" s="109"/>
      <c r="GIN392" s="104"/>
      <c r="GIO392" s="104"/>
      <c r="GIP392" s="119"/>
      <c r="GIQ392" s="104"/>
      <c r="GIR392" s="455"/>
      <c r="GIS392" s="104"/>
      <c r="GIT392" s="104"/>
      <c r="GIU392" s="109"/>
      <c r="GIV392" s="104"/>
      <c r="GIW392" s="104"/>
      <c r="GIX392" s="119"/>
      <c r="GIY392" s="104"/>
      <c r="GIZ392" s="455"/>
      <c r="GJA392" s="104"/>
      <c r="GJB392" s="104"/>
      <c r="GJC392" s="109"/>
      <c r="GJD392" s="104"/>
      <c r="GJE392" s="104"/>
      <c r="GJF392" s="119"/>
      <c r="GJG392" s="104"/>
      <c r="GJH392" s="455"/>
      <c r="GJI392" s="104"/>
      <c r="GJJ392" s="104"/>
      <c r="GJK392" s="109"/>
      <c r="GJL392" s="104"/>
      <c r="GJM392" s="104"/>
      <c r="GJN392" s="119"/>
      <c r="GJO392" s="104"/>
      <c r="GJP392" s="455"/>
      <c r="GJQ392" s="104"/>
      <c r="GJR392" s="104"/>
      <c r="GJS392" s="109"/>
      <c r="GJT392" s="104"/>
      <c r="GJU392" s="104"/>
      <c r="GJV392" s="119"/>
      <c r="GJW392" s="104"/>
      <c r="GJX392" s="455"/>
      <c r="GJY392" s="104"/>
      <c r="GJZ392" s="104"/>
      <c r="GKA392" s="109"/>
      <c r="GKB392" s="104"/>
      <c r="GKC392" s="104"/>
      <c r="GKD392" s="119"/>
      <c r="GKE392" s="104"/>
      <c r="GKF392" s="455"/>
      <c r="GKG392" s="104"/>
      <c r="GKH392" s="104"/>
      <c r="GKI392" s="109"/>
      <c r="GKJ392" s="104"/>
      <c r="GKK392" s="104"/>
      <c r="GKL392" s="119"/>
      <c r="GKM392" s="104"/>
      <c r="GKN392" s="455"/>
      <c r="GKO392" s="104"/>
      <c r="GKP392" s="104"/>
      <c r="GKQ392" s="109"/>
      <c r="GKR392" s="104"/>
      <c r="GKS392" s="104"/>
      <c r="GKT392" s="119"/>
      <c r="GKU392" s="104"/>
      <c r="GKV392" s="455"/>
      <c r="GKW392" s="104"/>
      <c r="GKX392" s="104"/>
      <c r="GKY392" s="109"/>
      <c r="GKZ392" s="104"/>
      <c r="GLA392" s="104"/>
      <c r="GLB392" s="119"/>
      <c r="GLC392" s="104"/>
      <c r="GLD392" s="455"/>
      <c r="GLE392" s="104"/>
      <c r="GLF392" s="104"/>
      <c r="GLG392" s="109"/>
      <c r="GLH392" s="104"/>
      <c r="GLI392" s="104"/>
      <c r="GLJ392" s="119"/>
      <c r="GLK392" s="104"/>
      <c r="GLL392" s="455"/>
      <c r="GLM392" s="104"/>
      <c r="GLN392" s="104"/>
      <c r="GLO392" s="109"/>
      <c r="GLP392" s="104"/>
      <c r="GLQ392" s="104"/>
      <c r="GLR392" s="119"/>
      <c r="GLS392" s="104"/>
      <c r="GLT392" s="455"/>
      <c r="GLU392" s="104"/>
      <c r="GLV392" s="104"/>
      <c r="GLW392" s="109"/>
      <c r="GLX392" s="104"/>
      <c r="GLY392" s="104"/>
      <c r="GLZ392" s="119"/>
      <c r="GMA392" s="104"/>
      <c r="GMB392" s="455"/>
      <c r="GMC392" s="104"/>
      <c r="GMD392" s="104"/>
      <c r="GME392" s="109"/>
      <c r="GMF392" s="104"/>
      <c r="GMG392" s="104"/>
      <c r="GMH392" s="119"/>
      <c r="GMI392" s="104"/>
      <c r="GMJ392" s="455"/>
      <c r="GMK392" s="104"/>
      <c r="GML392" s="104"/>
      <c r="GMM392" s="109"/>
      <c r="GMN392" s="104"/>
      <c r="GMO392" s="104"/>
      <c r="GMP392" s="119"/>
      <c r="GMQ392" s="104"/>
      <c r="GMR392" s="455"/>
      <c r="GMS392" s="104"/>
      <c r="GMT392" s="104"/>
      <c r="GMU392" s="109"/>
      <c r="GMV392" s="104"/>
      <c r="GMW392" s="104"/>
      <c r="GMX392" s="119"/>
      <c r="GMY392" s="104"/>
      <c r="GMZ392" s="455"/>
      <c r="GNA392" s="104"/>
      <c r="GNB392" s="104"/>
      <c r="GNC392" s="109"/>
      <c r="GND392" s="104"/>
      <c r="GNE392" s="104"/>
      <c r="GNF392" s="119"/>
      <c r="GNG392" s="104"/>
      <c r="GNH392" s="455"/>
      <c r="GNI392" s="104"/>
      <c r="GNJ392" s="104"/>
      <c r="GNK392" s="109"/>
      <c r="GNL392" s="104"/>
      <c r="GNM392" s="104"/>
      <c r="GNN392" s="119"/>
      <c r="GNO392" s="104"/>
      <c r="GNP392" s="455"/>
      <c r="GNQ392" s="104"/>
      <c r="GNR392" s="104"/>
      <c r="GNS392" s="109"/>
      <c r="GNT392" s="104"/>
      <c r="GNU392" s="104"/>
      <c r="GNV392" s="119"/>
      <c r="GNW392" s="104"/>
      <c r="GNX392" s="455"/>
      <c r="GNY392" s="104"/>
      <c r="GNZ392" s="104"/>
      <c r="GOA392" s="109"/>
      <c r="GOB392" s="104"/>
      <c r="GOC392" s="104"/>
      <c r="GOD392" s="119"/>
      <c r="GOE392" s="104"/>
      <c r="GOF392" s="455"/>
      <c r="GOG392" s="104"/>
      <c r="GOH392" s="104"/>
      <c r="GOI392" s="109"/>
      <c r="GOJ392" s="104"/>
      <c r="GOK392" s="104"/>
      <c r="GOL392" s="119"/>
      <c r="GOM392" s="104"/>
      <c r="GON392" s="455"/>
      <c r="GOO392" s="104"/>
      <c r="GOP392" s="104"/>
      <c r="GOQ392" s="109"/>
      <c r="GOR392" s="104"/>
      <c r="GOS392" s="104"/>
      <c r="GOT392" s="119"/>
      <c r="GOU392" s="104"/>
      <c r="GOV392" s="455"/>
      <c r="GOW392" s="104"/>
      <c r="GOX392" s="104"/>
      <c r="GOY392" s="109"/>
      <c r="GOZ392" s="104"/>
      <c r="GPA392" s="104"/>
      <c r="GPB392" s="119"/>
      <c r="GPC392" s="104"/>
      <c r="GPD392" s="455"/>
      <c r="GPE392" s="104"/>
      <c r="GPF392" s="104"/>
      <c r="GPG392" s="109"/>
      <c r="GPH392" s="104"/>
      <c r="GPI392" s="104"/>
      <c r="GPJ392" s="119"/>
      <c r="GPK392" s="104"/>
      <c r="GPL392" s="455"/>
      <c r="GPM392" s="104"/>
      <c r="GPN392" s="104"/>
      <c r="GPO392" s="109"/>
      <c r="GPP392" s="104"/>
      <c r="GPQ392" s="104"/>
      <c r="GPR392" s="119"/>
      <c r="GPS392" s="104"/>
      <c r="GPT392" s="455"/>
      <c r="GPU392" s="104"/>
      <c r="GPV392" s="104"/>
      <c r="GPW392" s="109"/>
      <c r="GPX392" s="104"/>
      <c r="GPY392" s="104"/>
      <c r="GPZ392" s="119"/>
      <c r="GQA392" s="104"/>
      <c r="GQB392" s="455"/>
      <c r="GQC392" s="104"/>
      <c r="GQD392" s="104"/>
      <c r="GQE392" s="109"/>
      <c r="GQF392" s="104"/>
      <c r="GQG392" s="104"/>
      <c r="GQH392" s="119"/>
      <c r="GQI392" s="104"/>
      <c r="GQJ392" s="455"/>
      <c r="GQK392" s="104"/>
      <c r="GQL392" s="104"/>
      <c r="GQM392" s="109"/>
      <c r="GQN392" s="104"/>
      <c r="GQO392" s="104"/>
      <c r="GQP392" s="119"/>
      <c r="GQQ392" s="104"/>
      <c r="GQR392" s="455"/>
      <c r="GQS392" s="104"/>
      <c r="GQT392" s="104"/>
      <c r="GQU392" s="109"/>
      <c r="GQV392" s="104"/>
      <c r="GQW392" s="104"/>
      <c r="GQX392" s="119"/>
      <c r="GQY392" s="104"/>
      <c r="GQZ392" s="455"/>
      <c r="GRA392" s="104"/>
      <c r="GRB392" s="104"/>
      <c r="GRC392" s="109"/>
      <c r="GRD392" s="104"/>
      <c r="GRE392" s="104"/>
      <c r="GRF392" s="119"/>
      <c r="GRG392" s="104"/>
      <c r="GRH392" s="455"/>
      <c r="GRI392" s="104"/>
      <c r="GRJ392" s="104"/>
      <c r="GRK392" s="109"/>
      <c r="GRL392" s="104"/>
      <c r="GRM392" s="104"/>
      <c r="GRN392" s="119"/>
      <c r="GRO392" s="104"/>
      <c r="GRP392" s="455"/>
      <c r="GRQ392" s="104"/>
      <c r="GRR392" s="104"/>
      <c r="GRS392" s="109"/>
      <c r="GRT392" s="104"/>
      <c r="GRU392" s="104"/>
      <c r="GRV392" s="119"/>
      <c r="GRW392" s="104"/>
      <c r="GRX392" s="455"/>
      <c r="GRY392" s="104"/>
      <c r="GRZ392" s="104"/>
      <c r="GSA392" s="109"/>
      <c r="GSB392" s="104"/>
      <c r="GSC392" s="104"/>
      <c r="GSD392" s="119"/>
      <c r="GSE392" s="104"/>
      <c r="GSF392" s="455"/>
      <c r="GSG392" s="104"/>
      <c r="GSH392" s="104"/>
      <c r="GSI392" s="109"/>
      <c r="GSJ392" s="104"/>
      <c r="GSK392" s="104"/>
      <c r="GSL392" s="119"/>
      <c r="GSM392" s="104"/>
      <c r="GSN392" s="455"/>
      <c r="GSO392" s="104"/>
      <c r="GSP392" s="104"/>
      <c r="GSQ392" s="109"/>
      <c r="GSR392" s="104"/>
      <c r="GSS392" s="104"/>
      <c r="GST392" s="119"/>
      <c r="GSU392" s="104"/>
      <c r="GSV392" s="455"/>
      <c r="GSW392" s="104"/>
      <c r="GSX392" s="104"/>
      <c r="GSY392" s="109"/>
      <c r="GSZ392" s="104"/>
      <c r="GTA392" s="104"/>
      <c r="GTB392" s="119"/>
      <c r="GTC392" s="104"/>
      <c r="GTD392" s="455"/>
      <c r="GTE392" s="104"/>
      <c r="GTF392" s="104"/>
      <c r="GTG392" s="109"/>
      <c r="GTH392" s="104"/>
      <c r="GTI392" s="104"/>
      <c r="GTJ392" s="119"/>
      <c r="GTK392" s="104"/>
      <c r="GTL392" s="455"/>
      <c r="GTM392" s="104"/>
      <c r="GTN392" s="104"/>
      <c r="GTO392" s="109"/>
      <c r="GTP392" s="104"/>
      <c r="GTQ392" s="104"/>
      <c r="GTR392" s="119"/>
      <c r="GTS392" s="104"/>
      <c r="GTT392" s="455"/>
      <c r="GTU392" s="104"/>
      <c r="GTV392" s="104"/>
      <c r="GTW392" s="109"/>
      <c r="GTX392" s="104"/>
      <c r="GTY392" s="104"/>
      <c r="GTZ392" s="119"/>
      <c r="GUA392" s="104"/>
      <c r="GUB392" s="455"/>
      <c r="GUC392" s="104"/>
      <c r="GUD392" s="104"/>
      <c r="GUE392" s="109"/>
      <c r="GUF392" s="104"/>
      <c r="GUG392" s="104"/>
      <c r="GUH392" s="119"/>
      <c r="GUI392" s="104"/>
      <c r="GUJ392" s="455"/>
      <c r="GUK392" s="104"/>
      <c r="GUL392" s="104"/>
      <c r="GUM392" s="109"/>
      <c r="GUN392" s="104"/>
      <c r="GUO392" s="104"/>
      <c r="GUP392" s="119"/>
      <c r="GUQ392" s="104"/>
      <c r="GUR392" s="455"/>
      <c r="GUS392" s="104"/>
      <c r="GUT392" s="104"/>
      <c r="GUU392" s="109"/>
      <c r="GUV392" s="104"/>
      <c r="GUW392" s="104"/>
      <c r="GUX392" s="119"/>
      <c r="GUY392" s="104"/>
      <c r="GUZ392" s="455"/>
      <c r="GVA392" s="104"/>
      <c r="GVB392" s="104"/>
      <c r="GVC392" s="109"/>
      <c r="GVD392" s="104"/>
      <c r="GVE392" s="104"/>
      <c r="GVF392" s="119"/>
      <c r="GVG392" s="104"/>
      <c r="GVH392" s="455"/>
      <c r="GVI392" s="104"/>
      <c r="GVJ392" s="104"/>
      <c r="GVK392" s="109"/>
      <c r="GVL392" s="104"/>
      <c r="GVM392" s="104"/>
      <c r="GVN392" s="119"/>
      <c r="GVO392" s="104"/>
      <c r="GVP392" s="455"/>
      <c r="GVQ392" s="104"/>
      <c r="GVR392" s="104"/>
      <c r="GVS392" s="109"/>
      <c r="GVT392" s="104"/>
      <c r="GVU392" s="104"/>
      <c r="GVV392" s="119"/>
      <c r="GVW392" s="104"/>
      <c r="GVX392" s="455"/>
      <c r="GVY392" s="104"/>
      <c r="GVZ392" s="104"/>
      <c r="GWA392" s="109"/>
      <c r="GWB392" s="104"/>
      <c r="GWC392" s="104"/>
      <c r="GWD392" s="119"/>
      <c r="GWE392" s="104"/>
      <c r="GWF392" s="455"/>
      <c r="GWG392" s="104"/>
      <c r="GWH392" s="104"/>
      <c r="GWI392" s="109"/>
      <c r="GWJ392" s="104"/>
      <c r="GWK392" s="104"/>
      <c r="GWL392" s="119"/>
      <c r="GWM392" s="104"/>
      <c r="GWN392" s="455"/>
      <c r="GWO392" s="104"/>
      <c r="GWP392" s="104"/>
      <c r="GWQ392" s="109"/>
      <c r="GWR392" s="104"/>
      <c r="GWS392" s="104"/>
      <c r="GWT392" s="119"/>
      <c r="GWU392" s="104"/>
      <c r="GWV392" s="455"/>
      <c r="GWW392" s="104"/>
      <c r="GWX392" s="104"/>
      <c r="GWY392" s="109"/>
      <c r="GWZ392" s="104"/>
      <c r="GXA392" s="104"/>
      <c r="GXB392" s="119"/>
      <c r="GXC392" s="104"/>
      <c r="GXD392" s="455"/>
      <c r="GXE392" s="104"/>
      <c r="GXF392" s="104"/>
      <c r="GXG392" s="109"/>
      <c r="GXH392" s="104"/>
      <c r="GXI392" s="104"/>
      <c r="GXJ392" s="119"/>
      <c r="GXK392" s="104"/>
      <c r="GXL392" s="455"/>
      <c r="GXM392" s="104"/>
      <c r="GXN392" s="104"/>
      <c r="GXO392" s="109"/>
      <c r="GXP392" s="104"/>
      <c r="GXQ392" s="104"/>
      <c r="GXR392" s="119"/>
      <c r="GXS392" s="104"/>
      <c r="GXT392" s="455"/>
      <c r="GXU392" s="104"/>
      <c r="GXV392" s="104"/>
      <c r="GXW392" s="109"/>
      <c r="GXX392" s="104"/>
      <c r="GXY392" s="104"/>
      <c r="GXZ392" s="119"/>
      <c r="GYA392" s="104"/>
      <c r="GYB392" s="455"/>
      <c r="GYC392" s="104"/>
      <c r="GYD392" s="104"/>
      <c r="GYE392" s="109"/>
      <c r="GYF392" s="104"/>
      <c r="GYG392" s="104"/>
      <c r="GYH392" s="119"/>
      <c r="GYI392" s="104"/>
      <c r="GYJ392" s="455"/>
      <c r="GYK392" s="104"/>
      <c r="GYL392" s="104"/>
      <c r="GYM392" s="109"/>
      <c r="GYN392" s="104"/>
      <c r="GYO392" s="104"/>
      <c r="GYP392" s="119"/>
      <c r="GYQ392" s="104"/>
      <c r="GYR392" s="455"/>
      <c r="GYS392" s="104"/>
      <c r="GYT392" s="104"/>
      <c r="GYU392" s="109"/>
      <c r="GYV392" s="104"/>
      <c r="GYW392" s="104"/>
      <c r="GYX392" s="119"/>
      <c r="GYY392" s="104"/>
      <c r="GYZ392" s="455"/>
      <c r="GZA392" s="104"/>
      <c r="GZB392" s="104"/>
      <c r="GZC392" s="109"/>
      <c r="GZD392" s="104"/>
      <c r="GZE392" s="104"/>
      <c r="GZF392" s="119"/>
      <c r="GZG392" s="104"/>
      <c r="GZH392" s="455"/>
      <c r="GZI392" s="104"/>
      <c r="GZJ392" s="104"/>
      <c r="GZK392" s="109"/>
      <c r="GZL392" s="104"/>
      <c r="GZM392" s="104"/>
      <c r="GZN392" s="119"/>
      <c r="GZO392" s="104"/>
      <c r="GZP392" s="455"/>
      <c r="GZQ392" s="104"/>
      <c r="GZR392" s="104"/>
      <c r="GZS392" s="109"/>
      <c r="GZT392" s="104"/>
      <c r="GZU392" s="104"/>
      <c r="GZV392" s="119"/>
      <c r="GZW392" s="104"/>
      <c r="GZX392" s="455"/>
      <c r="GZY392" s="104"/>
      <c r="GZZ392" s="104"/>
      <c r="HAA392" s="109"/>
      <c r="HAB392" s="104"/>
      <c r="HAC392" s="104"/>
      <c r="HAD392" s="119"/>
      <c r="HAE392" s="104"/>
      <c r="HAF392" s="455"/>
      <c r="HAG392" s="104"/>
      <c r="HAH392" s="104"/>
      <c r="HAI392" s="109"/>
      <c r="HAJ392" s="104"/>
      <c r="HAK392" s="104"/>
      <c r="HAL392" s="119"/>
      <c r="HAM392" s="104"/>
      <c r="HAN392" s="455"/>
      <c r="HAO392" s="104"/>
      <c r="HAP392" s="104"/>
      <c r="HAQ392" s="109"/>
      <c r="HAR392" s="104"/>
      <c r="HAS392" s="104"/>
      <c r="HAT392" s="119"/>
      <c r="HAU392" s="104"/>
      <c r="HAV392" s="455"/>
      <c r="HAW392" s="104"/>
      <c r="HAX392" s="104"/>
      <c r="HAY392" s="109"/>
      <c r="HAZ392" s="104"/>
      <c r="HBA392" s="104"/>
      <c r="HBB392" s="119"/>
      <c r="HBC392" s="104"/>
      <c r="HBD392" s="455"/>
      <c r="HBE392" s="104"/>
      <c r="HBF392" s="104"/>
      <c r="HBG392" s="109"/>
      <c r="HBH392" s="104"/>
      <c r="HBI392" s="104"/>
      <c r="HBJ392" s="119"/>
      <c r="HBK392" s="104"/>
      <c r="HBL392" s="455"/>
      <c r="HBM392" s="104"/>
      <c r="HBN392" s="104"/>
      <c r="HBO392" s="109"/>
      <c r="HBP392" s="104"/>
      <c r="HBQ392" s="104"/>
      <c r="HBR392" s="119"/>
      <c r="HBS392" s="104"/>
      <c r="HBT392" s="455"/>
      <c r="HBU392" s="104"/>
      <c r="HBV392" s="104"/>
      <c r="HBW392" s="109"/>
      <c r="HBX392" s="104"/>
      <c r="HBY392" s="104"/>
      <c r="HBZ392" s="119"/>
      <c r="HCA392" s="104"/>
      <c r="HCB392" s="455"/>
      <c r="HCC392" s="104"/>
      <c r="HCD392" s="104"/>
      <c r="HCE392" s="109"/>
      <c r="HCF392" s="104"/>
      <c r="HCG392" s="104"/>
      <c r="HCH392" s="119"/>
      <c r="HCI392" s="104"/>
      <c r="HCJ392" s="455"/>
      <c r="HCK392" s="104"/>
      <c r="HCL392" s="104"/>
      <c r="HCM392" s="109"/>
      <c r="HCN392" s="104"/>
      <c r="HCO392" s="104"/>
      <c r="HCP392" s="119"/>
      <c r="HCQ392" s="104"/>
      <c r="HCR392" s="455"/>
      <c r="HCS392" s="104"/>
      <c r="HCT392" s="104"/>
      <c r="HCU392" s="109"/>
      <c r="HCV392" s="104"/>
      <c r="HCW392" s="104"/>
      <c r="HCX392" s="119"/>
      <c r="HCY392" s="104"/>
      <c r="HCZ392" s="455"/>
      <c r="HDA392" s="104"/>
      <c r="HDB392" s="104"/>
      <c r="HDC392" s="109"/>
      <c r="HDD392" s="104"/>
      <c r="HDE392" s="104"/>
      <c r="HDF392" s="119"/>
      <c r="HDG392" s="104"/>
      <c r="HDH392" s="455"/>
      <c r="HDI392" s="104"/>
      <c r="HDJ392" s="104"/>
      <c r="HDK392" s="109"/>
      <c r="HDL392" s="104"/>
      <c r="HDM392" s="104"/>
      <c r="HDN392" s="119"/>
      <c r="HDO392" s="104"/>
      <c r="HDP392" s="455"/>
      <c r="HDQ392" s="104"/>
      <c r="HDR392" s="104"/>
      <c r="HDS392" s="109"/>
      <c r="HDT392" s="104"/>
      <c r="HDU392" s="104"/>
      <c r="HDV392" s="119"/>
      <c r="HDW392" s="104"/>
      <c r="HDX392" s="455"/>
      <c r="HDY392" s="104"/>
      <c r="HDZ392" s="104"/>
      <c r="HEA392" s="109"/>
      <c r="HEB392" s="104"/>
      <c r="HEC392" s="104"/>
      <c r="HED392" s="119"/>
      <c r="HEE392" s="104"/>
      <c r="HEF392" s="455"/>
      <c r="HEG392" s="104"/>
      <c r="HEH392" s="104"/>
      <c r="HEI392" s="109"/>
      <c r="HEJ392" s="104"/>
      <c r="HEK392" s="104"/>
      <c r="HEL392" s="119"/>
      <c r="HEM392" s="104"/>
      <c r="HEN392" s="455"/>
      <c r="HEO392" s="104"/>
      <c r="HEP392" s="104"/>
      <c r="HEQ392" s="109"/>
      <c r="HER392" s="104"/>
      <c r="HES392" s="104"/>
      <c r="HET392" s="119"/>
      <c r="HEU392" s="104"/>
      <c r="HEV392" s="455"/>
      <c r="HEW392" s="104"/>
      <c r="HEX392" s="104"/>
      <c r="HEY392" s="109"/>
      <c r="HEZ392" s="104"/>
      <c r="HFA392" s="104"/>
      <c r="HFB392" s="119"/>
      <c r="HFC392" s="104"/>
      <c r="HFD392" s="455"/>
      <c r="HFE392" s="104"/>
      <c r="HFF392" s="104"/>
      <c r="HFG392" s="109"/>
      <c r="HFH392" s="104"/>
      <c r="HFI392" s="104"/>
      <c r="HFJ392" s="119"/>
      <c r="HFK392" s="104"/>
      <c r="HFL392" s="455"/>
      <c r="HFM392" s="104"/>
      <c r="HFN392" s="104"/>
      <c r="HFO392" s="109"/>
      <c r="HFP392" s="104"/>
      <c r="HFQ392" s="104"/>
      <c r="HFR392" s="119"/>
      <c r="HFS392" s="104"/>
      <c r="HFT392" s="455"/>
      <c r="HFU392" s="104"/>
      <c r="HFV392" s="104"/>
      <c r="HFW392" s="109"/>
      <c r="HFX392" s="104"/>
      <c r="HFY392" s="104"/>
      <c r="HFZ392" s="119"/>
      <c r="HGA392" s="104"/>
      <c r="HGB392" s="455"/>
      <c r="HGC392" s="104"/>
      <c r="HGD392" s="104"/>
      <c r="HGE392" s="109"/>
      <c r="HGF392" s="104"/>
      <c r="HGG392" s="104"/>
      <c r="HGH392" s="119"/>
      <c r="HGI392" s="104"/>
      <c r="HGJ392" s="455"/>
      <c r="HGK392" s="104"/>
      <c r="HGL392" s="104"/>
      <c r="HGM392" s="109"/>
      <c r="HGN392" s="104"/>
      <c r="HGO392" s="104"/>
      <c r="HGP392" s="119"/>
      <c r="HGQ392" s="104"/>
      <c r="HGR392" s="455"/>
      <c r="HGS392" s="104"/>
      <c r="HGT392" s="104"/>
      <c r="HGU392" s="109"/>
      <c r="HGV392" s="104"/>
      <c r="HGW392" s="104"/>
      <c r="HGX392" s="119"/>
      <c r="HGY392" s="104"/>
      <c r="HGZ392" s="455"/>
      <c r="HHA392" s="104"/>
      <c r="HHB392" s="104"/>
      <c r="HHC392" s="109"/>
      <c r="HHD392" s="104"/>
      <c r="HHE392" s="104"/>
      <c r="HHF392" s="119"/>
      <c r="HHG392" s="104"/>
      <c r="HHH392" s="455"/>
      <c r="HHI392" s="104"/>
      <c r="HHJ392" s="104"/>
      <c r="HHK392" s="109"/>
      <c r="HHL392" s="104"/>
      <c r="HHM392" s="104"/>
      <c r="HHN392" s="119"/>
      <c r="HHO392" s="104"/>
      <c r="HHP392" s="455"/>
      <c r="HHQ392" s="104"/>
      <c r="HHR392" s="104"/>
      <c r="HHS392" s="109"/>
      <c r="HHT392" s="104"/>
      <c r="HHU392" s="104"/>
      <c r="HHV392" s="119"/>
      <c r="HHW392" s="104"/>
      <c r="HHX392" s="455"/>
      <c r="HHY392" s="104"/>
      <c r="HHZ392" s="104"/>
      <c r="HIA392" s="109"/>
      <c r="HIB392" s="104"/>
      <c r="HIC392" s="104"/>
      <c r="HID392" s="119"/>
      <c r="HIE392" s="104"/>
      <c r="HIF392" s="455"/>
      <c r="HIG392" s="104"/>
      <c r="HIH392" s="104"/>
      <c r="HII392" s="109"/>
      <c r="HIJ392" s="104"/>
      <c r="HIK392" s="104"/>
      <c r="HIL392" s="119"/>
      <c r="HIM392" s="104"/>
      <c r="HIN392" s="455"/>
      <c r="HIO392" s="104"/>
      <c r="HIP392" s="104"/>
      <c r="HIQ392" s="109"/>
      <c r="HIR392" s="104"/>
      <c r="HIS392" s="104"/>
      <c r="HIT392" s="119"/>
      <c r="HIU392" s="104"/>
      <c r="HIV392" s="455"/>
      <c r="HIW392" s="104"/>
      <c r="HIX392" s="104"/>
      <c r="HIY392" s="109"/>
      <c r="HIZ392" s="104"/>
      <c r="HJA392" s="104"/>
      <c r="HJB392" s="119"/>
      <c r="HJC392" s="104"/>
      <c r="HJD392" s="455"/>
      <c r="HJE392" s="104"/>
      <c r="HJF392" s="104"/>
      <c r="HJG392" s="109"/>
      <c r="HJH392" s="104"/>
      <c r="HJI392" s="104"/>
      <c r="HJJ392" s="119"/>
      <c r="HJK392" s="104"/>
      <c r="HJL392" s="455"/>
      <c r="HJM392" s="104"/>
      <c r="HJN392" s="104"/>
      <c r="HJO392" s="109"/>
      <c r="HJP392" s="104"/>
      <c r="HJQ392" s="104"/>
      <c r="HJR392" s="119"/>
      <c r="HJS392" s="104"/>
      <c r="HJT392" s="455"/>
      <c r="HJU392" s="104"/>
      <c r="HJV392" s="104"/>
      <c r="HJW392" s="109"/>
      <c r="HJX392" s="104"/>
      <c r="HJY392" s="104"/>
      <c r="HJZ392" s="119"/>
      <c r="HKA392" s="104"/>
      <c r="HKB392" s="455"/>
      <c r="HKC392" s="104"/>
      <c r="HKD392" s="104"/>
      <c r="HKE392" s="109"/>
      <c r="HKF392" s="104"/>
      <c r="HKG392" s="104"/>
      <c r="HKH392" s="119"/>
      <c r="HKI392" s="104"/>
      <c r="HKJ392" s="455"/>
      <c r="HKK392" s="104"/>
      <c r="HKL392" s="104"/>
      <c r="HKM392" s="109"/>
      <c r="HKN392" s="104"/>
      <c r="HKO392" s="104"/>
      <c r="HKP392" s="119"/>
      <c r="HKQ392" s="104"/>
      <c r="HKR392" s="455"/>
      <c r="HKS392" s="104"/>
      <c r="HKT392" s="104"/>
      <c r="HKU392" s="109"/>
      <c r="HKV392" s="104"/>
      <c r="HKW392" s="104"/>
      <c r="HKX392" s="119"/>
      <c r="HKY392" s="104"/>
      <c r="HKZ392" s="455"/>
      <c r="HLA392" s="104"/>
      <c r="HLB392" s="104"/>
      <c r="HLC392" s="109"/>
      <c r="HLD392" s="104"/>
      <c r="HLE392" s="104"/>
      <c r="HLF392" s="119"/>
      <c r="HLG392" s="104"/>
      <c r="HLH392" s="455"/>
      <c r="HLI392" s="104"/>
      <c r="HLJ392" s="104"/>
      <c r="HLK392" s="109"/>
      <c r="HLL392" s="104"/>
      <c r="HLM392" s="104"/>
      <c r="HLN392" s="119"/>
      <c r="HLO392" s="104"/>
      <c r="HLP392" s="455"/>
      <c r="HLQ392" s="104"/>
      <c r="HLR392" s="104"/>
      <c r="HLS392" s="109"/>
      <c r="HLT392" s="104"/>
      <c r="HLU392" s="104"/>
      <c r="HLV392" s="119"/>
      <c r="HLW392" s="104"/>
      <c r="HLX392" s="455"/>
      <c r="HLY392" s="104"/>
      <c r="HLZ392" s="104"/>
      <c r="HMA392" s="109"/>
      <c r="HMB392" s="104"/>
      <c r="HMC392" s="104"/>
      <c r="HMD392" s="119"/>
      <c r="HME392" s="104"/>
      <c r="HMF392" s="455"/>
      <c r="HMG392" s="104"/>
      <c r="HMH392" s="104"/>
      <c r="HMI392" s="109"/>
      <c r="HMJ392" s="104"/>
      <c r="HMK392" s="104"/>
      <c r="HML392" s="119"/>
      <c r="HMM392" s="104"/>
      <c r="HMN392" s="455"/>
      <c r="HMO392" s="104"/>
      <c r="HMP392" s="104"/>
      <c r="HMQ392" s="109"/>
      <c r="HMR392" s="104"/>
      <c r="HMS392" s="104"/>
      <c r="HMT392" s="119"/>
      <c r="HMU392" s="104"/>
      <c r="HMV392" s="455"/>
      <c r="HMW392" s="104"/>
      <c r="HMX392" s="104"/>
      <c r="HMY392" s="109"/>
      <c r="HMZ392" s="104"/>
      <c r="HNA392" s="104"/>
      <c r="HNB392" s="119"/>
      <c r="HNC392" s="104"/>
      <c r="HND392" s="455"/>
      <c r="HNE392" s="104"/>
      <c r="HNF392" s="104"/>
      <c r="HNG392" s="109"/>
      <c r="HNH392" s="104"/>
      <c r="HNI392" s="104"/>
      <c r="HNJ392" s="119"/>
      <c r="HNK392" s="104"/>
      <c r="HNL392" s="455"/>
      <c r="HNM392" s="104"/>
      <c r="HNN392" s="104"/>
      <c r="HNO392" s="109"/>
      <c r="HNP392" s="104"/>
      <c r="HNQ392" s="104"/>
      <c r="HNR392" s="119"/>
      <c r="HNS392" s="104"/>
      <c r="HNT392" s="455"/>
      <c r="HNU392" s="104"/>
      <c r="HNV392" s="104"/>
      <c r="HNW392" s="109"/>
      <c r="HNX392" s="104"/>
      <c r="HNY392" s="104"/>
      <c r="HNZ392" s="119"/>
      <c r="HOA392" s="104"/>
      <c r="HOB392" s="455"/>
      <c r="HOC392" s="104"/>
      <c r="HOD392" s="104"/>
      <c r="HOE392" s="109"/>
      <c r="HOF392" s="104"/>
      <c r="HOG392" s="104"/>
      <c r="HOH392" s="119"/>
      <c r="HOI392" s="104"/>
      <c r="HOJ392" s="455"/>
      <c r="HOK392" s="104"/>
      <c r="HOL392" s="104"/>
      <c r="HOM392" s="109"/>
      <c r="HON392" s="104"/>
      <c r="HOO392" s="104"/>
      <c r="HOP392" s="119"/>
      <c r="HOQ392" s="104"/>
      <c r="HOR392" s="455"/>
      <c r="HOS392" s="104"/>
      <c r="HOT392" s="104"/>
      <c r="HOU392" s="109"/>
      <c r="HOV392" s="104"/>
      <c r="HOW392" s="104"/>
      <c r="HOX392" s="119"/>
      <c r="HOY392" s="104"/>
      <c r="HOZ392" s="455"/>
      <c r="HPA392" s="104"/>
      <c r="HPB392" s="104"/>
      <c r="HPC392" s="109"/>
      <c r="HPD392" s="104"/>
      <c r="HPE392" s="104"/>
      <c r="HPF392" s="119"/>
      <c r="HPG392" s="104"/>
      <c r="HPH392" s="455"/>
      <c r="HPI392" s="104"/>
      <c r="HPJ392" s="104"/>
      <c r="HPK392" s="109"/>
      <c r="HPL392" s="104"/>
      <c r="HPM392" s="104"/>
      <c r="HPN392" s="119"/>
      <c r="HPO392" s="104"/>
      <c r="HPP392" s="455"/>
      <c r="HPQ392" s="104"/>
      <c r="HPR392" s="104"/>
      <c r="HPS392" s="109"/>
      <c r="HPT392" s="104"/>
      <c r="HPU392" s="104"/>
      <c r="HPV392" s="119"/>
      <c r="HPW392" s="104"/>
      <c r="HPX392" s="455"/>
      <c r="HPY392" s="104"/>
      <c r="HPZ392" s="104"/>
      <c r="HQA392" s="109"/>
      <c r="HQB392" s="104"/>
      <c r="HQC392" s="104"/>
      <c r="HQD392" s="119"/>
      <c r="HQE392" s="104"/>
      <c r="HQF392" s="455"/>
      <c r="HQG392" s="104"/>
      <c r="HQH392" s="104"/>
      <c r="HQI392" s="109"/>
      <c r="HQJ392" s="104"/>
      <c r="HQK392" s="104"/>
      <c r="HQL392" s="119"/>
      <c r="HQM392" s="104"/>
      <c r="HQN392" s="455"/>
      <c r="HQO392" s="104"/>
      <c r="HQP392" s="104"/>
      <c r="HQQ392" s="109"/>
      <c r="HQR392" s="104"/>
      <c r="HQS392" s="104"/>
      <c r="HQT392" s="119"/>
      <c r="HQU392" s="104"/>
      <c r="HQV392" s="455"/>
      <c r="HQW392" s="104"/>
      <c r="HQX392" s="104"/>
      <c r="HQY392" s="109"/>
      <c r="HQZ392" s="104"/>
      <c r="HRA392" s="104"/>
      <c r="HRB392" s="119"/>
      <c r="HRC392" s="104"/>
      <c r="HRD392" s="455"/>
      <c r="HRE392" s="104"/>
      <c r="HRF392" s="104"/>
      <c r="HRG392" s="109"/>
      <c r="HRH392" s="104"/>
      <c r="HRI392" s="104"/>
      <c r="HRJ392" s="119"/>
      <c r="HRK392" s="104"/>
      <c r="HRL392" s="455"/>
      <c r="HRM392" s="104"/>
      <c r="HRN392" s="104"/>
      <c r="HRO392" s="109"/>
      <c r="HRP392" s="104"/>
      <c r="HRQ392" s="104"/>
      <c r="HRR392" s="119"/>
      <c r="HRS392" s="104"/>
      <c r="HRT392" s="455"/>
      <c r="HRU392" s="104"/>
      <c r="HRV392" s="104"/>
      <c r="HRW392" s="109"/>
      <c r="HRX392" s="104"/>
      <c r="HRY392" s="104"/>
      <c r="HRZ392" s="119"/>
      <c r="HSA392" s="104"/>
      <c r="HSB392" s="455"/>
      <c r="HSC392" s="104"/>
      <c r="HSD392" s="104"/>
      <c r="HSE392" s="109"/>
      <c r="HSF392" s="104"/>
      <c r="HSG392" s="104"/>
      <c r="HSH392" s="119"/>
      <c r="HSI392" s="104"/>
      <c r="HSJ392" s="455"/>
      <c r="HSK392" s="104"/>
      <c r="HSL392" s="104"/>
      <c r="HSM392" s="109"/>
      <c r="HSN392" s="104"/>
      <c r="HSO392" s="104"/>
      <c r="HSP392" s="119"/>
      <c r="HSQ392" s="104"/>
      <c r="HSR392" s="455"/>
      <c r="HSS392" s="104"/>
      <c r="HST392" s="104"/>
      <c r="HSU392" s="109"/>
      <c r="HSV392" s="104"/>
      <c r="HSW392" s="104"/>
      <c r="HSX392" s="119"/>
      <c r="HSY392" s="104"/>
      <c r="HSZ392" s="455"/>
      <c r="HTA392" s="104"/>
      <c r="HTB392" s="104"/>
      <c r="HTC392" s="109"/>
      <c r="HTD392" s="104"/>
      <c r="HTE392" s="104"/>
      <c r="HTF392" s="119"/>
      <c r="HTG392" s="104"/>
      <c r="HTH392" s="455"/>
      <c r="HTI392" s="104"/>
      <c r="HTJ392" s="104"/>
      <c r="HTK392" s="109"/>
      <c r="HTL392" s="104"/>
      <c r="HTM392" s="104"/>
      <c r="HTN392" s="119"/>
      <c r="HTO392" s="104"/>
      <c r="HTP392" s="455"/>
      <c r="HTQ392" s="104"/>
      <c r="HTR392" s="104"/>
      <c r="HTS392" s="109"/>
      <c r="HTT392" s="104"/>
      <c r="HTU392" s="104"/>
      <c r="HTV392" s="119"/>
      <c r="HTW392" s="104"/>
      <c r="HTX392" s="455"/>
      <c r="HTY392" s="104"/>
      <c r="HTZ392" s="104"/>
      <c r="HUA392" s="109"/>
      <c r="HUB392" s="104"/>
      <c r="HUC392" s="104"/>
      <c r="HUD392" s="119"/>
      <c r="HUE392" s="104"/>
      <c r="HUF392" s="455"/>
      <c r="HUG392" s="104"/>
      <c r="HUH392" s="104"/>
      <c r="HUI392" s="109"/>
      <c r="HUJ392" s="104"/>
      <c r="HUK392" s="104"/>
      <c r="HUL392" s="119"/>
      <c r="HUM392" s="104"/>
      <c r="HUN392" s="455"/>
      <c r="HUO392" s="104"/>
      <c r="HUP392" s="104"/>
      <c r="HUQ392" s="109"/>
      <c r="HUR392" s="104"/>
      <c r="HUS392" s="104"/>
      <c r="HUT392" s="119"/>
      <c r="HUU392" s="104"/>
      <c r="HUV392" s="455"/>
      <c r="HUW392" s="104"/>
      <c r="HUX392" s="104"/>
      <c r="HUY392" s="109"/>
      <c r="HUZ392" s="104"/>
      <c r="HVA392" s="104"/>
      <c r="HVB392" s="119"/>
      <c r="HVC392" s="104"/>
      <c r="HVD392" s="455"/>
      <c r="HVE392" s="104"/>
      <c r="HVF392" s="104"/>
      <c r="HVG392" s="109"/>
      <c r="HVH392" s="104"/>
      <c r="HVI392" s="104"/>
      <c r="HVJ392" s="119"/>
      <c r="HVK392" s="104"/>
      <c r="HVL392" s="455"/>
      <c r="HVM392" s="104"/>
      <c r="HVN392" s="104"/>
      <c r="HVO392" s="109"/>
      <c r="HVP392" s="104"/>
      <c r="HVQ392" s="104"/>
      <c r="HVR392" s="119"/>
      <c r="HVS392" s="104"/>
      <c r="HVT392" s="455"/>
      <c r="HVU392" s="104"/>
      <c r="HVV392" s="104"/>
      <c r="HVW392" s="109"/>
      <c r="HVX392" s="104"/>
      <c r="HVY392" s="104"/>
      <c r="HVZ392" s="119"/>
      <c r="HWA392" s="104"/>
      <c r="HWB392" s="455"/>
      <c r="HWC392" s="104"/>
      <c r="HWD392" s="104"/>
      <c r="HWE392" s="109"/>
      <c r="HWF392" s="104"/>
      <c r="HWG392" s="104"/>
      <c r="HWH392" s="119"/>
      <c r="HWI392" s="104"/>
      <c r="HWJ392" s="455"/>
      <c r="HWK392" s="104"/>
      <c r="HWL392" s="104"/>
      <c r="HWM392" s="109"/>
      <c r="HWN392" s="104"/>
      <c r="HWO392" s="104"/>
      <c r="HWP392" s="119"/>
      <c r="HWQ392" s="104"/>
      <c r="HWR392" s="455"/>
      <c r="HWS392" s="104"/>
      <c r="HWT392" s="104"/>
      <c r="HWU392" s="109"/>
      <c r="HWV392" s="104"/>
      <c r="HWW392" s="104"/>
      <c r="HWX392" s="119"/>
      <c r="HWY392" s="104"/>
      <c r="HWZ392" s="455"/>
      <c r="HXA392" s="104"/>
      <c r="HXB392" s="104"/>
      <c r="HXC392" s="109"/>
      <c r="HXD392" s="104"/>
      <c r="HXE392" s="104"/>
      <c r="HXF392" s="119"/>
      <c r="HXG392" s="104"/>
      <c r="HXH392" s="455"/>
      <c r="HXI392" s="104"/>
      <c r="HXJ392" s="104"/>
      <c r="HXK392" s="109"/>
      <c r="HXL392" s="104"/>
      <c r="HXM392" s="104"/>
      <c r="HXN392" s="119"/>
      <c r="HXO392" s="104"/>
      <c r="HXP392" s="455"/>
      <c r="HXQ392" s="104"/>
      <c r="HXR392" s="104"/>
      <c r="HXS392" s="109"/>
      <c r="HXT392" s="104"/>
      <c r="HXU392" s="104"/>
      <c r="HXV392" s="119"/>
      <c r="HXW392" s="104"/>
      <c r="HXX392" s="455"/>
      <c r="HXY392" s="104"/>
      <c r="HXZ392" s="104"/>
      <c r="HYA392" s="109"/>
      <c r="HYB392" s="104"/>
      <c r="HYC392" s="104"/>
      <c r="HYD392" s="119"/>
      <c r="HYE392" s="104"/>
      <c r="HYF392" s="455"/>
      <c r="HYG392" s="104"/>
      <c r="HYH392" s="104"/>
      <c r="HYI392" s="109"/>
      <c r="HYJ392" s="104"/>
      <c r="HYK392" s="104"/>
      <c r="HYL392" s="119"/>
      <c r="HYM392" s="104"/>
      <c r="HYN392" s="455"/>
      <c r="HYO392" s="104"/>
      <c r="HYP392" s="104"/>
      <c r="HYQ392" s="109"/>
      <c r="HYR392" s="104"/>
      <c r="HYS392" s="104"/>
      <c r="HYT392" s="119"/>
      <c r="HYU392" s="104"/>
      <c r="HYV392" s="455"/>
      <c r="HYW392" s="104"/>
      <c r="HYX392" s="104"/>
      <c r="HYY392" s="109"/>
      <c r="HYZ392" s="104"/>
      <c r="HZA392" s="104"/>
      <c r="HZB392" s="119"/>
      <c r="HZC392" s="104"/>
      <c r="HZD392" s="455"/>
      <c r="HZE392" s="104"/>
      <c r="HZF392" s="104"/>
      <c r="HZG392" s="109"/>
      <c r="HZH392" s="104"/>
      <c r="HZI392" s="104"/>
      <c r="HZJ392" s="119"/>
      <c r="HZK392" s="104"/>
      <c r="HZL392" s="455"/>
      <c r="HZM392" s="104"/>
      <c r="HZN392" s="104"/>
      <c r="HZO392" s="109"/>
      <c r="HZP392" s="104"/>
      <c r="HZQ392" s="104"/>
      <c r="HZR392" s="119"/>
      <c r="HZS392" s="104"/>
      <c r="HZT392" s="455"/>
      <c r="HZU392" s="104"/>
      <c r="HZV392" s="104"/>
      <c r="HZW392" s="109"/>
      <c r="HZX392" s="104"/>
      <c r="HZY392" s="104"/>
      <c r="HZZ392" s="119"/>
      <c r="IAA392" s="104"/>
      <c r="IAB392" s="455"/>
      <c r="IAC392" s="104"/>
      <c r="IAD392" s="104"/>
      <c r="IAE392" s="109"/>
      <c r="IAF392" s="104"/>
      <c r="IAG392" s="104"/>
      <c r="IAH392" s="119"/>
      <c r="IAI392" s="104"/>
      <c r="IAJ392" s="455"/>
      <c r="IAK392" s="104"/>
      <c r="IAL392" s="104"/>
      <c r="IAM392" s="109"/>
      <c r="IAN392" s="104"/>
      <c r="IAO392" s="104"/>
      <c r="IAP392" s="119"/>
      <c r="IAQ392" s="104"/>
      <c r="IAR392" s="455"/>
      <c r="IAS392" s="104"/>
      <c r="IAT392" s="104"/>
      <c r="IAU392" s="109"/>
      <c r="IAV392" s="104"/>
      <c r="IAW392" s="104"/>
      <c r="IAX392" s="119"/>
      <c r="IAY392" s="104"/>
      <c r="IAZ392" s="455"/>
      <c r="IBA392" s="104"/>
      <c r="IBB392" s="104"/>
      <c r="IBC392" s="109"/>
      <c r="IBD392" s="104"/>
      <c r="IBE392" s="104"/>
      <c r="IBF392" s="119"/>
      <c r="IBG392" s="104"/>
      <c r="IBH392" s="455"/>
      <c r="IBI392" s="104"/>
      <c r="IBJ392" s="104"/>
      <c r="IBK392" s="109"/>
      <c r="IBL392" s="104"/>
      <c r="IBM392" s="104"/>
      <c r="IBN392" s="119"/>
      <c r="IBO392" s="104"/>
      <c r="IBP392" s="455"/>
      <c r="IBQ392" s="104"/>
      <c r="IBR392" s="104"/>
      <c r="IBS392" s="109"/>
      <c r="IBT392" s="104"/>
      <c r="IBU392" s="104"/>
      <c r="IBV392" s="119"/>
      <c r="IBW392" s="104"/>
      <c r="IBX392" s="455"/>
      <c r="IBY392" s="104"/>
      <c r="IBZ392" s="104"/>
      <c r="ICA392" s="109"/>
      <c r="ICB392" s="104"/>
      <c r="ICC392" s="104"/>
      <c r="ICD392" s="119"/>
      <c r="ICE392" s="104"/>
      <c r="ICF392" s="455"/>
      <c r="ICG392" s="104"/>
      <c r="ICH392" s="104"/>
      <c r="ICI392" s="109"/>
      <c r="ICJ392" s="104"/>
      <c r="ICK392" s="104"/>
      <c r="ICL392" s="119"/>
      <c r="ICM392" s="104"/>
      <c r="ICN392" s="455"/>
      <c r="ICO392" s="104"/>
      <c r="ICP392" s="104"/>
      <c r="ICQ392" s="109"/>
      <c r="ICR392" s="104"/>
      <c r="ICS392" s="104"/>
      <c r="ICT392" s="119"/>
      <c r="ICU392" s="104"/>
      <c r="ICV392" s="455"/>
      <c r="ICW392" s="104"/>
      <c r="ICX392" s="104"/>
      <c r="ICY392" s="109"/>
      <c r="ICZ392" s="104"/>
      <c r="IDA392" s="104"/>
      <c r="IDB392" s="119"/>
      <c r="IDC392" s="104"/>
      <c r="IDD392" s="455"/>
      <c r="IDE392" s="104"/>
      <c r="IDF392" s="104"/>
      <c r="IDG392" s="109"/>
      <c r="IDH392" s="104"/>
      <c r="IDI392" s="104"/>
      <c r="IDJ392" s="119"/>
      <c r="IDK392" s="104"/>
      <c r="IDL392" s="455"/>
      <c r="IDM392" s="104"/>
      <c r="IDN392" s="104"/>
      <c r="IDO392" s="109"/>
      <c r="IDP392" s="104"/>
      <c r="IDQ392" s="104"/>
      <c r="IDR392" s="119"/>
      <c r="IDS392" s="104"/>
      <c r="IDT392" s="455"/>
      <c r="IDU392" s="104"/>
      <c r="IDV392" s="104"/>
      <c r="IDW392" s="109"/>
      <c r="IDX392" s="104"/>
      <c r="IDY392" s="104"/>
      <c r="IDZ392" s="119"/>
      <c r="IEA392" s="104"/>
      <c r="IEB392" s="455"/>
      <c r="IEC392" s="104"/>
      <c r="IED392" s="104"/>
      <c r="IEE392" s="109"/>
      <c r="IEF392" s="104"/>
      <c r="IEG392" s="104"/>
      <c r="IEH392" s="119"/>
      <c r="IEI392" s="104"/>
      <c r="IEJ392" s="455"/>
      <c r="IEK392" s="104"/>
      <c r="IEL392" s="104"/>
      <c r="IEM392" s="109"/>
      <c r="IEN392" s="104"/>
      <c r="IEO392" s="104"/>
      <c r="IEP392" s="119"/>
      <c r="IEQ392" s="104"/>
      <c r="IER392" s="455"/>
      <c r="IES392" s="104"/>
      <c r="IET392" s="104"/>
      <c r="IEU392" s="109"/>
      <c r="IEV392" s="104"/>
      <c r="IEW392" s="104"/>
      <c r="IEX392" s="119"/>
      <c r="IEY392" s="104"/>
      <c r="IEZ392" s="455"/>
      <c r="IFA392" s="104"/>
      <c r="IFB392" s="104"/>
      <c r="IFC392" s="109"/>
      <c r="IFD392" s="104"/>
      <c r="IFE392" s="104"/>
      <c r="IFF392" s="119"/>
      <c r="IFG392" s="104"/>
      <c r="IFH392" s="455"/>
      <c r="IFI392" s="104"/>
      <c r="IFJ392" s="104"/>
      <c r="IFK392" s="109"/>
      <c r="IFL392" s="104"/>
      <c r="IFM392" s="104"/>
      <c r="IFN392" s="119"/>
      <c r="IFO392" s="104"/>
      <c r="IFP392" s="455"/>
      <c r="IFQ392" s="104"/>
      <c r="IFR392" s="104"/>
      <c r="IFS392" s="109"/>
      <c r="IFT392" s="104"/>
      <c r="IFU392" s="104"/>
      <c r="IFV392" s="119"/>
      <c r="IFW392" s="104"/>
      <c r="IFX392" s="455"/>
      <c r="IFY392" s="104"/>
      <c r="IFZ392" s="104"/>
      <c r="IGA392" s="109"/>
      <c r="IGB392" s="104"/>
      <c r="IGC392" s="104"/>
      <c r="IGD392" s="119"/>
      <c r="IGE392" s="104"/>
      <c r="IGF392" s="455"/>
      <c r="IGG392" s="104"/>
      <c r="IGH392" s="104"/>
      <c r="IGI392" s="109"/>
      <c r="IGJ392" s="104"/>
      <c r="IGK392" s="104"/>
      <c r="IGL392" s="119"/>
      <c r="IGM392" s="104"/>
      <c r="IGN392" s="455"/>
      <c r="IGO392" s="104"/>
      <c r="IGP392" s="104"/>
      <c r="IGQ392" s="109"/>
      <c r="IGR392" s="104"/>
      <c r="IGS392" s="104"/>
      <c r="IGT392" s="119"/>
      <c r="IGU392" s="104"/>
      <c r="IGV392" s="455"/>
      <c r="IGW392" s="104"/>
      <c r="IGX392" s="104"/>
      <c r="IGY392" s="109"/>
      <c r="IGZ392" s="104"/>
      <c r="IHA392" s="104"/>
      <c r="IHB392" s="119"/>
      <c r="IHC392" s="104"/>
      <c r="IHD392" s="455"/>
      <c r="IHE392" s="104"/>
      <c r="IHF392" s="104"/>
      <c r="IHG392" s="109"/>
      <c r="IHH392" s="104"/>
      <c r="IHI392" s="104"/>
      <c r="IHJ392" s="119"/>
      <c r="IHK392" s="104"/>
      <c r="IHL392" s="455"/>
      <c r="IHM392" s="104"/>
      <c r="IHN392" s="104"/>
      <c r="IHO392" s="109"/>
      <c r="IHP392" s="104"/>
      <c r="IHQ392" s="104"/>
      <c r="IHR392" s="119"/>
      <c r="IHS392" s="104"/>
      <c r="IHT392" s="455"/>
      <c r="IHU392" s="104"/>
      <c r="IHV392" s="104"/>
      <c r="IHW392" s="109"/>
      <c r="IHX392" s="104"/>
      <c r="IHY392" s="104"/>
      <c r="IHZ392" s="119"/>
      <c r="IIA392" s="104"/>
      <c r="IIB392" s="455"/>
      <c r="IIC392" s="104"/>
      <c r="IID392" s="104"/>
      <c r="IIE392" s="109"/>
      <c r="IIF392" s="104"/>
      <c r="IIG392" s="104"/>
      <c r="IIH392" s="119"/>
      <c r="III392" s="104"/>
      <c r="IIJ392" s="455"/>
      <c r="IIK392" s="104"/>
      <c r="IIL392" s="104"/>
      <c r="IIM392" s="109"/>
      <c r="IIN392" s="104"/>
      <c r="IIO392" s="104"/>
      <c r="IIP392" s="119"/>
      <c r="IIQ392" s="104"/>
      <c r="IIR392" s="455"/>
      <c r="IIS392" s="104"/>
      <c r="IIT392" s="104"/>
      <c r="IIU392" s="109"/>
      <c r="IIV392" s="104"/>
      <c r="IIW392" s="104"/>
      <c r="IIX392" s="119"/>
      <c r="IIY392" s="104"/>
      <c r="IIZ392" s="455"/>
      <c r="IJA392" s="104"/>
      <c r="IJB392" s="104"/>
      <c r="IJC392" s="109"/>
      <c r="IJD392" s="104"/>
      <c r="IJE392" s="104"/>
      <c r="IJF392" s="119"/>
      <c r="IJG392" s="104"/>
      <c r="IJH392" s="455"/>
      <c r="IJI392" s="104"/>
      <c r="IJJ392" s="104"/>
      <c r="IJK392" s="109"/>
      <c r="IJL392" s="104"/>
      <c r="IJM392" s="104"/>
      <c r="IJN392" s="119"/>
      <c r="IJO392" s="104"/>
      <c r="IJP392" s="455"/>
      <c r="IJQ392" s="104"/>
      <c r="IJR392" s="104"/>
      <c r="IJS392" s="109"/>
      <c r="IJT392" s="104"/>
      <c r="IJU392" s="104"/>
      <c r="IJV392" s="119"/>
      <c r="IJW392" s="104"/>
      <c r="IJX392" s="455"/>
      <c r="IJY392" s="104"/>
      <c r="IJZ392" s="104"/>
      <c r="IKA392" s="109"/>
      <c r="IKB392" s="104"/>
      <c r="IKC392" s="104"/>
      <c r="IKD392" s="119"/>
      <c r="IKE392" s="104"/>
      <c r="IKF392" s="455"/>
      <c r="IKG392" s="104"/>
      <c r="IKH392" s="104"/>
      <c r="IKI392" s="109"/>
      <c r="IKJ392" s="104"/>
      <c r="IKK392" s="104"/>
      <c r="IKL392" s="119"/>
      <c r="IKM392" s="104"/>
      <c r="IKN392" s="455"/>
      <c r="IKO392" s="104"/>
      <c r="IKP392" s="104"/>
      <c r="IKQ392" s="109"/>
      <c r="IKR392" s="104"/>
      <c r="IKS392" s="104"/>
      <c r="IKT392" s="119"/>
      <c r="IKU392" s="104"/>
      <c r="IKV392" s="455"/>
      <c r="IKW392" s="104"/>
      <c r="IKX392" s="104"/>
      <c r="IKY392" s="109"/>
      <c r="IKZ392" s="104"/>
      <c r="ILA392" s="104"/>
      <c r="ILB392" s="119"/>
      <c r="ILC392" s="104"/>
      <c r="ILD392" s="455"/>
      <c r="ILE392" s="104"/>
      <c r="ILF392" s="104"/>
      <c r="ILG392" s="109"/>
      <c r="ILH392" s="104"/>
      <c r="ILI392" s="104"/>
      <c r="ILJ392" s="119"/>
      <c r="ILK392" s="104"/>
      <c r="ILL392" s="455"/>
      <c r="ILM392" s="104"/>
      <c r="ILN392" s="104"/>
      <c r="ILO392" s="109"/>
      <c r="ILP392" s="104"/>
      <c r="ILQ392" s="104"/>
      <c r="ILR392" s="119"/>
      <c r="ILS392" s="104"/>
      <c r="ILT392" s="455"/>
      <c r="ILU392" s="104"/>
      <c r="ILV392" s="104"/>
      <c r="ILW392" s="109"/>
      <c r="ILX392" s="104"/>
      <c r="ILY392" s="104"/>
      <c r="ILZ392" s="119"/>
      <c r="IMA392" s="104"/>
      <c r="IMB392" s="455"/>
      <c r="IMC392" s="104"/>
      <c r="IMD392" s="104"/>
      <c r="IME392" s="109"/>
      <c r="IMF392" s="104"/>
      <c r="IMG392" s="104"/>
      <c r="IMH392" s="119"/>
      <c r="IMI392" s="104"/>
      <c r="IMJ392" s="455"/>
      <c r="IMK392" s="104"/>
      <c r="IML392" s="104"/>
      <c r="IMM392" s="109"/>
      <c r="IMN392" s="104"/>
      <c r="IMO392" s="104"/>
      <c r="IMP392" s="119"/>
      <c r="IMQ392" s="104"/>
      <c r="IMR392" s="455"/>
      <c r="IMS392" s="104"/>
      <c r="IMT392" s="104"/>
      <c r="IMU392" s="109"/>
      <c r="IMV392" s="104"/>
      <c r="IMW392" s="104"/>
      <c r="IMX392" s="119"/>
      <c r="IMY392" s="104"/>
      <c r="IMZ392" s="455"/>
      <c r="INA392" s="104"/>
      <c r="INB392" s="104"/>
      <c r="INC392" s="109"/>
      <c r="IND392" s="104"/>
      <c r="INE392" s="104"/>
      <c r="INF392" s="119"/>
      <c r="ING392" s="104"/>
      <c r="INH392" s="455"/>
      <c r="INI392" s="104"/>
      <c r="INJ392" s="104"/>
      <c r="INK392" s="109"/>
      <c r="INL392" s="104"/>
      <c r="INM392" s="104"/>
      <c r="INN392" s="119"/>
      <c r="INO392" s="104"/>
      <c r="INP392" s="455"/>
      <c r="INQ392" s="104"/>
      <c r="INR392" s="104"/>
      <c r="INS392" s="109"/>
      <c r="INT392" s="104"/>
      <c r="INU392" s="104"/>
      <c r="INV392" s="119"/>
      <c r="INW392" s="104"/>
      <c r="INX392" s="455"/>
      <c r="INY392" s="104"/>
      <c r="INZ392" s="104"/>
      <c r="IOA392" s="109"/>
      <c r="IOB392" s="104"/>
      <c r="IOC392" s="104"/>
      <c r="IOD392" s="119"/>
      <c r="IOE392" s="104"/>
      <c r="IOF392" s="455"/>
      <c r="IOG392" s="104"/>
      <c r="IOH392" s="104"/>
      <c r="IOI392" s="109"/>
      <c r="IOJ392" s="104"/>
      <c r="IOK392" s="104"/>
      <c r="IOL392" s="119"/>
      <c r="IOM392" s="104"/>
      <c r="ION392" s="455"/>
      <c r="IOO392" s="104"/>
      <c r="IOP392" s="104"/>
      <c r="IOQ392" s="109"/>
      <c r="IOR392" s="104"/>
      <c r="IOS392" s="104"/>
      <c r="IOT392" s="119"/>
      <c r="IOU392" s="104"/>
      <c r="IOV392" s="455"/>
      <c r="IOW392" s="104"/>
      <c r="IOX392" s="104"/>
      <c r="IOY392" s="109"/>
      <c r="IOZ392" s="104"/>
      <c r="IPA392" s="104"/>
      <c r="IPB392" s="119"/>
      <c r="IPC392" s="104"/>
      <c r="IPD392" s="455"/>
      <c r="IPE392" s="104"/>
      <c r="IPF392" s="104"/>
      <c r="IPG392" s="109"/>
      <c r="IPH392" s="104"/>
      <c r="IPI392" s="104"/>
      <c r="IPJ392" s="119"/>
      <c r="IPK392" s="104"/>
      <c r="IPL392" s="455"/>
      <c r="IPM392" s="104"/>
      <c r="IPN392" s="104"/>
      <c r="IPO392" s="109"/>
      <c r="IPP392" s="104"/>
      <c r="IPQ392" s="104"/>
      <c r="IPR392" s="119"/>
      <c r="IPS392" s="104"/>
      <c r="IPT392" s="455"/>
      <c r="IPU392" s="104"/>
      <c r="IPV392" s="104"/>
      <c r="IPW392" s="109"/>
      <c r="IPX392" s="104"/>
      <c r="IPY392" s="104"/>
      <c r="IPZ392" s="119"/>
      <c r="IQA392" s="104"/>
      <c r="IQB392" s="455"/>
      <c r="IQC392" s="104"/>
      <c r="IQD392" s="104"/>
      <c r="IQE392" s="109"/>
      <c r="IQF392" s="104"/>
      <c r="IQG392" s="104"/>
      <c r="IQH392" s="119"/>
      <c r="IQI392" s="104"/>
      <c r="IQJ392" s="455"/>
      <c r="IQK392" s="104"/>
      <c r="IQL392" s="104"/>
      <c r="IQM392" s="109"/>
      <c r="IQN392" s="104"/>
      <c r="IQO392" s="104"/>
      <c r="IQP392" s="119"/>
      <c r="IQQ392" s="104"/>
      <c r="IQR392" s="455"/>
      <c r="IQS392" s="104"/>
      <c r="IQT392" s="104"/>
      <c r="IQU392" s="109"/>
      <c r="IQV392" s="104"/>
      <c r="IQW392" s="104"/>
      <c r="IQX392" s="119"/>
      <c r="IQY392" s="104"/>
      <c r="IQZ392" s="455"/>
      <c r="IRA392" s="104"/>
      <c r="IRB392" s="104"/>
      <c r="IRC392" s="109"/>
      <c r="IRD392" s="104"/>
      <c r="IRE392" s="104"/>
      <c r="IRF392" s="119"/>
      <c r="IRG392" s="104"/>
      <c r="IRH392" s="455"/>
      <c r="IRI392" s="104"/>
      <c r="IRJ392" s="104"/>
      <c r="IRK392" s="109"/>
      <c r="IRL392" s="104"/>
      <c r="IRM392" s="104"/>
      <c r="IRN392" s="119"/>
      <c r="IRO392" s="104"/>
      <c r="IRP392" s="455"/>
      <c r="IRQ392" s="104"/>
      <c r="IRR392" s="104"/>
      <c r="IRS392" s="109"/>
      <c r="IRT392" s="104"/>
      <c r="IRU392" s="104"/>
      <c r="IRV392" s="119"/>
      <c r="IRW392" s="104"/>
      <c r="IRX392" s="455"/>
      <c r="IRY392" s="104"/>
      <c r="IRZ392" s="104"/>
      <c r="ISA392" s="109"/>
      <c r="ISB392" s="104"/>
      <c r="ISC392" s="104"/>
      <c r="ISD392" s="119"/>
      <c r="ISE392" s="104"/>
      <c r="ISF392" s="455"/>
      <c r="ISG392" s="104"/>
      <c r="ISH392" s="104"/>
      <c r="ISI392" s="109"/>
      <c r="ISJ392" s="104"/>
      <c r="ISK392" s="104"/>
      <c r="ISL392" s="119"/>
      <c r="ISM392" s="104"/>
      <c r="ISN392" s="455"/>
      <c r="ISO392" s="104"/>
      <c r="ISP392" s="104"/>
      <c r="ISQ392" s="109"/>
      <c r="ISR392" s="104"/>
      <c r="ISS392" s="104"/>
      <c r="IST392" s="119"/>
      <c r="ISU392" s="104"/>
      <c r="ISV392" s="455"/>
      <c r="ISW392" s="104"/>
      <c r="ISX392" s="104"/>
      <c r="ISY392" s="109"/>
      <c r="ISZ392" s="104"/>
      <c r="ITA392" s="104"/>
      <c r="ITB392" s="119"/>
      <c r="ITC392" s="104"/>
      <c r="ITD392" s="455"/>
      <c r="ITE392" s="104"/>
      <c r="ITF392" s="104"/>
      <c r="ITG392" s="109"/>
      <c r="ITH392" s="104"/>
      <c r="ITI392" s="104"/>
      <c r="ITJ392" s="119"/>
      <c r="ITK392" s="104"/>
      <c r="ITL392" s="455"/>
      <c r="ITM392" s="104"/>
      <c r="ITN392" s="104"/>
      <c r="ITO392" s="109"/>
      <c r="ITP392" s="104"/>
      <c r="ITQ392" s="104"/>
      <c r="ITR392" s="119"/>
      <c r="ITS392" s="104"/>
      <c r="ITT392" s="455"/>
      <c r="ITU392" s="104"/>
      <c r="ITV392" s="104"/>
      <c r="ITW392" s="109"/>
      <c r="ITX392" s="104"/>
      <c r="ITY392" s="104"/>
      <c r="ITZ392" s="119"/>
      <c r="IUA392" s="104"/>
      <c r="IUB392" s="455"/>
      <c r="IUC392" s="104"/>
      <c r="IUD392" s="104"/>
      <c r="IUE392" s="109"/>
      <c r="IUF392" s="104"/>
      <c r="IUG392" s="104"/>
      <c r="IUH392" s="119"/>
      <c r="IUI392" s="104"/>
      <c r="IUJ392" s="455"/>
      <c r="IUK392" s="104"/>
      <c r="IUL392" s="104"/>
      <c r="IUM392" s="109"/>
      <c r="IUN392" s="104"/>
      <c r="IUO392" s="104"/>
      <c r="IUP392" s="119"/>
      <c r="IUQ392" s="104"/>
      <c r="IUR392" s="455"/>
      <c r="IUS392" s="104"/>
      <c r="IUT392" s="104"/>
      <c r="IUU392" s="109"/>
      <c r="IUV392" s="104"/>
      <c r="IUW392" s="104"/>
      <c r="IUX392" s="119"/>
      <c r="IUY392" s="104"/>
      <c r="IUZ392" s="455"/>
      <c r="IVA392" s="104"/>
      <c r="IVB392" s="104"/>
      <c r="IVC392" s="109"/>
      <c r="IVD392" s="104"/>
      <c r="IVE392" s="104"/>
      <c r="IVF392" s="119"/>
      <c r="IVG392" s="104"/>
      <c r="IVH392" s="455"/>
      <c r="IVI392" s="104"/>
      <c r="IVJ392" s="104"/>
      <c r="IVK392" s="109"/>
      <c r="IVL392" s="104"/>
      <c r="IVM392" s="104"/>
      <c r="IVN392" s="119"/>
      <c r="IVO392" s="104"/>
      <c r="IVP392" s="455"/>
      <c r="IVQ392" s="104"/>
      <c r="IVR392" s="104"/>
      <c r="IVS392" s="109"/>
      <c r="IVT392" s="104"/>
      <c r="IVU392" s="104"/>
      <c r="IVV392" s="119"/>
      <c r="IVW392" s="104"/>
      <c r="IVX392" s="455"/>
      <c r="IVY392" s="104"/>
      <c r="IVZ392" s="104"/>
      <c r="IWA392" s="109"/>
      <c r="IWB392" s="104"/>
      <c r="IWC392" s="104"/>
      <c r="IWD392" s="119"/>
      <c r="IWE392" s="104"/>
      <c r="IWF392" s="455"/>
      <c r="IWG392" s="104"/>
      <c r="IWH392" s="104"/>
      <c r="IWI392" s="109"/>
      <c r="IWJ392" s="104"/>
      <c r="IWK392" s="104"/>
      <c r="IWL392" s="119"/>
      <c r="IWM392" s="104"/>
      <c r="IWN392" s="455"/>
      <c r="IWO392" s="104"/>
      <c r="IWP392" s="104"/>
      <c r="IWQ392" s="109"/>
      <c r="IWR392" s="104"/>
      <c r="IWS392" s="104"/>
      <c r="IWT392" s="119"/>
      <c r="IWU392" s="104"/>
      <c r="IWV392" s="455"/>
      <c r="IWW392" s="104"/>
      <c r="IWX392" s="104"/>
      <c r="IWY392" s="109"/>
      <c r="IWZ392" s="104"/>
      <c r="IXA392" s="104"/>
      <c r="IXB392" s="119"/>
      <c r="IXC392" s="104"/>
      <c r="IXD392" s="455"/>
      <c r="IXE392" s="104"/>
      <c r="IXF392" s="104"/>
      <c r="IXG392" s="109"/>
      <c r="IXH392" s="104"/>
      <c r="IXI392" s="104"/>
      <c r="IXJ392" s="119"/>
      <c r="IXK392" s="104"/>
      <c r="IXL392" s="455"/>
      <c r="IXM392" s="104"/>
      <c r="IXN392" s="104"/>
      <c r="IXO392" s="109"/>
      <c r="IXP392" s="104"/>
      <c r="IXQ392" s="104"/>
      <c r="IXR392" s="119"/>
      <c r="IXS392" s="104"/>
      <c r="IXT392" s="455"/>
      <c r="IXU392" s="104"/>
      <c r="IXV392" s="104"/>
      <c r="IXW392" s="109"/>
      <c r="IXX392" s="104"/>
      <c r="IXY392" s="104"/>
      <c r="IXZ392" s="119"/>
      <c r="IYA392" s="104"/>
      <c r="IYB392" s="455"/>
      <c r="IYC392" s="104"/>
      <c r="IYD392" s="104"/>
      <c r="IYE392" s="109"/>
      <c r="IYF392" s="104"/>
      <c r="IYG392" s="104"/>
      <c r="IYH392" s="119"/>
      <c r="IYI392" s="104"/>
      <c r="IYJ392" s="455"/>
      <c r="IYK392" s="104"/>
      <c r="IYL392" s="104"/>
      <c r="IYM392" s="109"/>
      <c r="IYN392" s="104"/>
      <c r="IYO392" s="104"/>
      <c r="IYP392" s="119"/>
      <c r="IYQ392" s="104"/>
      <c r="IYR392" s="455"/>
      <c r="IYS392" s="104"/>
      <c r="IYT392" s="104"/>
      <c r="IYU392" s="109"/>
      <c r="IYV392" s="104"/>
      <c r="IYW392" s="104"/>
      <c r="IYX392" s="119"/>
      <c r="IYY392" s="104"/>
      <c r="IYZ392" s="455"/>
      <c r="IZA392" s="104"/>
      <c r="IZB392" s="104"/>
      <c r="IZC392" s="109"/>
      <c r="IZD392" s="104"/>
      <c r="IZE392" s="104"/>
      <c r="IZF392" s="119"/>
      <c r="IZG392" s="104"/>
      <c r="IZH392" s="455"/>
      <c r="IZI392" s="104"/>
      <c r="IZJ392" s="104"/>
      <c r="IZK392" s="109"/>
      <c r="IZL392" s="104"/>
      <c r="IZM392" s="104"/>
      <c r="IZN392" s="119"/>
      <c r="IZO392" s="104"/>
      <c r="IZP392" s="455"/>
      <c r="IZQ392" s="104"/>
      <c r="IZR392" s="104"/>
      <c r="IZS392" s="109"/>
      <c r="IZT392" s="104"/>
      <c r="IZU392" s="104"/>
      <c r="IZV392" s="119"/>
      <c r="IZW392" s="104"/>
      <c r="IZX392" s="455"/>
      <c r="IZY392" s="104"/>
      <c r="IZZ392" s="104"/>
      <c r="JAA392" s="109"/>
      <c r="JAB392" s="104"/>
      <c r="JAC392" s="104"/>
      <c r="JAD392" s="119"/>
      <c r="JAE392" s="104"/>
      <c r="JAF392" s="455"/>
      <c r="JAG392" s="104"/>
      <c r="JAH392" s="104"/>
      <c r="JAI392" s="109"/>
      <c r="JAJ392" s="104"/>
      <c r="JAK392" s="104"/>
      <c r="JAL392" s="119"/>
      <c r="JAM392" s="104"/>
      <c r="JAN392" s="455"/>
      <c r="JAO392" s="104"/>
      <c r="JAP392" s="104"/>
      <c r="JAQ392" s="109"/>
      <c r="JAR392" s="104"/>
      <c r="JAS392" s="104"/>
      <c r="JAT392" s="119"/>
      <c r="JAU392" s="104"/>
      <c r="JAV392" s="455"/>
      <c r="JAW392" s="104"/>
      <c r="JAX392" s="104"/>
      <c r="JAY392" s="109"/>
      <c r="JAZ392" s="104"/>
      <c r="JBA392" s="104"/>
      <c r="JBB392" s="119"/>
      <c r="JBC392" s="104"/>
      <c r="JBD392" s="455"/>
      <c r="JBE392" s="104"/>
      <c r="JBF392" s="104"/>
      <c r="JBG392" s="109"/>
      <c r="JBH392" s="104"/>
      <c r="JBI392" s="104"/>
      <c r="JBJ392" s="119"/>
      <c r="JBK392" s="104"/>
      <c r="JBL392" s="455"/>
      <c r="JBM392" s="104"/>
      <c r="JBN392" s="104"/>
      <c r="JBO392" s="109"/>
      <c r="JBP392" s="104"/>
      <c r="JBQ392" s="104"/>
      <c r="JBR392" s="119"/>
      <c r="JBS392" s="104"/>
      <c r="JBT392" s="455"/>
      <c r="JBU392" s="104"/>
      <c r="JBV392" s="104"/>
      <c r="JBW392" s="109"/>
      <c r="JBX392" s="104"/>
      <c r="JBY392" s="104"/>
      <c r="JBZ392" s="119"/>
      <c r="JCA392" s="104"/>
      <c r="JCB392" s="455"/>
      <c r="JCC392" s="104"/>
      <c r="JCD392" s="104"/>
      <c r="JCE392" s="109"/>
      <c r="JCF392" s="104"/>
      <c r="JCG392" s="104"/>
      <c r="JCH392" s="119"/>
      <c r="JCI392" s="104"/>
      <c r="JCJ392" s="455"/>
      <c r="JCK392" s="104"/>
      <c r="JCL392" s="104"/>
      <c r="JCM392" s="109"/>
      <c r="JCN392" s="104"/>
      <c r="JCO392" s="104"/>
      <c r="JCP392" s="119"/>
      <c r="JCQ392" s="104"/>
      <c r="JCR392" s="455"/>
      <c r="JCS392" s="104"/>
      <c r="JCT392" s="104"/>
      <c r="JCU392" s="109"/>
      <c r="JCV392" s="104"/>
      <c r="JCW392" s="104"/>
      <c r="JCX392" s="119"/>
      <c r="JCY392" s="104"/>
      <c r="JCZ392" s="455"/>
      <c r="JDA392" s="104"/>
      <c r="JDB392" s="104"/>
      <c r="JDC392" s="109"/>
      <c r="JDD392" s="104"/>
      <c r="JDE392" s="104"/>
      <c r="JDF392" s="119"/>
      <c r="JDG392" s="104"/>
      <c r="JDH392" s="455"/>
      <c r="JDI392" s="104"/>
      <c r="JDJ392" s="104"/>
      <c r="JDK392" s="109"/>
      <c r="JDL392" s="104"/>
      <c r="JDM392" s="104"/>
      <c r="JDN392" s="119"/>
      <c r="JDO392" s="104"/>
      <c r="JDP392" s="455"/>
      <c r="JDQ392" s="104"/>
      <c r="JDR392" s="104"/>
      <c r="JDS392" s="109"/>
      <c r="JDT392" s="104"/>
      <c r="JDU392" s="104"/>
      <c r="JDV392" s="119"/>
      <c r="JDW392" s="104"/>
      <c r="JDX392" s="455"/>
      <c r="JDY392" s="104"/>
      <c r="JDZ392" s="104"/>
      <c r="JEA392" s="109"/>
      <c r="JEB392" s="104"/>
      <c r="JEC392" s="104"/>
      <c r="JED392" s="119"/>
      <c r="JEE392" s="104"/>
      <c r="JEF392" s="455"/>
      <c r="JEG392" s="104"/>
      <c r="JEH392" s="104"/>
      <c r="JEI392" s="109"/>
      <c r="JEJ392" s="104"/>
      <c r="JEK392" s="104"/>
      <c r="JEL392" s="119"/>
      <c r="JEM392" s="104"/>
      <c r="JEN392" s="455"/>
      <c r="JEO392" s="104"/>
      <c r="JEP392" s="104"/>
      <c r="JEQ392" s="109"/>
      <c r="JER392" s="104"/>
      <c r="JES392" s="104"/>
      <c r="JET392" s="119"/>
      <c r="JEU392" s="104"/>
      <c r="JEV392" s="455"/>
      <c r="JEW392" s="104"/>
      <c r="JEX392" s="104"/>
      <c r="JEY392" s="109"/>
      <c r="JEZ392" s="104"/>
      <c r="JFA392" s="104"/>
      <c r="JFB392" s="119"/>
      <c r="JFC392" s="104"/>
      <c r="JFD392" s="455"/>
      <c r="JFE392" s="104"/>
      <c r="JFF392" s="104"/>
      <c r="JFG392" s="109"/>
      <c r="JFH392" s="104"/>
      <c r="JFI392" s="104"/>
      <c r="JFJ392" s="119"/>
      <c r="JFK392" s="104"/>
      <c r="JFL392" s="455"/>
      <c r="JFM392" s="104"/>
      <c r="JFN392" s="104"/>
      <c r="JFO392" s="109"/>
      <c r="JFP392" s="104"/>
      <c r="JFQ392" s="104"/>
      <c r="JFR392" s="119"/>
      <c r="JFS392" s="104"/>
      <c r="JFT392" s="455"/>
      <c r="JFU392" s="104"/>
      <c r="JFV392" s="104"/>
      <c r="JFW392" s="109"/>
      <c r="JFX392" s="104"/>
      <c r="JFY392" s="104"/>
      <c r="JFZ392" s="119"/>
      <c r="JGA392" s="104"/>
      <c r="JGB392" s="455"/>
      <c r="JGC392" s="104"/>
      <c r="JGD392" s="104"/>
      <c r="JGE392" s="109"/>
      <c r="JGF392" s="104"/>
      <c r="JGG392" s="104"/>
      <c r="JGH392" s="119"/>
      <c r="JGI392" s="104"/>
      <c r="JGJ392" s="455"/>
      <c r="JGK392" s="104"/>
      <c r="JGL392" s="104"/>
      <c r="JGM392" s="109"/>
      <c r="JGN392" s="104"/>
      <c r="JGO392" s="104"/>
      <c r="JGP392" s="119"/>
      <c r="JGQ392" s="104"/>
      <c r="JGR392" s="455"/>
      <c r="JGS392" s="104"/>
      <c r="JGT392" s="104"/>
      <c r="JGU392" s="109"/>
      <c r="JGV392" s="104"/>
      <c r="JGW392" s="104"/>
      <c r="JGX392" s="119"/>
      <c r="JGY392" s="104"/>
      <c r="JGZ392" s="455"/>
      <c r="JHA392" s="104"/>
      <c r="JHB392" s="104"/>
      <c r="JHC392" s="109"/>
      <c r="JHD392" s="104"/>
      <c r="JHE392" s="104"/>
      <c r="JHF392" s="119"/>
      <c r="JHG392" s="104"/>
      <c r="JHH392" s="455"/>
      <c r="JHI392" s="104"/>
      <c r="JHJ392" s="104"/>
      <c r="JHK392" s="109"/>
      <c r="JHL392" s="104"/>
      <c r="JHM392" s="104"/>
      <c r="JHN392" s="119"/>
      <c r="JHO392" s="104"/>
      <c r="JHP392" s="455"/>
      <c r="JHQ392" s="104"/>
      <c r="JHR392" s="104"/>
      <c r="JHS392" s="109"/>
      <c r="JHT392" s="104"/>
      <c r="JHU392" s="104"/>
      <c r="JHV392" s="119"/>
      <c r="JHW392" s="104"/>
      <c r="JHX392" s="455"/>
      <c r="JHY392" s="104"/>
      <c r="JHZ392" s="104"/>
      <c r="JIA392" s="109"/>
      <c r="JIB392" s="104"/>
      <c r="JIC392" s="104"/>
      <c r="JID392" s="119"/>
      <c r="JIE392" s="104"/>
      <c r="JIF392" s="455"/>
      <c r="JIG392" s="104"/>
      <c r="JIH392" s="104"/>
      <c r="JII392" s="109"/>
      <c r="JIJ392" s="104"/>
      <c r="JIK392" s="104"/>
      <c r="JIL392" s="119"/>
      <c r="JIM392" s="104"/>
      <c r="JIN392" s="455"/>
      <c r="JIO392" s="104"/>
      <c r="JIP392" s="104"/>
      <c r="JIQ392" s="109"/>
      <c r="JIR392" s="104"/>
      <c r="JIS392" s="104"/>
      <c r="JIT392" s="119"/>
      <c r="JIU392" s="104"/>
      <c r="JIV392" s="455"/>
      <c r="JIW392" s="104"/>
      <c r="JIX392" s="104"/>
      <c r="JIY392" s="109"/>
      <c r="JIZ392" s="104"/>
      <c r="JJA392" s="104"/>
      <c r="JJB392" s="119"/>
      <c r="JJC392" s="104"/>
      <c r="JJD392" s="455"/>
      <c r="JJE392" s="104"/>
      <c r="JJF392" s="104"/>
      <c r="JJG392" s="109"/>
      <c r="JJH392" s="104"/>
      <c r="JJI392" s="104"/>
      <c r="JJJ392" s="119"/>
      <c r="JJK392" s="104"/>
      <c r="JJL392" s="455"/>
      <c r="JJM392" s="104"/>
      <c r="JJN392" s="104"/>
      <c r="JJO392" s="109"/>
      <c r="JJP392" s="104"/>
      <c r="JJQ392" s="104"/>
      <c r="JJR392" s="119"/>
      <c r="JJS392" s="104"/>
      <c r="JJT392" s="455"/>
      <c r="JJU392" s="104"/>
      <c r="JJV392" s="104"/>
      <c r="JJW392" s="109"/>
      <c r="JJX392" s="104"/>
      <c r="JJY392" s="104"/>
      <c r="JJZ392" s="119"/>
      <c r="JKA392" s="104"/>
      <c r="JKB392" s="455"/>
      <c r="JKC392" s="104"/>
      <c r="JKD392" s="104"/>
      <c r="JKE392" s="109"/>
      <c r="JKF392" s="104"/>
      <c r="JKG392" s="104"/>
      <c r="JKH392" s="119"/>
      <c r="JKI392" s="104"/>
      <c r="JKJ392" s="455"/>
      <c r="JKK392" s="104"/>
      <c r="JKL392" s="104"/>
      <c r="JKM392" s="109"/>
      <c r="JKN392" s="104"/>
      <c r="JKO392" s="104"/>
      <c r="JKP392" s="119"/>
      <c r="JKQ392" s="104"/>
      <c r="JKR392" s="455"/>
      <c r="JKS392" s="104"/>
      <c r="JKT392" s="104"/>
      <c r="JKU392" s="109"/>
      <c r="JKV392" s="104"/>
      <c r="JKW392" s="104"/>
      <c r="JKX392" s="119"/>
      <c r="JKY392" s="104"/>
      <c r="JKZ392" s="455"/>
      <c r="JLA392" s="104"/>
      <c r="JLB392" s="104"/>
      <c r="JLC392" s="109"/>
      <c r="JLD392" s="104"/>
      <c r="JLE392" s="104"/>
      <c r="JLF392" s="119"/>
      <c r="JLG392" s="104"/>
      <c r="JLH392" s="455"/>
      <c r="JLI392" s="104"/>
      <c r="JLJ392" s="104"/>
      <c r="JLK392" s="109"/>
      <c r="JLL392" s="104"/>
      <c r="JLM392" s="104"/>
      <c r="JLN392" s="119"/>
      <c r="JLO392" s="104"/>
      <c r="JLP392" s="455"/>
      <c r="JLQ392" s="104"/>
      <c r="JLR392" s="104"/>
      <c r="JLS392" s="109"/>
      <c r="JLT392" s="104"/>
      <c r="JLU392" s="104"/>
      <c r="JLV392" s="119"/>
      <c r="JLW392" s="104"/>
      <c r="JLX392" s="455"/>
      <c r="JLY392" s="104"/>
      <c r="JLZ392" s="104"/>
      <c r="JMA392" s="109"/>
      <c r="JMB392" s="104"/>
      <c r="JMC392" s="104"/>
      <c r="JMD392" s="119"/>
      <c r="JME392" s="104"/>
      <c r="JMF392" s="455"/>
      <c r="JMG392" s="104"/>
      <c r="JMH392" s="104"/>
      <c r="JMI392" s="109"/>
      <c r="JMJ392" s="104"/>
      <c r="JMK392" s="104"/>
      <c r="JML392" s="119"/>
      <c r="JMM392" s="104"/>
      <c r="JMN392" s="455"/>
      <c r="JMO392" s="104"/>
      <c r="JMP392" s="104"/>
      <c r="JMQ392" s="109"/>
      <c r="JMR392" s="104"/>
      <c r="JMS392" s="104"/>
      <c r="JMT392" s="119"/>
      <c r="JMU392" s="104"/>
      <c r="JMV392" s="455"/>
      <c r="JMW392" s="104"/>
      <c r="JMX392" s="104"/>
      <c r="JMY392" s="109"/>
      <c r="JMZ392" s="104"/>
      <c r="JNA392" s="104"/>
      <c r="JNB392" s="119"/>
      <c r="JNC392" s="104"/>
      <c r="JND392" s="455"/>
      <c r="JNE392" s="104"/>
      <c r="JNF392" s="104"/>
      <c r="JNG392" s="109"/>
      <c r="JNH392" s="104"/>
      <c r="JNI392" s="104"/>
      <c r="JNJ392" s="119"/>
      <c r="JNK392" s="104"/>
      <c r="JNL392" s="455"/>
      <c r="JNM392" s="104"/>
      <c r="JNN392" s="104"/>
      <c r="JNO392" s="109"/>
      <c r="JNP392" s="104"/>
      <c r="JNQ392" s="104"/>
      <c r="JNR392" s="119"/>
      <c r="JNS392" s="104"/>
      <c r="JNT392" s="455"/>
      <c r="JNU392" s="104"/>
      <c r="JNV392" s="104"/>
      <c r="JNW392" s="109"/>
      <c r="JNX392" s="104"/>
      <c r="JNY392" s="104"/>
      <c r="JNZ392" s="119"/>
      <c r="JOA392" s="104"/>
      <c r="JOB392" s="455"/>
      <c r="JOC392" s="104"/>
      <c r="JOD392" s="104"/>
      <c r="JOE392" s="109"/>
      <c r="JOF392" s="104"/>
      <c r="JOG392" s="104"/>
      <c r="JOH392" s="119"/>
      <c r="JOI392" s="104"/>
      <c r="JOJ392" s="455"/>
      <c r="JOK392" s="104"/>
      <c r="JOL392" s="104"/>
      <c r="JOM392" s="109"/>
      <c r="JON392" s="104"/>
      <c r="JOO392" s="104"/>
      <c r="JOP392" s="119"/>
      <c r="JOQ392" s="104"/>
      <c r="JOR392" s="455"/>
      <c r="JOS392" s="104"/>
      <c r="JOT392" s="104"/>
      <c r="JOU392" s="109"/>
      <c r="JOV392" s="104"/>
      <c r="JOW392" s="104"/>
      <c r="JOX392" s="119"/>
      <c r="JOY392" s="104"/>
      <c r="JOZ392" s="455"/>
      <c r="JPA392" s="104"/>
      <c r="JPB392" s="104"/>
      <c r="JPC392" s="109"/>
      <c r="JPD392" s="104"/>
      <c r="JPE392" s="104"/>
      <c r="JPF392" s="119"/>
      <c r="JPG392" s="104"/>
      <c r="JPH392" s="455"/>
      <c r="JPI392" s="104"/>
      <c r="JPJ392" s="104"/>
      <c r="JPK392" s="109"/>
      <c r="JPL392" s="104"/>
      <c r="JPM392" s="104"/>
      <c r="JPN392" s="119"/>
      <c r="JPO392" s="104"/>
      <c r="JPP392" s="455"/>
      <c r="JPQ392" s="104"/>
      <c r="JPR392" s="104"/>
      <c r="JPS392" s="109"/>
      <c r="JPT392" s="104"/>
      <c r="JPU392" s="104"/>
      <c r="JPV392" s="119"/>
      <c r="JPW392" s="104"/>
      <c r="JPX392" s="455"/>
      <c r="JPY392" s="104"/>
      <c r="JPZ392" s="104"/>
      <c r="JQA392" s="109"/>
      <c r="JQB392" s="104"/>
      <c r="JQC392" s="104"/>
      <c r="JQD392" s="119"/>
      <c r="JQE392" s="104"/>
      <c r="JQF392" s="455"/>
      <c r="JQG392" s="104"/>
      <c r="JQH392" s="104"/>
      <c r="JQI392" s="109"/>
      <c r="JQJ392" s="104"/>
      <c r="JQK392" s="104"/>
      <c r="JQL392" s="119"/>
      <c r="JQM392" s="104"/>
      <c r="JQN392" s="455"/>
      <c r="JQO392" s="104"/>
      <c r="JQP392" s="104"/>
      <c r="JQQ392" s="109"/>
      <c r="JQR392" s="104"/>
      <c r="JQS392" s="104"/>
      <c r="JQT392" s="119"/>
      <c r="JQU392" s="104"/>
      <c r="JQV392" s="455"/>
      <c r="JQW392" s="104"/>
      <c r="JQX392" s="104"/>
      <c r="JQY392" s="109"/>
      <c r="JQZ392" s="104"/>
      <c r="JRA392" s="104"/>
      <c r="JRB392" s="119"/>
      <c r="JRC392" s="104"/>
      <c r="JRD392" s="455"/>
      <c r="JRE392" s="104"/>
      <c r="JRF392" s="104"/>
      <c r="JRG392" s="109"/>
      <c r="JRH392" s="104"/>
      <c r="JRI392" s="104"/>
      <c r="JRJ392" s="119"/>
      <c r="JRK392" s="104"/>
      <c r="JRL392" s="455"/>
      <c r="JRM392" s="104"/>
      <c r="JRN392" s="104"/>
      <c r="JRO392" s="109"/>
      <c r="JRP392" s="104"/>
      <c r="JRQ392" s="104"/>
      <c r="JRR392" s="119"/>
      <c r="JRS392" s="104"/>
      <c r="JRT392" s="455"/>
      <c r="JRU392" s="104"/>
      <c r="JRV392" s="104"/>
      <c r="JRW392" s="109"/>
      <c r="JRX392" s="104"/>
      <c r="JRY392" s="104"/>
      <c r="JRZ392" s="119"/>
      <c r="JSA392" s="104"/>
      <c r="JSB392" s="455"/>
      <c r="JSC392" s="104"/>
      <c r="JSD392" s="104"/>
      <c r="JSE392" s="109"/>
      <c r="JSF392" s="104"/>
      <c r="JSG392" s="104"/>
      <c r="JSH392" s="119"/>
      <c r="JSI392" s="104"/>
      <c r="JSJ392" s="455"/>
      <c r="JSK392" s="104"/>
      <c r="JSL392" s="104"/>
      <c r="JSM392" s="109"/>
      <c r="JSN392" s="104"/>
      <c r="JSO392" s="104"/>
      <c r="JSP392" s="119"/>
      <c r="JSQ392" s="104"/>
      <c r="JSR392" s="455"/>
      <c r="JSS392" s="104"/>
      <c r="JST392" s="104"/>
      <c r="JSU392" s="109"/>
      <c r="JSV392" s="104"/>
      <c r="JSW392" s="104"/>
      <c r="JSX392" s="119"/>
      <c r="JSY392" s="104"/>
      <c r="JSZ392" s="455"/>
      <c r="JTA392" s="104"/>
      <c r="JTB392" s="104"/>
      <c r="JTC392" s="109"/>
      <c r="JTD392" s="104"/>
      <c r="JTE392" s="104"/>
      <c r="JTF392" s="119"/>
      <c r="JTG392" s="104"/>
      <c r="JTH392" s="455"/>
      <c r="JTI392" s="104"/>
      <c r="JTJ392" s="104"/>
      <c r="JTK392" s="109"/>
      <c r="JTL392" s="104"/>
      <c r="JTM392" s="104"/>
      <c r="JTN392" s="119"/>
      <c r="JTO392" s="104"/>
      <c r="JTP392" s="455"/>
      <c r="JTQ392" s="104"/>
      <c r="JTR392" s="104"/>
      <c r="JTS392" s="109"/>
      <c r="JTT392" s="104"/>
      <c r="JTU392" s="104"/>
      <c r="JTV392" s="119"/>
      <c r="JTW392" s="104"/>
      <c r="JTX392" s="455"/>
      <c r="JTY392" s="104"/>
      <c r="JTZ392" s="104"/>
      <c r="JUA392" s="109"/>
      <c r="JUB392" s="104"/>
      <c r="JUC392" s="104"/>
      <c r="JUD392" s="119"/>
      <c r="JUE392" s="104"/>
      <c r="JUF392" s="455"/>
      <c r="JUG392" s="104"/>
      <c r="JUH392" s="104"/>
      <c r="JUI392" s="109"/>
      <c r="JUJ392" s="104"/>
      <c r="JUK392" s="104"/>
      <c r="JUL392" s="119"/>
      <c r="JUM392" s="104"/>
      <c r="JUN392" s="455"/>
      <c r="JUO392" s="104"/>
      <c r="JUP392" s="104"/>
      <c r="JUQ392" s="109"/>
      <c r="JUR392" s="104"/>
      <c r="JUS392" s="104"/>
      <c r="JUT392" s="119"/>
      <c r="JUU392" s="104"/>
      <c r="JUV392" s="455"/>
      <c r="JUW392" s="104"/>
      <c r="JUX392" s="104"/>
      <c r="JUY392" s="109"/>
      <c r="JUZ392" s="104"/>
      <c r="JVA392" s="104"/>
      <c r="JVB392" s="119"/>
      <c r="JVC392" s="104"/>
      <c r="JVD392" s="455"/>
      <c r="JVE392" s="104"/>
      <c r="JVF392" s="104"/>
      <c r="JVG392" s="109"/>
      <c r="JVH392" s="104"/>
      <c r="JVI392" s="104"/>
      <c r="JVJ392" s="119"/>
      <c r="JVK392" s="104"/>
      <c r="JVL392" s="455"/>
      <c r="JVM392" s="104"/>
      <c r="JVN392" s="104"/>
      <c r="JVO392" s="109"/>
      <c r="JVP392" s="104"/>
      <c r="JVQ392" s="104"/>
      <c r="JVR392" s="119"/>
      <c r="JVS392" s="104"/>
      <c r="JVT392" s="455"/>
      <c r="JVU392" s="104"/>
      <c r="JVV392" s="104"/>
      <c r="JVW392" s="109"/>
      <c r="JVX392" s="104"/>
      <c r="JVY392" s="104"/>
      <c r="JVZ392" s="119"/>
      <c r="JWA392" s="104"/>
      <c r="JWB392" s="455"/>
      <c r="JWC392" s="104"/>
      <c r="JWD392" s="104"/>
      <c r="JWE392" s="109"/>
      <c r="JWF392" s="104"/>
      <c r="JWG392" s="104"/>
      <c r="JWH392" s="119"/>
      <c r="JWI392" s="104"/>
      <c r="JWJ392" s="455"/>
      <c r="JWK392" s="104"/>
      <c r="JWL392" s="104"/>
      <c r="JWM392" s="109"/>
      <c r="JWN392" s="104"/>
      <c r="JWO392" s="104"/>
      <c r="JWP392" s="119"/>
      <c r="JWQ392" s="104"/>
      <c r="JWR392" s="455"/>
      <c r="JWS392" s="104"/>
      <c r="JWT392" s="104"/>
      <c r="JWU392" s="109"/>
      <c r="JWV392" s="104"/>
      <c r="JWW392" s="104"/>
      <c r="JWX392" s="119"/>
      <c r="JWY392" s="104"/>
      <c r="JWZ392" s="455"/>
      <c r="JXA392" s="104"/>
      <c r="JXB392" s="104"/>
      <c r="JXC392" s="109"/>
      <c r="JXD392" s="104"/>
      <c r="JXE392" s="104"/>
      <c r="JXF392" s="119"/>
      <c r="JXG392" s="104"/>
      <c r="JXH392" s="455"/>
      <c r="JXI392" s="104"/>
      <c r="JXJ392" s="104"/>
      <c r="JXK392" s="109"/>
      <c r="JXL392" s="104"/>
      <c r="JXM392" s="104"/>
      <c r="JXN392" s="119"/>
      <c r="JXO392" s="104"/>
      <c r="JXP392" s="455"/>
      <c r="JXQ392" s="104"/>
      <c r="JXR392" s="104"/>
      <c r="JXS392" s="109"/>
      <c r="JXT392" s="104"/>
      <c r="JXU392" s="104"/>
      <c r="JXV392" s="119"/>
      <c r="JXW392" s="104"/>
      <c r="JXX392" s="455"/>
      <c r="JXY392" s="104"/>
      <c r="JXZ392" s="104"/>
      <c r="JYA392" s="109"/>
      <c r="JYB392" s="104"/>
      <c r="JYC392" s="104"/>
      <c r="JYD392" s="119"/>
      <c r="JYE392" s="104"/>
      <c r="JYF392" s="455"/>
      <c r="JYG392" s="104"/>
      <c r="JYH392" s="104"/>
      <c r="JYI392" s="109"/>
      <c r="JYJ392" s="104"/>
      <c r="JYK392" s="104"/>
      <c r="JYL392" s="119"/>
      <c r="JYM392" s="104"/>
      <c r="JYN392" s="455"/>
      <c r="JYO392" s="104"/>
      <c r="JYP392" s="104"/>
      <c r="JYQ392" s="109"/>
      <c r="JYR392" s="104"/>
      <c r="JYS392" s="104"/>
      <c r="JYT392" s="119"/>
      <c r="JYU392" s="104"/>
      <c r="JYV392" s="455"/>
      <c r="JYW392" s="104"/>
      <c r="JYX392" s="104"/>
      <c r="JYY392" s="109"/>
      <c r="JYZ392" s="104"/>
      <c r="JZA392" s="104"/>
      <c r="JZB392" s="119"/>
      <c r="JZC392" s="104"/>
      <c r="JZD392" s="455"/>
      <c r="JZE392" s="104"/>
      <c r="JZF392" s="104"/>
      <c r="JZG392" s="109"/>
      <c r="JZH392" s="104"/>
      <c r="JZI392" s="104"/>
      <c r="JZJ392" s="119"/>
      <c r="JZK392" s="104"/>
      <c r="JZL392" s="455"/>
      <c r="JZM392" s="104"/>
      <c r="JZN392" s="104"/>
      <c r="JZO392" s="109"/>
      <c r="JZP392" s="104"/>
      <c r="JZQ392" s="104"/>
      <c r="JZR392" s="119"/>
      <c r="JZS392" s="104"/>
      <c r="JZT392" s="455"/>
      <c r="JZU392" s="104"/>
      <c r="JZV392" s="104"/>
      <c r="JZW392" s="109"/>
      <c r="JZX392" s="104"/>
      <c r="JZY392" s="104"/>
      <c r="JZZ392" s="119"/>
      <c r="KAA392" s="104"/>
      <c r="KAB392" s="455"/>
      <c r="KAC392" s="104"/>
      <c r="KAD392" s="104"/>
      <c r="KAE392" s="109"/>
      <c r="KAF392" s="104"/>
      <c r="KAG392" s="104"/>
      <c r="KAH392" s="119"/>
      <c r="KAI392" s="104"/>
      <c r="KAJ392" s="455"/>
      <c r="KAK392" s="104"/>
      <c r="KAL392" s="104"/>
      <c r="KAM392" s="109"/>
      <c r="KAN392" s="104"/>
      <c r="KAO392" s="104"/>
      <c r="KAP392" s="119"/>
      <c r="KAQ392" s="104"/>
      <c r="KAR392" s="455"/>
      <c r="KAS392" s="104"/>
      <c r="KAT392" s="104"/>
      <c r="KAU392" s="109"/>
      <c r="KAV392" s="104"/>
      <c r="KAW392" s="104"/>
      <c r="KAX392" s="119"/>
      <c r="KAY392" s="104"/>
      <c r="KAZ392" s="455"/>
      <c r="KBA392" s="104"/>
      <c r="KBB392" s="104"/>
      <c r="KBC392" s="109"/>
      <c r="KBD392" s="104"/>
      <c r="KBE392" s="104"/>
      <c r="KBF392" s="119"/>
      <c r="KBG392" s="104"/>
      <c r="KBH392" s="455"/>
      <c r="KBI392" s="104"/>
      <c r="KBJ392" s="104"/>
      <c r="KBK392" s="109"/>
      <c r="KBL392" s="104"/>
      <c r="KBM392" s="104"/>
      <c r="KBN392" s="119"/>
      <c r="KBO392" s="104"/>
      <c r="KBP392" s="455"/>
      <c r="KBQ392" s="104"/>
      <c r="KBR392" s="104"/>
      <c r="KBS392" s="109"/>
      <c r="KBT392" s="104"/>
      <c r="KBU392" s="104"/>
      <c r="KBV392" s="119"/>
      <c r="KBW392" s="104"/>
      <c r="KBX392" s="455"/>
      <c r="KBY392" s="104"/>
      <c r="KBZ392" s="104"/>
      <c r="KCA392" s="109"/>
      <c r="KCB392" s="104"/>
      <c r="KCC392" s="104"/>
      <c r="KCD392" s="119"/>
      <c r="KCE392" s="104"/>
      <c r="KCF392" s="455"/>
      <c r="KCG392" s="104"/>
      <c r="KCH392" s="104"/>
      <c r="KCI392" s="109"/>
      <c r="KCJ392" s="104"/>
      <c r="KCK392" s="104"/>
      <c r="KCL392" s="119"/>
      <c r="KCM392" s="104"/>
      <c r="KCN392" s="455"/>
      <c r="KCO392" s="104"/>
      <c r="KCP392" s="104"/>
      <c r="KCQ392" s="109"/>
      <c r="KCR392" s="104"/>
      <c r="KCS392" s="104"/>
      <c r="KCT392" s="119"/>
      <c r="KCU392" s="104"/>
      <c r="KCV392" s="455"/>
      <c r="KCW392" s="104"/>
      <c r="KCX392" s="104"/>
      <c r="KCY392" s="109"/>
      <c r="KCZ392" s="104"/>
      <c r="KDA392" s="104"/>
      <c r="KDB392" s="119"/>
      <c r="KDC392" s="104"/>
      <c r="KDD392" s="455"/>
      <c r="KDE392" s="104"/>
      <c r="KDF392" s="104"/>
      <c r="KDG392" s="109"/>
      <c r="KDH392" s="104"/>
      <c r="KDI392" s="104"/>
      <c r="KDJ392" s="119"/>
      <c r="KDK392" s="104"/>
      <c r="KDL392" s="455"/>
      <c r="KDM392" s="104"/>
      <c r="KDN392" s="104"/>
      <c r="KDO392" s="109"/>
      <c r="KDP392" s="104"/>
      <c r="KDQ392" s="104"/>
      <c r="KDR392" s="119"/>
      <c r="KDS392" s="104"/>
      <c r="KDT392" s="455"/>
      <c r="KDU392" s="104"/>
      <c r="KDV392" s="104"/>
      <c r="KDW392" s="109"/>
      <c r="KDX392" s="104"/>
      <c r="KDY392" s="104"/>
      <c r="KDZ392" s="119"/>
      <c r="KEA392" s="104"/>
      <c r="KEB392" s="455"/>
      <c r="KEC392" s="104"/>
      <c r="KED392" s="104"/>
      <c r="KEE392" s="109"/>
      <c r="KEF392" s="104"/>
      <c r="KEG392" s="104"/>
      <c r="KEH392" s="119"/>
      <c r="KEI392" s="104"/>
      <c r="KEJ392" s="455"/>
      <c r="KEK392" s="104"/>
      <c r="KEL392" s="104"/>
      <c r="KEM392" s="109"/>
      <c r="KEN392" s="104"/>
      <c r="KEO392" s="104"/>
      <c r="KEP392" s="119"/>
      <c r="KEQ392" s="104"/>
      <c r="KER392" s="455"/>
      <c r="KES392" s="104"/>
      <c r="KET392" s="104"/>
      <c r="KEU392" s="109"/>
      <c r="KEV392" s="104"/>
      <c r="KEW392" s="104"/>
      <c r="KEX392" s="119"/>
      <c r="KEY392" s="104"/>
      <c r="KEZ392" s="455"/>
      <c r="KFA392" s="104"/>
      <c r="KFB392" s="104"/>
      <c r="KFC392" s="109"/>
      <c r="KFD392" s="104"/>
      <c r="KFE392" s="104"/>
      <c r="KFF392" s="119"/>
      <c r="KFG392" s="104"/>
      <c r="KFH392" s="455"/>
      <c r="KFI392" s="104"/>
      <c r="KFJ392" s="104"/>
      <c r="KFK392" s="109"/>
      <c r="KFL392" s="104"/>
      <c r="KFM392" s="104"/>
      <c r="KFN392" s="119"/>
      <c r="KFO392" s="104"/>
      <c r="KFP392" s="455"/>
      <c r="KFQ392" s="104"/>
      <c r="KFR392" s="104"/>
      <c r="KFS392" s="109"/>
      <c r="KFT392" s="104"/>
      <c r="KFU392" s="104"/>
      <c r="KFV392" s="119"/>
      <c r="KFW392" s="104"/>
      <c r="KFX392" s="455"/>
      <c r="KFY392" s="104"/>
      <c r="KFZ392" s="104"/>
      <c r="KGA392" s="109"/>
      <c r="KGB392" s="104"/>
      <c r="KGC392" s="104"/>
      <c r="KGD392" s="119"/>
      <c r="KGE392" s="104"/>
      <c r="KGF392" s="455"/>
      <c r="KGG392" s="104"/>
      <c r="KGH392" s="104"/>
      <c r="KGI392" s="109"/>
      <c r="KGJ392" s="104"/>
      <c r="KGK392" s="104"/>
      <c r="KGL392" s="119"/>
      <c r="KGM392" s="104"/>
      <c r="KGN392" s="455"/>
      <c r="KGO392" s="104"/>
      <c r="KGP392" s="104"/>
      <c r="KGQ392" s="109"/>
      <c r="KGR392" s="104"/>
      <c r="KGS392" s="104"/>
      <c r="KGT392" s="119"/>
      <c r="KGU392" s="104"/>
      <c r="KGV392" s="455"/>
      <c r="KGW392" s="104"/>
      <c r="KGX392" s="104"/>
      <c r="KGY392" s="109"/>
      <c r="KGZ392" s="104"/>
      <c r="KHA392" s="104"/>
      <c r="KHB392" s="119"/>
      <c r="KHC392" s="104"/>
      <c r="KHD392" s="455"/>
      <c r="KHE392" s="104"/>
      <c r="KHF392" s="104"/>
      <c r="KHG392" s="109"/>
      <c r="KHH392" s="104"/>
      <c r="KHI392" s="104"/>
      <c r="KHJ392" s="119"/>
      <c r="KHK392" s="104"/>
      <c r="KHL392" s="455"/>
      <c r="KHM392" s="104"/>
      <c r="KHN392" s="104"/>
      <c r="KHO392" s="109"/>
      <c r="KHP392" s="104"/>
      <c r="KHQ392" s="104"/>
      <c r="KHR392" s="119"/>
      <c r="KHS392" s="104"/>
      <c r="KHT392" s="455"/>
      <c r="KHU392" s="104"/>
      <c r="KHV392" s="104"/>
      <c r="KHW392" s="109"/>
      <c r="KHX392" s="104"/>
      <c r="KHY392" s="104"/>
      <c r="KHZ392" s="119"/>
      <c r="KIA392" s="104"/>
      <c r="KIB392" s="455"/>
      <c r="KIC392" s="104"/>
      <c r="KID392" s="104"/>
      <c r="KIE392" s="109"/>
      <c r="KIF392" s="104"/>
      <c r="KIG392" s="104"/>
      <c r="KIH392" s="119"/>
      <c r="KII392" s="104"/>
      <c r="KIJ392" s="455"/>
      <c r="KIK392" s="104"/>
      <c r="KIL392" s="104"/>
      <c r="KIM392" s="109"/>
      <c r="KIN392" s="104"/>
      <c r="KIO392" s="104"/>
      <c r="KIP392" s="119"/>
      <c r="KIQ392" s="104"/>
      <c r="KIR392" s="455"/>
      <c r="KIS392" s="104"/>
      <c r="KIT392" s="104"/>
      <c r="KIU392" s="109"/>
      <c r="KIV392" s="104"/>
      <c r="KIW392" s="104"/>
      <c r="KIX392" s="119"/>
      <c r="KIY392" s="104"/>
      <c r="KIZ392" s="455"/>
      <c r="KJA392" s="104"/>
      <c r="KJB392" s="104"/>
      <c r="KJC392" s="109"/>
      <c r="KJD392" s="104"/>
      <c r="KJE392" s="104"/>
      <c r="KJF392" s="119"/>
      <c r="KJG392" s="104"/>
      <c r="KJH392" s="455"/>
      <c r="KJI392" s="104"/>
      <c r="KJJ392" s="104"/>
      <c r="KJK392" s="109"/>
      <c r="KJL392" s="104"/>
      <c r="KJM392" s="104"/>
      <c r="KJN392" s="119"/>
      <c r="KJO392" s="104"/>
      <c r="KJP392" s="455"/>
      <c r="KJQ392" s="104"/>
      <c r="KJR392" s="104"/>
      <c r="KJS392" s="109"/>
      <c r="KJT392" s="104"/>
      <c r="KJU392" s="104"/>
      <c r="KJV392" s="119"/>
      <c r="KJW392" s="104"/>
      <c r="KJX392" s="455"/>
      <c r="KJY392" s="104"/>
      <c r="KJZ392" s="104"/>
      <c r="KKA392" s="109"/>
      <c r="KKB392" s="104"/>
      <c r="KKC392" s="104"/>
      <c r="KKD392" s="119"/>
      <c r="KKE392" s="104"/>
      <c r="KKF392" s="455"/>
      <c r="KKG392" s="104"/>
      <c r="KKH392" s="104"/>
      <c r="KKI392" s="109"/>
      <c r="KKJ392" s="104"/>
      <c r="KKK392" s="104"/>
      <c r="KKL392" s="119"/>
      <c r="KKM392" s="104"/>
      <c r="KKN392" s="455"/>
      <c r="KKO392" s="104"/>
      <c r="KKP392" s="104"/>
      <c r="KKQ392" s="109"/>
      <c r="KKR392" s="104"/>
      <c r="KKS392" s="104"/>
      <c r="KKT392" s="119"/>
      <c r="KKU392" s="104"/>
      <c r="KKV392" s="455"/>
      <c r="KKW392" s="104"/>
      <c r="KKX392" s="104"/>
      <c r="KKY392" s="109"/>
      <c r="KKZ392" s="104"/>
      <c r="KLA392" s="104"/>
      <c r="KLB392" s="119"/>
      <c r="KLC392" s="104"/>
      <c r="KLD392" s="455"/>
      <c r="KLE392" s="104"/>
      <c r="KLF392" s="104"/>
      <c r="KLG392" s="109"/>
      <c r="KLH392" s="104"/>
      <c r="KLI392" s="104"/>
      <c r="KLJ392" s="119"/>
      <c r="KLK392" s="104"/>
      <c r="KLL392" s="455"/>
      <c r="KLM392" s="104"/>
      <c r="KLN392" s="104"/>
      <c r="KLO392" s="109"/>
      <c r="KLP392" s="104"/>
      <c r="KLQ392" s="104"/>
      <c r="KLR392" s="119"/>
      <c r="KLS392" s="104"/>
      <c r="KLT392" s="455"/>
      <c r="KLU392" s="104"/>
      <c r="KLV392" s="104"/>
      <c r="KLW392" s="109"/>
      <c r="KLX392" s="104"/>
      <c r="KLY392" s="104"/>
      <c r="KLZ392" s="119"/>
      <c r="KMA392" s="104"/>
      <c r="KMB392" s="455"/>
      <c r="KMC392" s="104"/>
      <c r="KMD392" s="104"/>
      <c r="KME392" s="109"/>
      <c r="KMF392" s="104"/>
      <c r="KMG392" s="104"/>
      <c r="KMH392" s="119"/>
      <c r="KMI392" s="104"/>
      <c r="KMJ392" s="455"/>
      <c r="KMK392" s="104"/>
      <c r="KML392" s="104"/>
      <c r="KMM392" s="109"/>
      <c r="KMN392" s="104"/>
      <c r="KMO392" s="104"/>
      <c r="KMP392" s="119"/>
      <c r="KMQ392" s="104"/>
      <c r="KMR392" s="455"/>
      <c r="KMS392" s="104"/>
      <c r="KMT392" s="104"/>
      <c r="KMU392" s="109"/>
      <c r="KMV392" s="104"/>
      <c r="KMW392" s="104"/>
      <c r="KMX392" s="119"/>
      <c r="KMY392" s="104"/>
      <c r="KMZ392" s="455"/>
      <c r="KNA392" s="104"/>
      <c r="KNB392" s="104"/>
      <c r="KNC392" s="109"/>
      <c r="KND392" s="104"/>
      <c r="KNE392" s="104"/>
      <c r="KNF392" s="119"/>
      <c r="KNG392" s="104"/>
      <c r="KNH392" s="455"/>
      <c r="KNI392" s="104"/>
      <c r="KNJ392" s="104"/>
      <c r="KNK392" s="109"/>
      <c r="KNL392" s="104"/>
      <c r="KNM392" s="104"/>
      <c r="KNN392" s="119"/>
      <c r="KNO392" s="104"/>
      <c r="KNP392" s="455"/>
      <c r="KNQ392" s="104"/>
      <c r="KNR392" s="104"/>
      <c r="KNS392" s="109"/>
      <c r="KNT392" s="104"/>
      <c r="KNU392" s="104"/>
      <c r="KNV392" s="119"/>
      <c r="KNW392" s="104"/>
      <c r="KNX392" s="455"/>
      <c r="KNY392" s="104"/>
      <c r="KNZ392" s="104"/>
      <c r="KOA392" s="109"/>
      <c r="KOB392" s="104"/>
      <c r="KOC392" s="104"/>
      <c r="KOD392" s="119"/>
      <c r="KOE392" s="104"/>
      <c r="KOF392" s="455"/>
      <c r="KOG392" s="104"/>
      <c r="KOH392" s="104"/>
      <c r="KOI392" s="109"/>
      <c r="KOJ392" s="104"/>
      <c r="KOK392" s="104"/>
      <c r="KOL392" s="119"/>
      <c r="KOM392" s="104"/>
      <c r="KON392" s="455"/>
      <c r="KOO392" s="104"/>
      <c r="KOP392" s="104"/>
      <c r="KOQ392" s="109"/>
      <c r="KOR392" s="104"/>
      <c r="KOS392" s="104"/>
      <c r="KOT392" s="119"/>
      <c r="KOU392" s="104"/>
      <c r="KOV392" s="455"/>
      <c r="KOW392" s="104"/>
      <c r="KOX392" s="104"/>
      <c r="KOY392" s="109"/>
      <c r="KOZ392" s="104"/>
      <c r="KPA392" s="104"/>
      <c r="KPB392" s="119"/>
      <c r="KPC392" s="104"/>
      <c r="KPD392" s="455"/>
      <c r="KPE392" s="104"/>
      <c r="KPF392" s="104"/>
      <c r="KPG392" s="109"/>
      <c r="KPH392" s="104"/>
      <c r="KPI392" s="104"/>
      <c r="KPJ392" s="119"/>
      <c r="KPK392" s="104"/>
      <c r="KPL392" s="455"/>
      <c r="KPM392" s="104"/>
      <c r="KPN392" s="104"/>
      <c r="KPO392" s="109"/>
      <c r="KPP392" s="104"/>
      <c r="KPQ392" s="104"/>
      <c r="KPR392" s="119"/>
      <c r="KPS392" s="104"/>
      <c r="KPT392" s="455"/>
      <c r="KPU392" s="104"/>
      <c r="KPV392" s="104"/>
      <c r="KPW392" s="109"/>
      <c r="KPX392" s="104"/>
      <c r="KPY392" s="104"/>
      <c r="KPZ392" s="119"/>
      <c r="KQA392" s="104"/>
      <c r="KQB392" s="455"/>
      <c r="KQC392" s="104"/>
      <c r="KQD392" s="104"/>
      <c r="KQE392" s="109"/>
      <c r="KQF392" s="104"/>
      <c r="KQG392" s="104"/>
      <c r="KQH392" s="119"/>
      <c r="KQI392" s="104"/>
      <c r="KQJ392" s="455"/>
      <c r="KQK392" s="104"/>
      <c r="KQL392" s="104"/>
      <c r="KQM392" s="109"/>
      <c r="KQN392" s="104"/>
      <c r="KQO392" s="104"/>
      <c r="KQP392" s="119"/>
      <c r="KQQ392" s="104"/>
      <c r="KQR392" s="455"/>
      <c r="KQS392" s="104"/>
      <c r="KQT392" s="104"/>
      <c r="KQU392" s="109"/>
      <c r="KQV392" s="104"/>
      <c r="KQW392" s="104"/>
      <c r="KQX392" s="119"/>
      <c r="KQY392" s="104"/>
      <c r="KQZ392" s="455"/>
      <c r="KRA392" s="104"/>
      <c r="KRB392" s="104"/>
      <c r="KRC392" s="109"/>
      <c r="KRD392" s="104"/>
      <c r="KRE392" s="104"/>
      <c r="KRF392" s="119"/>
      <c r="KRG392" s="104"/>
      <c r="KRH392" s="455"/>
      <c r="KRI392" s="104"/>
      <c r="KRJ392" s="104"/>
      <c r="KRK392" s="109"/>
      <c r="KRL392" s="104"/>
      <c r="KRM392" s="104"/>
      <c r="KRN392" s="119"/>
      <c r="KRO392" s="104"/>
      <c r="KRP392" s="455"/>
      <c r="KRQ392" s="104"/>
      <c r="KRR392" s="104"/>
      <c r="KRS392" s="109"/>
      <c r="KRT392" s="104"/>
      <c r="KRU392" s="104"/>
      <c r="KRV392" s="119"/>
      <c r="KRW392" s="104"/>
      <c r="KRX392" s="455"/>
      <c r="KRY392" s="104"/>
      <c r="KRZ392" s="104"/>
      <c r="KSA392" s="109"/>
      <c r="KSB392" s="104"/>
      <c r="KSC392" s="104"/>
      <c r="KSD392" s="119"/>
      <c r="KSE392" s="104"/>
      <c r="KSF392" s="455"/>
      <c r="KSG392" s="104"/>
      <c r="KSH392" s="104"/>
      <c r="KSI392" s="109"/>
      <c r="KSJ392" s="104"/>
      <c r="KSK392" s="104"/>
      <c r="KSL392" s="119"/>
      <c r="KSM392" s="104"/>
      <c r="KSN392" s="455"/>
      <c r="KSO392" s="104"/>
      <c r="KSP392" s="104"/>
      <c r="KSQ392" s="109"/>
      <c r="KSR392" s="104"/>
      <c r="KSS392" s="104"/>
      <c r="KST392" s="119"/>
      <c r="KSU392" s="104"/>
      <c r="KSV392" s="455"/>
      <c r="KSW392" s="104"/>
      <c r="KSX392" s="104"/>
      <c r="KSY392" s="109"/>
      <c r="KSZ392" s="104"/>
      <c r="KTA392" s="104"/>
      <c r="KTB392" s="119"/>
      <c r="KTC392" s="104"/>
      <c r="KTD392" s="455"/>
      <c r="KTE392" s="104"/>
      <c r="KTF392" s="104"/>
      <c r="KTG392" s="109"/>
      <c r="KTH392" s="104"/>
      <c r="KTI392" s="104"/>
      <c r="KTJ392" s="119"/>
      <c r="KTK392" s="104"/>
      <c r="KTL392" s="455"/>
      <c r="KTM392" s="104"/>
      <c r="KTN392" s="104"/>
      <c r="KTO392" s="109"/>
      <c r="KTP392" s="104"/>
      <c r="KTQ392" s="104"/>
      <c r="KTR392" s="119"/>
      <c r="KTS392" s="104"/>
      <c r="KTT392" s="455"/>
      <c r="KTU392" s="104"/>
      <c r="KTV392" s="104"/>
      <c r="KTW392" s="109"/>
      <c r="KTX392" s="104"/>
      <c r="KTY392" s="104"/>
      <c r="KTZ392" s="119"/>
      <c r="KUA392" s="104"/>
      <c r="KUB392" s="455"/>
      <c r="KUC392" s="104"/>
      <c r="KUD392" s="104"/>
      <c r="KUE392" s="109"/>
      <c r="KUF392" s="104"/>
      <c r="KUG392" s="104"/>
      <c r="KUH392" s="119"/>
      <c r="KUI392" s="104"/>
      <c r="KUJ392" s="455"/>
      <c r="KUK392" s="104"/>
      <c r="KUL392" s="104"/>
      <c r="KUM392" s="109"/>
      <c r="KUN392" s="104"/>
      <c r="KUO392" s="104"/>
      <c r="KUP392" s="119"/>
      <c r="KUQ392" s="104"/>
      <c r="KUR392" s="455"/>
      <c r="KUS392" s="104"/>
      <c r="KUT392" s="104"/>
      <c r="KUU392" s="109"/>
      <c r="KUV392" s="104"/>
      <c r="KUW392" s="104"/>
      <c r="KUX392" s="119"/>
      <c r="KUY392" s="104"/>
      <c r="KUZ392" s="455"/>
      <c r="KVA392" s="104"/>
      <c r="KVB392" s="104"/>
      <c r="KVC392" s="109"/>
      <c r="KVD392" s="104"/>
      <c r="KVE392" s="104"/>
      <c r="KVF392" s="119"/>
      <c r="KVG392" s="104"/>
      <c r="KVH392" s="455"/>
      <c r="KVI392" s="104"/>
      <c r="KVJ392" s="104"/>
      <c r="KVK392" s="109"/>
      <c r="KVL392" s="104"/>
      <c r="KVM392" s="104"/>
      <c r="KVN392" s="119"/>
      <c r="KVO392" s="104"/>
      <c r="KVP392" s="455"/>
      <c r="KVQ392" s="104"/>
      <c r="KVR392" s="104"/>
      <c r="KVS392" s="109"/>
      <c r="KVT392" s="104"/>
      <c r="KVU392" s="104"/>
      <c r="KVV392" s="119"/>
      <c r="KVW392" s="104"/>
      <c r="KVX392" s="455"/>
      <c r="KVY392" s="104"/>
      <c r="KVZ392" s="104"/>
      <c r="KWA392" s="109"/>
      <c r="KWB392" s="104"/>
      <c r="KWC392" s="104"/>
      <c r="KWD392" s="119"/>
      <c r="KWE392" s="104"/>
      <c r="KWF392" s="455"/>
      <c r="KWG392" s="104"/>
      <c r="KWH392" s="104"/>
      <c r="KWI392" s="109"/>
      <c r="KWJ392" s="104"/>
      <c r="KWK392" s="104"/>
      <c r="KWL392" s="119"/>
      <c r="KWM392" s="104"/>
      <c r="KWN392" s="455"/>
      <c r="KWO392" s="104"/>
      <c r="KWP392" s="104"/>
      <c r="KWQ392" s="109"/>
      <c r="KWR392" s="104"/>
      <c r="KWS392" s="104"/>
      <c r="KWT392" s="119"/>
      <c r="KWU392" s="104"/>
      <c r="KWV392" s="455"/>
      <c r="KWW392" s="104"/>
      <c r="KWX392" s="104"/>
      <c r="KWY392" s="109"/>
      <c r="KWZ392" s="104"/>
      <c r="KXA392" s="104"/>
      <c r="KXB392" s="119"/>
      <c r="KXC392" s="104"/>
      <c r="KXD392" s="455"/>
      <c r="KXE392" s="104"/>
      <c r="KXF392" s="104"/>
      <c r="KXG392" s="109"/>
      <c r="KXH392" s="104"/>
      <c r="KXI392" s="104"/>
      <c r="KXJ392" s="119"/>
      <c r="KXK392" s="104"/>
      <c r="KXL392" s="455"/>
      <c r="KXM392" s="104"/>
      <c r="KXN392" s="104"/>
      <c r="KXO392" s="109"/>
      <c r="KXP392" s="104"/>
      <c r="KXQ392" s="104"/>
      <c r="KXR392" s="119"/>
      <c r="KXS392" s="104"/>
      <c r="KXT392" s="455"/>
      <c r="KXU392" s="104"/>
      <c r="KXV392" s="104"/>
      <c r="KXW392" s="109"/>
      <c r="KXX392" s="104"/>
      <c r="KXY392" s="104"/>
      <c r="KXZ392" s="119"/>
      <c r="KYA392" s="104"/>
      <c r="KYB392" s="455"/>
      <c r="KYC392" s="104"/>
      <c r="KYD392" s="104"/>
      <c r="KYE392" s="109"/>
      <c r="KYF392" s="104"/>
      <c r="KYG392" s="104"/>
      <c r="KYH392" s="119"/>
      <c r="KYI392" s="104"/>
      <c r="KYJ392" s="455"/>
      <c r="KYK392" s="104"/>
      <c r="KYL392" s="104"/>
      <c r="KYM392" s="109"/>
      <c r="KYN392" s="104"/>
      <c r="KYO392" s="104"/>
      <c r="KYP392" s="119"/>
      <c r="KYQ392" s="104"/>
      <c r="KYR392" s="455"/>
      <c r="KYS392" s="104"/>
      <c r="KYT392" s="104"/>
      <c r="KYU392" s="109"/>
      <c r="KYV392" s="104"/>
      <c r="KYW392" s="104"/>
      <c r="KYX392" s="119"/>
      <c r="KYY392" s="104"/>
      <c r="KYZ392" s="455"/>
      <c r="KZA392" s="104"/>
      <c r="KZB392" s="104"/>
      <c r="KZC392" s="109"/>
      <c r="KZD392" s="104"/>
      <c r="KZE392" s="104"/>
      <c r="KZF392" s="119"/>
      <c r="KZG392" s="104"/>
      <c r="KZH392" s="455"/>
      <c r="KZI392" s="104"/>
      <c r="KZJ392" s="104"/>
      <c r="KZK392" s="109"/>
      <c r="KZL392" s="104"/>
      <c r="KZM392" s="104"/>
      <c r="KZN392" s="119"/>
      <c r="KZO392" s="104"/>
      <c r="KZP392" s="455"/>
      <c r="KZQ392" s="104"/>
      <c r="KZR392" s="104"/>
      <c r="KZS392" s="109"/>
      <c r="KZT392" s="104"/>
      <c r="KZU392" s="104"/>
      <c r="KZV392" s="119"/>
      <c r="KZW392" s="104"/>
      <c r="KZX392" s="455"/>
      <c r="KZY392" s="104"/>
      <c r="KZZ392" s="104"/>
      <c r="LAA392" s="109"/>
      <c r="LAB392" s="104"/>
      <c r="LAC392" s="104"/>
      <c r="LAD392" s="119"/>
      <c r="LAE392" s="104"/>
      <c r="LAF392" s="455"/>
      <c r="LAG392" s="104"/>
      <c r="LAH392" s="104"/>
      <c r="LAI392" s="109"/>
      <c r="LAJ392" s="104"/>
      <c r="LAK392" s="104"/>
      <c r="LAL392" s="119"/>
      <c r="LAM392" s="104"/>
      <c r="LAN392" s="455"/>
      <c r="LAO392" s="104"/>
      <c r="LAP392" s="104"/>
      <c r="LAQ392" s="109"/>
      <c r="LAR392" s="104"/>
      <c r="LAS392" s="104"/>
      <c r="LAT392" s="119"/>
      <c r="LAU392" s="104"/>
      <c r="LAV392" s="455"/>
      <c r="LAW392" s="104"/>
      <c r="LAX392" s="104"/>
      <c r="LAY392" s="109"/>
      <c r="LAZ392" s="104"/>
      <c r="LBA392" s="104"/>
      <c r="LBB392" s="119"/>
      <c r="LBC392" s="104"/>
      <c r="LBD392" s="455"/>
      <c r="LBE392" s="104"/>
      <c r="LBF392" s="104"/>
      <c r="LBG392" s="109"/>
      <c r="LBH392" s="104"/>
      <c r="LBI392" s="104"/>
      <c r="LBJ392" s="119"/>
      <c r="LBK392" s="104"/>
      <c r="LBL392" s="455"/>
      <c r="LBM392" s="104"/>
      <c r="LBN392" s="104"/>
      <c r="LBO392" s="109"/>
      <c r="LBP392" s="104"/>
      <c r="LBQ392" s="104"/>
      <c r="LBR392" s="119"/>
      <c r="LBS392" s="104"/>
      <c r="LBT392" s="455"/>
      <c r="LBU392" s="104"/>
      <c r="LBV392" s="104"/>
      <c r="LBW392" s="109"/>
      <c r="LBX392" s="104"/>
      <c r="LBY392" s="104"/>
      <c r="LBZ392" s="119"/>
      <c r="LCA392" s="104"/>
      <c r="LCB392" s="455"/>
      <c r="LCC392" s="104"/>
      <c r="LCD392" s="104"/>
      <c r="LCE392" s="109"/>
      <c r="LCF392" s="104"/>
      <c r="LCG392" s="104"/>
      <c r="LCH392" s="119"/>
      <c r="LCI392" s="104"/>
      <c r="LCJ392" s="455"/>
      <c r="LCK392" s="104"/>
      <c r="LCL392" s="104"/>
      <c r="LCM392" s="109"/>
      <c r="LCN392" s="104"/>
      <c r="LCO392" s="104"/>
      <c r="LCP392" s="119"/>
      <c r="LCQ392" s="104"/>
      <c r="LCR392" s="455"/>
      <c r="LCS392" s="104"/>
      <c r="LCT392" s="104"/>
      <c r="LCU392" s="109"/>
      <c r="LCV392" s="104"/>
      <c r="LCW392" s="104"/>
      <c r="LCX392" s="119"/>
      <c r="LCY392" s="104"/>
      <c r="LCZ392" s="455"/>
      <c r="LDA392" s="104"/>
      <c r="LDB392" s="104"/>
      <c r="LDC392" s="109"/>
      <c r="LDD392" s="104"/>
      <c r="LDE392" s="104"/>
      <c r="LDF392" s="119"/>
      <c r="LDG392" s="104"/>
      <c r="LDH392" s="455"/>
      <c r="LDI392" s="104"/>
      <c r="LDJ392" s="104"/>
      <c r="LDK392" s="109"/>
      <c r="LDL392" s="104"/>
      <c r="LDM392" s="104"/>
      <c r="LDN392" s="119"/>
      <c r="LDO392" s="104"/>
      <c r="LDP392" s="455"/>
      <c r="LDQ392" s="104"/>
      <c r="LDR392" s="104"/>
      <c r="LDS392" s="109"/>
      <c r="LDT392" s="104"/>
      <c r="LDU392" s="104"/>
      <c r="LDV392" s="119"/>
      <c r="LDW392" s="104"/>
      <c r="LDX392" s="455"/>
      <c r="LDY392" s="104"/>
      <c r="LDZ392" s="104"/>
      <c r="LEA392" s="109"/>
      <c r="LEB392" s="104"/>
      <c r="LEC392" s="104"/>
      <c r="LED392" s="119"/>
      <c r="LEE392" s="104"/>
      <c r="LEF392" s="455"/>
      <c r="LEG392" s="104"/>
      <c r="LEH392" s="104"/>
      <c r="LEI392" s="109"/>
      <c r="LEJ392" s="104"/>
      <c r="LEK392" s="104"/>
      <c r="LEL392" s="119"/>
      <c r="LEM392" s="104"/>
      <c r="LEN392" s="455"/>
      <c r="LEO392" s="104"/>
      <c r="LEP392" s="104"/>
      <c r="LEQ392" s="109"/>
      <c r="LER392" s="104"/>
      <c r="LES392" s="104"/>
      <c r="LET392" s="119"/>
      <c r="LEU392" s="104"/>
      <c r="LEV392" s="455"/>
      <c r="LEW392" s="104"/>
      <c r="LEX392" s="104"/>
      <c r="LEY392" s="109"/>
      <c r="LEZ392" s="104"/>
      <c r="LFA392" s="104"/>
      <c r="LFB392" s="119"/>
      <c r="LFC392" s="104"/>
      <c r="LFD392" s="455"/>
      <c r="LFE392" s="104"/>
      <c r="LFF392" s="104"/>
      <c r="LFG392" s="109"/>
      <c r="LFH392" s="104"/>
      <c r="LFI392" s="104"/>
      <c r="LFJ392" s="119"/>
      <c r="LFK392" s="104"/>
      <c r="LFL392" s="455"/>
      <c r="LFM392" s="104"/>
      <c r="LFN392" s="104"/>
      <c r="LFO392" s="109"/>
      <c r="LFP392" s="104"/>
      <c r="LFQ392" s="104"/>
      <c r="LFR392" s="119"/>
      <c r="LFS392" s="104"/>
      <c r="LFT392" s="455"/>
      <c r="LFU392" s="104"/>
      <c r="LFV392" s="104"/>
      <c r="LFW392" s="109"/>
      <c r="LFX392" s="104"/>
      <c r="LFY392" s="104"/>
      <c r="LFZ392" s="119"/>
      <c r="LGA392" s="104"/>
      <c r="LGB392" s="455"/>
      <c r="LGC392" s="104"/>
      <c r="LGD392" s="104"/>
      <c r="LGE392" s="109"/>
      <c r="LGF392" s="104"/>
      <c r="LGG392" s="104"/>
      <c r="LGH392" s="119"/>
      <c r="LGI392" s="104"/>
      <c r="LGJ392" s="455"/>
      <c r="LGK392" s="104"/>
      <c r="LGL392" s="104"/>
      <c r="LGM392" s="109"/>
      <c r="LGN392" s="104"/>
      <c r="LGO392" s="104"/>
      <c r="LGP392" s="119"/>
      <c r="LGQ392" s="104"/>
      <c r="LGR392" s="455"/>
      <c r="LGS392" s="104"/>
      <c r="LGT392" s="104"/>
      <c r="LGU392" s="109"/>
      <c r="LGV392" s="104"/>
      <c r="LGW392" s="104"/>
      <c r="LGX392" s="119"/>
      <c r="LGY392" s="104"/>
      <c r="LGZ392" s="455"/>
      <c r="LHA392" s="104"/>
      <c r="LHB392" s="104"/>
      <c r="LHC392" s="109"/>
      <c r="LHD392" s="104"/>
      <c r="LHE392" s="104"/>
      <c r="LHF392" s="119"/>
      <c r="LHG392" s="104"/>
      <c r="LHH392" s="455"/>
      <c r="LHI392" s="104"/>
      <c r="LHJ392" s="104"/>
      <c r="LHK392" s="109"/>
      <c r="LHL392" s="104"/>
      <c r="LHM392" s="104"/>
      <c r="LHN392" s="119"/>
      <c r="LHO392" s="104"/>
      <c r="LHP392" s="455"/>
      <c r="LHQ392" s="104"/>
      <c r="LHR392" s="104"/>
      <c r="LHS392" s="109"/>
      <c r="LHT392" s="104"/>
      <c r="LHU392" s="104"/>
      <c r="LHV392" s="119"/>
      <c r="LHW392" s="104"/>
      <c r="LHX392" s="455"/>
      <c r="LHY392" s="104"/>
      <c r="LHZ392" s="104"/>
      <c r="LIA392" s="109"/>
      <c r="LIB392" s="104"/>
      <c r="LIC392" s="104"/>
      <c r="LID392" s="119"/>
      <c r="LIE392" s="104"/>
      <c r="LIF392" s="455"/>
      <c r="LIG392" s="104"/>
      <c r="LIH392" s="104"/>
      <c r="LII392" s="109"/>
      <c r="LIJ392" s="104"/>
      <c r="LIK392" s="104"/>
      <c r="LIL392" s="119"/>
      <c r="LIM392" s="104"/>
      <c r="LIN392" s="455"/>
      <c r="LIO392" s="104"/>
      <c r="LIP392" s="104"/>
      <c r="LIQ392" s="109"/>
      <c r="LIR392" s="104"/>
      <c r="LIS392" s="104"/>
      <c r="LIT392" s="119"/>
      <c r="LIU392" s="104"/>
      <c r="LIV392" s="455"/>
      <c r="LIW392" s="104"/>
      <c r="LIX392" s="104"/>
      <c r="LIY392" s="109"/>
      <c r="LIZ392" s="104"/>
      <c r="LJA392" s="104"/>
      <c r="LJB392" s="119"/>
      <c r="LJC392" s="104"/>
      <c r="LJD392" s="455"/>
      <c r="LJE392" s="104"/>
      <c r="LJF392" s="104"/>
      <c r="LJG392" s="109"/>
      <c r="LJH392" s="104"/>
      <c r="LJI392" s="104"/>
      <c r="LJJ392" s="119"/>
      <c r="LJK392" s="104"/>
      <c r="LJL392" s="455"/>
      <c r="LJM392" s="104"/>
      <c r="LJN392" s="104"/>
      <c r="LJO392" s="109"/>
      <c r="LJP392" s="104"/>
      <c r="LJQ392" s="104"/>
      <c r="LJR392" s="119"/>
      <c r="LJS392" s="104"/>
      <c r="LJT392" s="455"/>
      <c r="LJU392" s="104"/>
      <c r="LJV392" s="104"/>
      <c r="LJW392" s="109"/>
      <c r="LJX392" s="104"/>
      <c r="LJY392" s="104"/>
      <c r="LJZ392" s="119"/>
      <c r="LKA392" s="104"/>
      <c r="LKB392" s="455"/>
      <c r="LKC392" s="104"/>
      <c r="LKD392" s="104"/>
      <c r="LKE392" s="109"/>
      <c r="LKF392" s="104"/>
      <c r="LKG392" s="104"/>
      <c r="LKH392" s="119"/>
      <c r="LKI392" s="104"/>
      <c r="LKJ392" s="455"/>
      <c r="LKK392" s="104"/>
      <c r="LKL392" s="104"/>
      <c r="LKM392" s="109"/>
      <c r="LKN392" s="104"/>
      <c r="LKO392" s="104"/>
      <c r="LKP392" s="119"/>
      <c r="LKQ392" s="104"/>
      <c r="LKR392" s="455"/>
      <c r="LKS392" s="104"/>
      <c r="LKT392" s="104"/>
      <c r="LKU392" s="109"/>
      <c r="LKV392" s="104"/>
      <c r="LKW392" s="104"/>
      <c r="LKX392" s="119"/>
      <c r="LKY392" s="104"/>
      <c r="LKZ392" s="455"/>
      <c r="LLA392" s="104"/>
      <c r="LLB392" s="104"/>
      <c r="LLC392" s="109"/>
      <c r="LLD392" s="104"/>
      <c r="LLE392" s="104"/>
      <c r="LLF392" s="119"/>
      <c r="LLG392" s="104"/>
      <c r="LLH392" s="455"/>
      <c r="LLI392" s="104"/>
      <c r="LLJ392" s="104"/>
      <c r="LLK392" s="109"/>
      <c r="LLL392" s="104"/>
      <c r="LLM392" s="104"/>
      <c r="LLN392" s="119"/>
      <c r="LLO392" s="104"/>
      <c r="LLP392" s="455"/>
      <c r="LLQ392" s="104"/>
      <c r="LLR392" s="104"/>
      <c r="LLS392" s="109"/>
      <c r="LLT392" s="104"/>
      <c r="LLU392" s="104"/>
      <c r="LLV392" s="119"/>
      <c r="LLW392" s="104"/>
      <c r="LLX392" s="455"/>
      <c r="LLY392" s="104"/>
      <c r="LLZ392" s="104"/>
      <c r="LMA392" s="109"/>
      <c r="LMB392" s="104"/>
      <c r="LMC392" s="104"/>
      <c r="LMD392" s="119"/>
      <c r="LME392" s="104"/>
      <c r="LMF392" s="455"/>
      <c r="LMG392" s="104"/>
      <c r="LMH392" s="104"/>
      <c r="LMI392" s="109"/>
      <c r="LMJ392" s="104"/>
      <c r="LMK392" s="104"/>
      <c r="LML392" s="119"/>
      <c r="LMM392" s="104"/>
      <c r="LMN392" s="455"/>
      <c r="LMO392" s="104"/>
      <c r="LMP392" s="104"/>
      <c r="LMQ392" s="109"/>
      <c r="LMR392" s="104"/>
      <c r="LMS392" s="104"/>
      <c r="LMT392" s="119"/>
      <c r="LMU392" s="104"/>
      <c r="LMV392" s="455"/>
      <c r="LMW392" s="104"/>
      <c r="LMX392" s="104"/>
      <c r="LMY392" s="109"/>
      <c r="LMZ392" s="104"/>
      <c r="LNA392" s="104"/>
      <c r="LNB392" s="119"/>
      <c r="LNC392" s="104"/>
      <c r="LND392" s="455"/>
      <c r="LNE392" s="104"/>
      <c r="LNF392" s="104"/>
      <c r="LNG392" s="109"/>
      <c r="LNH392" s="104"/>
      <c r="LNI392" s="104"/>
      <c r="LNJ392" s="119"/>
      <c r="LNK392" s="104"/>
      <c r="LNL392" s="455"/>
      <c r="LNM392" s="104"/>
      <c r="LNN392" s="104"/>
      <c r="LNO392" s="109"/>
      <c r="LNP392" s="104"/>
      <c r="LNQ392" s="104"/>
      <c r="LNR392" s="119"/>
      <c r="LNS392" s="104"/>
      <c r="LNT392" s="455"/>
      <c r="LNU392" s="104"/>
      <c r="LNV392" s="104"/>
      <c r="LNW392" s="109"/>
      <c r="LNX392" s="104"/>
      <c r="LNY392" s="104"/>
      <c r="LNZ392" s="119"/>
      <c r="LOA392" s="104"/>
      <c r="LOB392" s="455"/>
      <c r="LOC392" s="104"/>
      <c r="LOD392" s="104"/>
      <c r="LOE392" s="109"/>
      <c r="LOF392" s="104"/>
      <c r="LOG392" s="104"/>
      <c r="LOH392" s="119"/>
      <c r="LOI392" s="104"/>
      <c r="LOJ392" s="455"/>
      <c r="LOK392" s="104"/>
      <c r="LOL392" s="104"/>
      <c r="LOM392" s="109"/>
      <c r="LON392" s="104"/>
      <c r="LOO392" s="104"/>
      <c r="LOP392" s="119"/>
      <c r="LOQ392" s="104"/>
      <c r="LOR392" s="455"/>
      <c r="LOS392" s="104"/>
      <c r="LOT392" s="104"/>
      <c r="LOU392" s="109"/>
      <c r="LOV392" s="104"/>
      <c r="LOW392" s="104"/>
      <c r="LOX392" s="119"/>
      <c r="LOY392" s="104"/>
      <c r="LOZ392" s="455"/>
      <c r="LPA392" s="104"/>
      <c r="LPB392" s="104"/>
      <c r="LPC392" s="109"/>
      <c r="LPD392" s="104"/>
      <c r="LPE392" s="104"/>
      <c r="LPF392" s="119"/>
      <c r="LPG392" s="104"/>
      <c r="LPH392" s="455"/>
      <c r="LPI392" s="104"/>
      <c r="LPJ392" s="104"/>
      <c r="LPK392" s="109"/>
      <c r="LPL392" s="104"/>
      <c r="LPM392" s="104"/>
      <c r="LPN392" s="119"/>
      <c r="LPO392" s="104"/>
      <c r="LPP392" s="455"/>
      <c r="LPQ392" s="104"/>
      <c r="LPR392" s="104"/>
      <c r="LPS392" s="109"/>
      <c r="LPT392" s="104"/>
      <c r="LPU392" s="104"/>
      <c r="LPV392" s="119"/>
      <c r="LPW392" s="104"/>
      <c r="LPX392" s="455"/>
      <c r="LPY392" s="104"/>
      <c r="LPZ392" s="104"/>
      <c r="LQA392" s="109"/>
      <c r="LQB392" s="104"/>
      <c r="LQC392" s="104"/>
      <c r="LQD392" s="119"/>
      <c r="LQE392" s="104"/>
      <c r="LQF392" s="455"/>
      <c r="LQG392" s="104"/>
      <c r="LQH392" s="104"/>
      <c r="LQI392" s="109"/>
      <c r="LQJ392" s="104"/>
      <c r="LQK392" s="104"/>
      <c r="LQL392" s="119"/>
      <c r="LQM392" s="104"/>
      <c r="LQN392" s="455"/>
      <c r="LQO392" s="104"/>
      <c r="LQP392" s="104"/>
      <c r="LQQ392" s="109"/>
      <c r="LQR392" s="104"/>
      <c r="LQS392" s="104"/>
      <c r="LQT392" s="119"/>
      <c r="LQU392" s="104"/>
      <c r="LQV392" s="455"/>
      <c r="LQW392" s="104"/>
      <c r="LQX392" s="104"/>
      <c r="LQY392" s="109"/>
      <c r="LQZ392" s="104"/>
      <c r="LRA392" s="104"/>
      <c r="LRB392" s="119"/>
      <c r="LRC392" s="104"/>
      <c r="LRD392" s="455"/>
      <c r="LRE392" s="104"/>
      <c r="LRF392" s="104"/>
      <c r="LRG392" s="109"/>
      <c r="LRH392" s="104"/>
      <c r="LRI392" s="104"/>
      <c r="LRJ392" s="119"/>
      <c r="LRK392" s="104"/>
      <c r="LRL392" s="455"/>
      <c r="LRM392" s="104"/>
      <c r="LRN392" s="104"/>
      <c r="LRO392" s="109"/>
      <c r="LRP392" s="104"/>
      <c r="LRQ392" s="104"/>
      <c r="LRR392" s="119"/>
      <c r="LRS392" s="104"/>
      <c r="LRT392" s="455"/>
      <c r="LRU392" s="104"/>
      <c r="LRV392" s="104"/>
      <c r="LRW392" s="109"/>
      <c r="LRX392" s="104"/>
      <c r="LRY392" s="104"/>
      <c r="LRZ392" s="119"/>
      <c r="LSA392" s="104"/>
      <c r="LSB392" s="455"/>
      <c r="LSC392" s="104"/>
      <c r="LSD392" s="104"/>
      <c r="LSE392" s="109"/>
      <c r="LSF392" s="104"/>
      <c r="LSG392" s="104"/>
      <c r="LSH392" s="119"/>
      <c r="LSI392" s="104"/>
      <c r="LSJ392" s="455"/>
      <c r="LSK392" s="104"/>
      <c r="LSL392" s="104"/>
      <c r="LSM392" s="109"/>
      <c r="LSN392" s="104"/>
      <c r="LSO392" s="104"/>
      <c r="LSP392" s="119"/>
      <c r="LSQ392" s="104"/>
      <c r="LSR392" s="455"/>
      <c r="LSS392" s="104"/>
      <c r="LST392" s="104"/>
      <c r="LSU392" s="109"/>
      <c r="LSV392" s="104"/>
      <c r="LSW392" s="104"/>
      <c r="LSX392" s="119"/>
      <c r="LSY392" s="104"/>
      <c r="LSZ392" s="455"/>
      <c r="LTA392" s="104"/>
      <c r="LTB392" s="104"/>
      <c r="LTC392" s="109"/>
      <c r="LTD392" s="104"/>
      <c r="LTE392" s="104"/>
      <c r="LTF392" s="119"/>
      <c r="LTG392" s="104"/>
      <c r="LTH392" s="455"/>
      <c r="LTI392" s="104"/>
      <c r="LTJ392" s="104"/>
      <c r="LTK392" s="109"/>
      <c r="LTL392" s="104"/>
      <c r="LTM392" s="104"/>
      <c r="LTN392" s="119"/>
      <c r="LTO392" s="104"/>
      <c r="LTP392" s="455"/>
      <c r="LTQ392" s="104"/>
      <c r="LTR392" s="104"/>
      <c r="LTS392" s="109"/>
      <c r="LTT392" s="104"/>
      <c r="LTU392" s="104"/>
      <c r="LTV392" s="119"/>
      <c r="LTW392" s="104"/>
      <c r="LTX392" s="455"/>
      <c r="LTY392" s="104"/>
      <c r="LTZ392" s="104"/>
      <c r="LUA392" s="109"/>
      <c r="LUB392" s="104"/>
      <c r="LUC392" s="104"/>
      <c r="LUD392" s="119"/>
      <c r="LUE392" s="104"/>
      <c r="LUF392" s="455"/>
      <c r="LUG392" s="104"/>
      <c r="LUH392" s="104"/>
      <c r="LUI392" s="109"/>
      <c r="LUJ392" s="104"/>
      <c r="LUK392" s="104"/>
      <c r="LUL392" s="119"/>
      <c r="LUM392" s="104"/>
      <c r="LUN392" s="455"/>
      <c r="LUO392" s="104"/>
      <c r="LUP392" s="104"/>
      <c r="LUQ392" s="109"/>
      <c r="LUR392" s="104"/>
      <c r="LUS392" s="104"/>
      <c r="LUT392" s="119"/>
      <c r="LUU392" s="104"/>
      <c r="LUV392" s="455"/>
      <c r="LUW392" s="104"/>
      <c r="LUX392" s="104"/>
      <c r="LUY392" s="109"/>
      <c r="LUZ392" s="104"/>
      <c r="LVA392" s="104"/>
      <c r="LVB392" s="119"/>
      <c r="LVC392" s="104"/>
      <c r="LVD392" s="455"/>
      <c r="LVE392" s="104"/>
      <c r="LVF392" s="104"/>
      <c r="LVG392" s="109"/>
      <c r="LVH392" s="104"/>
      <c r="LVI392" s="104"/>
      <c r="LVJ392" s="119"/>
      <c r="LVK392" s="104"/>
      <c r="LVL392" s="455"/>
      <c r="LVM392" s="104"/>
      <c r="LVN392" s="104"/>
      <c r="LVO392" s="109"/>
      <c r="LVP392" s="104"/>
      <c r="LVQ392" s="104"/>
      <c r="LVR392" s="119"/>
      <c r="LVS392" s="104"/>
      <c r="LVT392" s="455"/>
      <c r="LVU392" s="104"/>
      <c r="LVV392" s="104"/>
      <c r="LVW392" s="109"/>
      <c r="LVX392" s="104"/>
      <c r="LVY392" s="104"/>
      <c r="LVZ392" s="119"/>
      <c r="LWA392" s="104"/>
      <c r="LWB392" s="455"/>
      <c r="LWC392" s="104"/>
      <c r="LWD392" s="104"/>
      <c r="LWE392" s="109"/>
      <c r="LWF392" s="104"/>
      <c r="LWG392" s="104"/>
      <c r="LWH392" s="119"/>
      <c r="LWI392" s="104"/>
      <c r="LWJ392" s="455"/>
      <c r="LWK392" s="104"/>
      <c r="LWL392" s="104"/>
      <c r="LWM392" s="109"/>
      <c r="LWN392" s="104"/>
      <c r="LWO392" s="104"/>
      <c r="LWP392" s="119"/>
      <c r="LWQ392" s="104"/>
      <c r="LWR392" s="455"/>
      <c r="LWS392" s="104"/>
      <c r="LWT392" s="104"/>
      <c r="LWU392" s="109"/>
      <c r="LWV392" s="104"/>
      <c r="LWW392" s="104"/>
      <c r="LWX392" s="119"/>
      <c r="LWY392" s="104"/>
      <c r="LWZ392" s="455"/>
      <c r="LXA392" s="104"/>
      <c r="LXB392" s="104"/>
      <c r="LXC392" s="109"/>
      <c r="LXD392" s="104"/>
      <c r="LXE392" s="104"/>
      <c r="LXF392" s="119"/>
      <c r="LXG392" s="104"/>
      <c r="LXH392" s="455"/>
      <c r="LXI392" s="104"/>
      <c r="LXJ392" s="104"/>
      <c r="LXK392" s="109"/>
      <c r="LXL392" s="104"/>
      <c r="LXM392" s="104"/>
      <c r="LXN392" s="119"/>
      <c r="LXO392" s="104"/>
      <c r="LXP392" s="455"/>
      <c r="LXQ392" s="104"/>
      <c r="LXR392" s="104"/>
      <c r="LXS392" s="109"/>
      <c r="LXT392" s="104"/>
      <c r="LXU392" s="104"/>
      <c r="LXV392" s="119"/>
      <c r="LXW392" s="104"/>
      <c r="LXX392" s="455"/>
      <c r="LXY392" s="104"/>
      <c r="LXZ392" s="104"/>
      <c r="LYA392" s="109"/>
      <c r="LYB392" s="104"/>
      <c r="LYC392" s="104"/>
      <c r="LYD392" s="119"/>
      <c r="LYE392" s="104"/>
      <c r="LYF392" s="455"/>
      <c r="LYG392" s="104"/>
      <c r="LYH392" s="104"/>
      <c r="LYI392" s="109"/>
      <c r="LYJ392" s="104"/>
      <c r="LYK392" s="104"/>
      <c r="LYL392" s="119"/>
      <c r="LYM392" s="104"/>
      <c r="LYN392" s="455"/>
      <c r="LYO392" s="104"/>
      <c r="LYP392" s="104"/>
      <c r="LYQ392" s="109"/>
      <c r="LYR392" s="104"/>
      <c r="LYS392" s="104"/>
      <c r="LYT392" s="119"/>
      <c r="LYU392" s="104"/>
      <c r="LYV392" s="455"/>
      <c r="LYW392" s="104"/>
      <c r="LYX392" s="104"/>
      <c r="LYY392" s="109"/>
      <c r="LYZ392" s="104"/>
      <c r="LZA392" s="104"/>
      <c r="LZB392" s="119"/>
      <c r="LZC392" s="104"/>
      <c r="LZD392" s="455"/>
      <c r="LZE392" s="104"/>
      <c r="LZF392" s="104"/>
      <c r="LZG392" s="109"/>
      <c r="LZH392" s="104"/>
      <c r="LZI392" s="104"/>
      <c r="LZJ392" s="119"/>
      <c r="LZK392" s="104"/>
      <c r="LZL392" s="455"/>
      <c r="LZM392" s="104"/>
      <c r="LZN392" s="104"/>
      <c r="LZO392" s="109"/>
      <c r="LZP392" s="104"/>
      <c r="LZQ392" s="104"/>
      <c r="LZR392" s="119"/>
      <c r="LZS392" s="104"/>
      <c r="LZT392" s="455"/>
      <c r="LZU392" s="104"/>
      <c r="LZV392" s="104"/>
      <c r="LZW392" s="109"/>
      <c r="LZX392" s="104"/>
      <c r="LZY392" s="104"/>
      <c r="LZZ392" s="119"/>
      <c r="MAA392" s="104"/>
      <c r="MAB392" s="455"/>
      <c r="MAC392" s="104"/>
      <c r="MAD392" s="104"/>
      <c r="MAE392" s="109"/>
      <c r="MAF392" s="104"/>
      <c r="MAG392" s="104"/>
      <c r="MAH392" s="119"/>
      <c r="MAI392" s="104"/>
      <c r="MAJ392" s="455"/>
      <c r="MAK392" s="104"/>
      <c r="MAL392" s="104"/>
      <c r="MAM392" s="109"/>
      <c r="MAN392" s="104"/>
      <c r="MAO392" s="104"/>
      <c r="MAP392" s="119"/>
      <c r="MAQ392" s="104"/>
      <c r="MAR392" s="455"/>
      <c r="MAS392" s="104"/>
      <c r="MAT392" s="104"/>
      <c r="MAU392" s="109"/>
      <c r="MAV392" s="104"/>
      <c r="MAW392" s="104"/>
      <c r="MAX392" s="119"/>
      <c r="MAY392" s="104"/>
      <c r="MAZ392" s="455"/>
      <c r="MBA392" s="104"/>
      <c r="MBB392" s="104"/>
      <c r="MBC392" s="109"/>
      <c r="MBD392" s="104"/>
      <c r="MBE392" s="104"/>
      <c r="MBF392" s="119"/>
      <c r="MBG392" s="104"/>
      <c r="MBH392" s="455"/>
      <c r="MBI392" s="104"/>
      <c r="MBJ392" s="104"/>
      <c r="MBK392" s="109"/>
      <c r="MBL392" s="104"/>
      <c r="MBM392" s="104"/>
      <c r="MBN392" s="119"/>
      <c r="MBO392" s="104"/>
      <c r="MBP392" s="455"/>
      <c r="MBQ392" s="104"/>
      <c r="MBR392" s="104"/>
      <c r="MBS392" s="109"/>
      <c r="MBT392" s="104"/>
      <c r="MBU392" s="104"/>
      <c r="MBV392" s="119"/>
      <c r="MBW392" s="104"/>
      <c r="MBX392" s="455"/>
      <c r="MBY392" s="104"/>
      <c r="MBZ392" s="104"/>
      <c r="MCA392" s="109"/>
      <c r="MCB392" s="104"/>
      <c r="MCC392" s="104"/>
      <c r="MCD392" s="119"/>
      <c r="MCE392" s="104"/>
      <c r="MCF392" s="455"/>
      <c r="MCG392" s="104"/>
      <c r="MCH392" s="104"/>
      <c r="MCI392" s="109"/>
      <c r="MCJ392" s="104"/>
      <c r="MCK392" s="104"/>
      <c r="MCL392" s="119"/>
      <c r="MCM392" s="104"/>
      <c r="MCN392" s="455"/>
      <c r="MCO392" s="104"/>
      <c r="MCP392" s="104"/>
      <c r="MCQ392" s="109"/>
      <c r="MCR392" s="104"/>
      <c r="MCS392" s="104"/>
      <c r="MCT392" s="119"/>
      <c r="MCU392" s="104"/>
      <c r="MCV392" s="455"/>
      <c r="MCW392" s="104"/>
      <c r="MCX392" s="104"/>
      <c r="MCY392" s="109"/>
      <c r="MCZ392" s="104"/>
      <c r="MDA392" s="104"/>
      <c r="MDB392" s="119"/>
      <c r="MDC392" s="104"/>
      <c r="MDD392" s="455"/>
      <c r="MDE392" s="104"/>
      <c r="MDF392" s="104"/>
      <c r="MDG392" s="109"/>
      <c r="MDH392" s="104"/>
      <c r="MDI392" s="104"/>
      <c r="MDJ392" s="119"/>
      <c r="MDK392" s="104"/>
      <c r="MDL392" s="455"/>
      <c r="MDM392" s="104"/>
      <c r="MDN392" s="104"/>
      <c r="MDO392" s="109"/>
      <c r="MDP392" s="104"/>
      <c r="MDQ392" s="104"/>
      <c r="MDR392" s="119"/>
      <c r="MDS392" s="104"/>
      <c r="MDT392" s="455"/>
      <c r="MDU392" s="104"/>
      <c r="MDV392" s="104"/>
      <c r="MDW392" s="109"/>
      <c r="MDX392" s="104"/>
      <c r="MDY392" s="104"/>
      <c r="MDZ392" s="119"/>
      <c r="MEA392" s="104"/>
      <c r="MEB392" s="455"/>
      <c r="MEC392" s="104"/>
      <c r="MED392" s="104"/>
      <c r="MEE392" s="109"/>
      <c r="MEF392" s="104"/>
      <c r="MEG392" s="104"/>
      <c r="MEH392" s="119"/>
      <c r="MEI392" s="104"/>
      <c r="MEJ392" s="455"/>
      <c r="MEK392" s="104"/>
      <c r="MEL392" s="104"/>
      <c r="MEM392" s="109"/>
      <c r="MEN392" s="104"/>
      <c r="MEO392" s="104"/>
      <c r="MEP392" s="119"/>
      <c r="MEQ392" s="104"/>
      <c r="MER392" s="455"/>
      <c r="MES392" s="104"/>
      <c r="MET392" s="104"/>
      <c r="MEU392" s="109"/>
      <c r="MEV392" s="104"/>
      <c r="MEW392" s="104"/>
      <c r="MEX392" s="119"/>
      <c r="MEY392" s="104"/>
      <c r="MEZ392" s="455"/>
      <c r="MFA392" s="104"/>
      <c r="MFB392" s="104"/>
      <c r="MFC392" s="109"/>
      <c r="MFD392" s="104"/>
      <c r="MFE392" s="104"/>
      <c r="MFF392" s="119"/>
      <c r="MFG392" s="104"/>
      <c r="MFH392" s="455"/>
      <c r="MFI392" s="104"/>
      <c r="MFJ392" s="104"/>
      <c r="MFK392" s="109"/>
      <c r="MFL392" s="104"/>
      <c r="MFM392" s="104"/>
      <c r="MFN392" s="119"/>
      <c r="MFO392" s="104"/>
      <c r="MFP392" s="455"/>
      <c r="MFQ392" s="104"/>
      <c r="MFR392" s="104"/>
      <c r="MFS392" s="109"/>
      <c r="MFT392" s="104"/>
      <c r="MFU392" s="104"/>
      <c r="MFV392" s="119"/>
      <c r="MFW392" s="104"/>
      <c r="MFX392" s="455"/>
      <c r="MFY392" s="104"/>
      <c r="MFZ392" s="104"/>
      <c r="MGA392" s="109"/>
      <c r="MGB392" s="104"/>
      <c r="MGC392" s="104"/>
      <c r="MGD392" s="119"/>
      <c r="MGE392" s="104"/>
      <c r="MGF392" s="455"/>
      <c r="MGG392" s="104"/>
      <c r="MGH392" s="104"/>
      <c r="MGI392" s="109"/>
      <c r="MGJ392" s="104"/>
      <c r="MGK392" s="104"/>
      <c r="MGL392" s="119"/>
      <c r="MGM392" s="104"/>
      <c r="MGN392" s="455"/>
      <c r="MGO392" s="104"/>
      <c r="MGP392" s="104"/>
      <c r="MGQ392" s="109"/>
      <c r="MGR392" s="104"/>
      <c r="MGS392" s="104"/>
      <c r="MGT392" s="119"/>
      <c r="MGU392" s="104"/>
      <c r="MGV392" s="455"/>
      <c r="MGW392" s="104"/>
      <c r="MGX392" s="104"/>
      <c r="MGY392" s="109"/>
      <c r="MGZ392" s="104"/>
      <c r="MHA392" s="104"/>
      <c r="MHB392" s="119"/>
      <c r="MHC392" s="104"/>
      <c r="MHD392" s="455"/>
      <c r="MHE392" s="104"/>
      <c r="MHF392" s="104"/>
      <c r="MHG392" s="109"/>
      <c r="MHH392" s="104"/>
      <c r="MHI392" s="104"/>
      <c r="MHJ392" s="119"/>
      <c r="MHK392" s="104"/>
      <c r="MHL392" s="455"/>
      <c r="MHM392" s="104"/>
      <c r="MHN392" s="104"/>
      <c r="MHO392" s="109"/>
      <c r="MHP392" s="104"/>
      <c r="MHQ392" s="104"/>
      <c r="MHR392" s="119"/>
      <c r="MHS392" s="104"/>
      <c r="MHT392" s="455"/>
      <c r="MHU392" s="104"/>
      <c r="MHV392" s="104"/>
      <c r="MHW392" s="109"/>
      <c r="MHX392" s="104"/>
      <c r="MHY392" s="104"/>
      <c r="MHZ392" s="119"/>
      <c r="MIA392" s="104"/>
      <c r="MIB392" s="455"/>
      <c r="MIC392" s="104"/>
      <c r="MID392" s="104"/>
      <c r="MIE392" s="109"/>
      <c r="MIF392" s="104"/>
      <c r="MIG392" s="104"/>
      <c r="MIH392" s="119"/>
      <c r="MII392" s="104"/>
      <c r="MIJ392" s="455"/>
      <c r="MIK392" s="104"/>
      <c r="MIL392" s="104"/>
      <c r="MIM392" s="109"/>
      <c r="MIN392" s="104"/>
      <c r="MIO392" s="104"/>
      <c r="MIP392" s="119"/>
      <c r="MIQ392" s="104"/>
      <c r="MIR392" s="455"/>
      <c r="MIS392" s="104"/>
      <c r="MIT392" s="104"/>
      <c r="MIU392" s="109"/>
      <c r="MIV392" s="104"/>
      <c r="MIW392" s="104"/>
      <c r="MIX392" s="119"/>
      <c r="MIY392" s="104"/>
      <c r="MIZ392" s="455"/>
      <c r="MJA392" s="104"/>
      <c r="MJB392" s="104"/>
      <c r="MJC392" s="109"/>
      <c r="MJD392" s="104"/>
      <c r="MJE392" s="104"/>
      <c r="MJF392" s="119"/>
      <c r="MJG392" s="104"/>
      <c r="MJH392" s="455"/>
      <c r="MJI392" s="104"/>
      <c r="MJJ392" s="104"/>
      <c r="MJK392" s="109"/>
      <c r="MJL392" s="104"/>
      <c r="MJM392" s="104"/>
      <c r="MJN392" s="119"/>
      <c r="MJO392" s="104"/>
      <c r="MJP392" s="455"/>
      <c r="MJQ392" s="104"/>
      <c r="MJR392" s="104"/>
      <c r="MJS392" s="109"/>
      <c r="MJT392" s="104"/>
      <c r="MJU392" s="104"/>
      <c r="MJV392" s="119"/>
      <c r="MJW392" s="104"/>
      <c r="MJX392" s="455"/>
      <c r="MJY392" s="104"/>
      <c r="MJZ392" s="104"/>
      <c r="MKA392" s="109"/>
      <c r="MKB392" s="104"/>
      <c r="MKC392" s="104"/>
      <c r="MKD392" s="119"/>
      <c r="MKE392" s="104"/>
      <c r="MKF392" s="455"/>
      <c r="MKG392" s="104"/>
      <c r="MKH392" s="104"/>
      <c r="MKI392" s="109"/>
      <c r="MKJ392" s="104"/>
      <c r="MKK392" s="104"/>
      <c r="MKL392" s="119"/>
      <c r="MKM392" s="104"/>
      <c r="MKN392" s="455"/>
      <c r="MKO392" s="104"/>
      <c r="MKP392" s="104"/>
      <c r="MKQ392" s="109"/>
      <c r="MKR392" s="104"/>
      <c r="MKS392" s="104"/>
      <c r="MKT392" s="119"/>
      <c r="MKU392" s="104"/>
      <c r="MKV392" s="455"/>
      <c r="MKW392" s="104"/>
      <c r="MKX392" s="104"/>
      <c r="MKY392" s="109"/>
      <c r="MKZ392" s="104"/>
      <c r="MLA392" s="104"/>
      <c r="MLB392" s="119"/>
      <c r="MLC392" s="104"/>
      <c r="MLD392" s="455"/>
      <c r="MLE392" s="104"/>
      <c r="MLF392" s="104"/>
      <c r="MLG392" s="109"/>
      <c r="MLH392" s="104"/>
      <c r="MLI392" s="104"/>
      <c r="MLJ392" s="119"/>
      <c r="MLK392" s="104"/>
      <c r="MLL392" s="455"/>
      <c r="MLM392" s="104"/>
      <c r="MLN392" s="104"/>
      <c r="MLO392" s="109"/>
      <c r="MLP392" s="104"/>
      <c r="MLQ392" s="104"/>
      <c r="MLR392" s="119"/>
      <c r="MLS392" s="104"/>
      <c r="MLT392" s="455"/>
      <c r="MLU392" s="104"/>
      <c r="MLV392" s="104"/>
      <c r="MLW392" s="109"/>
      <c r="MLX392" s="104"/>
      <c r="MLY392" s="104"/>
      <c r="MLZ392" s="119"/>
      <c r="MMA392" s="104"/>
      <c r="MMB392" s="455"/>
      <c r="MMC392" s="104"/>
      <c r="MMD392" s="104"/>
      <c r="MME392" s="109"/>
      <c r="MMF392" s="104"/>
      <c r="MMG392" s="104"/>
      <c r="MMH392" s="119"/>
      <c r="MMI392" s="104"/>
      <c r="MMJ392" s="455"/>
      <c r="MMK392" s="104"/>
      <c r="MML392" s="104"/>
      <c r="MMM392" s="109"/>
      <c r="MMN392" s="104"/>
      <c r="MMO392" s="104"/>
      <c r="MMP392" s="119"/>
      <c r="MMQ392" s="104"/>
      <c r="MMR392" s="455"/>
      <c r="MMS392" s="104"/>
      <c r="MMT392" s="104"/>
      <c r="MMU392" s="109"/>
      <c r="MMV392" s="104"/>
      <c r="MMW392" s="104"/>
      <c r="MMX392" s="119"/>
      <c r="MMY392" s="104"/>
      <c r="MMZ392" s="455"/>
      <c r="MNA392" s="104"/>
      <c r="MNB392" s="104"/>
      <c r="MNC392" s="109"/>
      <c r="MND392" s="104"/>
      <c r="MNE392" s="104"/>
      <c r="MNF392" s="119"/>
      <c r="MNG392" s="104"/>
      <c r="MNH392" s="455"/>
      <c r="MNI392" s="104"/>
      <c r="MNJ392" s="104"/>
      <c r="MNK392" s="109"/>
      <c r="MNL392" s="104"/>
      <c r="MNM392" s="104"/>
      <c r="MNN392" s="119"/>
      <c r="MNO392" s="104"/>
      <c r="MNP392" s="455"/>
      <c r="MNQ392" s="104"/>
      <c r="MNR392" s="104"/>
      <c r="MNS392" s="109"/>
      <c r="MNT392" s="104"/>
      <c r="MNU392" s="104"/>
      <c r="MNV392" s="119"/>
      <c r="MNW392" s="104"/>
      <c r="MNX392" s="455"/>
      <c r="MNY392" s="104"/>
      <c r="MNZ392" s="104"/>
      <c r="MOA392" s="109"/>
      <c r="MOB392" s="104"/>
      <c r="MOC392" s="104"/>
      <c r="MOD392" s="119"/>
      <c r="MOE392" s="104"/>
      <c r="MOF392" s="455"/>
      <c r="MOG392" s="104"/>
      <c r="MOH392" s="104"/>
      <c r="MOI392" s="109"/>
      <c r="MOJ392" s="104"/>
      <c r="MOK392" s="104"/>
      <c r="MOL392" s="119"/>
      <c r="MOM392" s="104"/>
      <c r="MON392" s="455"/>
      <c r="MOO392" s="104"/>
      <c r="MOP392" s="104"/>
      <c r="MOQ392" s="109"/>
      <c r="MOR392" s="104"/>
      <c r="MOS392" s="104"/>
      <c r="MOT392" s="119"/>
      <c r="MOU392" s="104"/>
      <c r="MOV392" s="455"/>
      <c r="MOW392" s="104"/>
      <c r="MOX392" s="104"/>
      <c r="MOY392" s="109"/>
      <c r="MOZ392" s="104"/>
      <c r="MPA392" s="104"/>
      <c r="MPB392" s="119"/>
      <c r="MPC392" s="104"/>
      <c r="MPD392" s="455"/>
      <c r="MPE392" s="104"/>
      <c r="MPF392" s="104"/>
      <c r="MPG392" s="109"/>
      <c r="MPH392" s="104"/>
      <c r="MPI392" s="104"/>
      <c r="MPJ392" s="119"/>
      <c r="MPK392" s="104"/>
      <c r="MPL392" s="455"/>
      <c r="MPM392" s="104"/>
      <c r="MPN392" s="104"/>
      <c r="MPO392" s="109"/>
      <c r="MPP392" s="104"/>
      <c r="MPQ392" s="104"/>
      <c r="MPR392" s="119"/>
      <c r="MPS392" s="104"/>
      <c r="MPT392" s="455"/>
      <c r="MPU392" s="104"/>
      <c r="MPV392" s="104"/>
      <c r="MPW392" s="109"/>
      <c r="MPX392" s="104"/>
      <c r="MPY392" s="104"/>
      <c r="MPZ392" s="119"/>
      <c r="MQA392" s="104"/>
      <c r="MQB392" s="455"/>
      <c r="MQC392" s="104"/>
      <c r="MQD392" s="104"/>
      <c r="MQE392" s="109"/>
      <c r="MQF392" s="104"/>
      <c r="MQG392" s="104"/>
      <c r="MQH392" s="119"/>
      <c r="MQI392" s="104"/>
      <c r="MQJ392" s="455"/>
      <c r="MQK392" s="104"/>
      <c r="MQL392" s="104"/>
      <c r="MQM392" s="109"/>
      <c r="MQN392" s="104"/>
      <c r="MQO392" s="104"/>
      <c r="MQP392" s="119"/>
      <c r="MQQ392" s="104"/>
      <c r="MQR392" s="455"/>
      <c r="MQS392" s="104"/>
      <c r="MQT392" s="104"/>
      <c r="MQU392" s="109"/>
      <c r="MQV392" s="104"/>
      <c r="MQW392" s="104"/>
      <c r="MQX392" s="119"/>
      <c r="MQY392" s="104"/>
      <c r="MQZ392" s="455"/>
      <c r="MRA392" s="104"/>
      <c r="MRB392" s="104"/>
      <c r="MRC392" s="109"/>
      <c r="MRD392" s="104"/>
      <c r="MRE392" s="104"/>
      <c r="MRF392" s="119"/>
      <c r="MRG392" s="104"/>
      <c r="MRH392" s="455"/>
      <c r="MRI392" s="104"/>
      <c r="MRJ392" s="104"/>
      <c r="MRK392" s="109"/>
      <c r="MRL392" s="104"/>
      <c r="MRM392" s="104"/>
      <c r="MRN392" s="119"/>
      <c r="MRO392" s="104"/>
      <c r="MRP392" s="455"/>
      <c r="MRQ392" s="104"/>
      <c r="MRR392" s="104"/>
      <c r="MRS392" s="109"/>
      <c r="MRT392" s="104"/>
      <c r="MRU392" s="104"/>
      <c r="MRV392" s="119"/>
      <c r="MRW392" s="104"/>
      <c r="MRX392" s="455"/>
      <c r="MRY392" s="104"/>
      <c r="MRZ392" s="104"/>
      <c r="MSA392" s="109"/>
      <c r="MSB392" s="104"/>
      <c r="MSC392" s="104"/>
      <c r="MSD392" s="119"/>
      <c r="MSE392" s="104"/>
      <c r="MSF392" s="455"/>
      <c r="MSG392" s="104"/>
      <c r="MSH392" s="104"/>
      <c r="MSI392" s="109"/>
      <c r="MSJ392" s="104"/>
      <c r="MSK392" s="104"/>
      <c r="MSL392" s="119"/>
      <c r="MSM392" s="104"/>
      <c r="MSN392" s="455"/>
      <c r="MSO392" s="104"/>
      <c r="MSP392" s="104"/>
      <c r="MSQ392" s="109"/>
      <c r="MSR392" s="104"/>
      <c r="MSS392" s="104"/>
      <c r="MST392" s="119"/>
      <c r="MSU392" s="104"/>
      <c r="MSV392" s="455"/>
      <c r="MSW392" s="104"/>
      <c r="MSX392" s="104"/>
      <c r="MSY392" s="109"/>
      <c r="MSZ392" s="104"/>
      <c r="MTA392" s="104"/>
      <c r="MTB392" s="119"/>
      <c r="MTC392" s="104"/>
      <c r="MTD392" s="455"/>
      <c r="MTE392" s="104"/>
      <c r="MTF392" s="104"/>
      <c r="MTG392" s="109"/>
      <c r="MTH392" s="104"/>
      <c r="MTI392" s="104"/>
      <c r="MTJ392" s="119"/>
      <c r="MTK392" s="104"/>
      <c r="MTL392" s="455"/>
      <c r="MTM392" s="104"/>
      <c r="MTN392" s="104"/>
      <c r="MTO392" s="109"/>
      <c r="MTP392" s="104"/>
      <c r="MTQ392" s="104"/>
      <c r="MTR392" s="119"/>
      <c r="MTS392" s="104"/>
      <c r="MTT392" s="455"/>
      <c r="MTU392" s="104"/>
      <c r="MTV392" s="104"/>
      <c r="MTW392" s="109"/>
      <c r="MTX392" s="104"/>
      <c r="MTY392" s="104"/>
      <c r="MTZ392" s="119"/>
      <c r="MUA392" s="104"/>
      <c r="MUB392" s="455"/>
      <c r="MUC392" s="104"/>
      <c r="MUD392" s="104"/>
      <c r="MUE392" s="109"/>
      <c r="MUF392" s="104"/>
      <c r="MUG392" s="104"/>
      <c r="MUH392" s="119"/>
      <c r="MUI392" s="104"/>
      <c r="MUJ392" s="455"/>
      <c r="MUK392" s="104"/>
      <c r="MUL392" s="104"/>
      <c r="MUM392" s="109"/>
      <c r="MUN392" s="104"/>
      <c r="MUO392" s="104"/>
      <c r="MUP392" s="119"/>
      <c r="MUQ392" s="104"/>
      <c r="MUR392" s="455"/>
      <c r="MUS392" s="104"/>
      <c r="MUT392" s="104"/>
      <c r="MUU392" s="109"/>
      <c r="MUV392" s="104"/>
      <c r="MUW392" s="104"/>
      <c r="MUX392" s="119"/>
      <c r="MUY392" s="104"/>
      <c r="MUZ392" s="455"/>
      <c r="MVA392" s="104"/>
      <c r="MVB392" s="104"/>
      <c r="MVC392" s="109"/>
      <c r="MVD392" s="104"/>
      <c r="MVE392" s="104"/>
      <c r="MVF392" s="119"/>
      <c r="MVG392" s="104"/>
      <c r="MVH392" s="455"/>
      <c r="MVI392" s="104"/>
      <c r="MVJ392" s="104"/>
      <c r="MVK392" s="109"/>
      <c r="MVL392" s="104"/>
      <c r="MVM392" s="104"/>
      <c r="MVN392" s="119"/>
      <c r="MVO392" s="104"/>
      <c r="MVP392" s="455"/>
      <c r="MVQ392" s="104"/>
      <c r="MVR392" s="104"/>
      <c r="MVS392" s="109"/>
      <c r="MVT392" s="104"/>
      <c r="MVU392" s="104"/>
      <c r="MVV392" s="119"/>
      <c r="MVW392" s="104"/>
      <c r="MVX392" s="455"/>
      <c r="MVY392" s="104"/>
      <c r="MVZ392" s="104"/>
      <c r="MWA392" s="109"/>
      <c r="MWB392" s="104"/>
      <c r="MWC392" s="104"/>
      <c r="MWD392" s="119"/>
      <c r="MWE392" s="104"/>
      <c r="MWF392" s="455"/>
      <c r="MWG392" s="104"/>
      <c r="MWH392" s="104"/>
      <c r="MWI392" s="109"/>
      <c r="MWJ392" s="104"/>
      <c r="MWK392" s="104"/>
      <c r="MWL392" s="119"/>
      <c r="MWM392" s="104"/>
      <c r="MWN392" s="455"/>
      <c r="MWO392" s="104"/>
      <c r="MWP392" s="104"/>
      <c r="MWQ392" s="109"/>
      <c r="MWR392" s="104"/>
      <c r="MWS392" s="104"/>
      <c r="MWT392" s="119"/>
      <c r="MWU392" s="104"/>
      <c r="MWV392" s="455"/>
      <c r="MWW392" s="104"/>
      <c r="MWX392" s="104"/>
      <c r="MWY392" s="109"/>
      <c r="MWZ392" s="104"/>
      <c r="MXA392" s="104"/>
      <c r="MXB392" s="119"/>
      <c r="MXC392" s="104"/>
      <c r="MXD392" s="455"/>
      <c r="MXE392" s="104"/>
      <c r="MXF392" s="104"/>
      <c r="MXG392" s="109"/>
      <c r="MXH392" s="104"/>
      <c r="MXI392" s="104"/>
      <c r="MXJ392" s="119"/>
      <c r="MXK392" s="104"/>
      <c r="MXL392" s="455"/>
      <c r="MXM392" s="104"/>
      <c r="MXN392" s="104"/>
      <c r="MXO392" s="109"/>
      <c r="MXP392" s="104"/>
      <c r="MXQ392" s="104"/>
      <c r="MXR392" s="119"/>
      <c r="MXS392" s="104"/>
      <c r="MXT392" s="455"/>
      <c r="MXU392" s="104"/>
      <c r="MXV392" s="104"/>
      <c r="MXW392" s="109"/>
      <c r="MXX392" s="104"/>
      <c r="MXY392" s="104"/>
      <c r="MXZ392" s="119"/>
      <c r="MYA392" s="104"/>
      <c r="MYB392" s="455"/>
      <c r="MYC392" s="104"/>
      <c r="MYD392" s="104"/>
      <c r="MYE392" s="109"/>
      <c r="MYF392" s="104"/>
      <c r="MYG392" s="104"/>
      <c r="MYH392" s="119"/>
      <c r="MYI392" s="104"/>
      <c r="MYJ392" s="455"/>
      <c r="MYK392" s="104"/>
      <c r="MYL392" s="104"/>
      <c r="MYM392" s="109"/>
      <c r="MYN392" s="104"/>
      <c r="MYO392" s="104"/>
      <c r="MYP392" s="119"/>
      <c r="MYQ392" s="104"/>
      <c r="MYR392" s="455"/>
      <c r="MYS392" s="104"/>
      <c r="MYT392" s="104"/>
      <c r="MYU392" s="109"/>
      <c r="MYV392" s="104"/>
      <c r="MYW392" s="104"/>
      <c r="MYX392" s="119"/>
      <c r="MYY392" s="104"/>
      <c r="MYZ392" s="455"/>
      <c r="MZA392" s="104"/>
      <c r="MZB392" s="104"/>
      <c r="MZC392" s="109"/>
      <c r="MZD392" s="104"/>
      <c r="MZE392" s="104"/>
      <c r="MZF392" s="119"/>
      <c r="MZG392" s="104"/>
      <c r="MZH392" s="455"/>
      <c r="MZI392" s="104"/>
      <c r="MZJ392" s="104"/>
      <c r="MZK392" s="109"/>
      <c r="MZL392" s="104"/>
      <c r="MZM392" s="104"/>
      <c r="MZN392" s="119"/>
      <c r="MZO392" s="104"/>
      <c r="MZP392" s="455"/>
      <c r="MZQ392" s="104"/>
      <c r="MZR392" s="104"/>
      <c r="MZS392" s="109"/>
      <c r="MZT392" s="104"/>
      <c r="MZU392" s="104"/>
      <c r="MZV392" s="119"/>
      <c r="MZW392" s="104"/>
      <c r="MZX392" s="455"/>
      <c r="MZY392" s="104"/>
      <c r="MZZ392" s="104"/>
      <c r="NAA392" s="109"/>
      <c r="NAB392" s="104"/>
      <c r="NAC392" s="104"/>
      <c r="NAD392" s="119"/>
      <c r="NAE392" s="104"/>
      <c r="NAF392" s="455"/>
      <c r="NAG392" s="104"/>
      <c r="NAH392" s="104"/>
      <c r="NAI392" s="109"/>
      <c r="NAJ392" s="104"/>
      <c r="NAK392" s="104"/>
      <c r="NAL392" s="119"/>
      <c r="NAM392" s="104"/>
      <c r="NAN392" s="455"/>
      <c r="NAO392" s="104"/>
      <c r="NAP392" s="104"/>
      <c r="NAQ392" s="109"/>
      <c r="NAR392" s="104"/>
      <c r="NAS392" s="104"/>
      <c r="NAT392" s="119"/>
      <c r="NAU392" s="104"/>
      <c r="NAV392" s="455"/>
      <c r="NAW392" s="104"/>
      <c r="NAX392" s="104"/>
      <c r="NAY392" s="109"/>
      <c r="NAZ392" s="104"/>
      <c r="NBA392" s="104"/>
      <c r="NBB392" s="119"/>
      <c r="NBC392" s="104"/>
      <c r="NBD392" s="455"/>
      <c r="NBE392" s="104"/>
      <c r="NBF392" s="104"/>
      <c r="NBG392" s="109"/>
      <c r="NBH392" s="104"/>
      <c r="NBI392" s="104"/>
      <c r="NBJ392" s="119"/>
      <c r="NBK392" s="104"/>
      <c r="NBL392" s="455"/>
      <c r="NBM392" s="104"/>
      <c r="NBN392" s="104"/>
      <c r="NBO392" s="109"/>
      <c r="NBP392" s="104"/>
      <c r="NBQ392" s="104"/>
      <c r="NBR392" s="119"/>
      <c r="NBS392" s="104"/>
      <c r="NBT392" s="455"/>
      <c r="NBU392" s="104"/>
      <c r="NBV392" s="104"/>
      <c r="NBW392" s="109"/>
      <c r="NBX392" s="104"/>
      <c r="NBY392" s="104"/>
      <c r="NBZ392" s="119"/>
      <c r="NCA392" s="104"/>
      <c r="NCB392" s="455"/>
      <c r="NCC392" s="104"/>
      <c r="NCD392" s="104"/>
      <c r="NCE392" s="109"/>
      <c r="NCF392" s="104"/>
      <c r="NCG392" s="104"/>
      <c r="NCH392" s="119"/>
      <c r="NCI392" s="104"/>
      <c r="NCJ392" s="455"/>
      <c r="NCK392" s="104"/>
      <c r="NCL392" s="104"/>
      <c r="NCM392" s="109"/>
      <c r="NCN392" s="104"/>
      <c r="NCO392" s="104"/>
      <c r="NCP392" s="119"/>
      <c r="NCQ392" s="104"/>
      <c r="NCR392" s="455"/>
      <c r="NCS392" s="104"/>
      <c r="NCT392" s="104"/>
      <c r="NCU392" s="109"/>
      <c r="NCV392" s="104"/>
      <c r="NCW392" s="104"/>
      <c r="NCX392" s="119"/>
      <c r="NCY392" s="104"/>
      <c r="NCZ392" s="455"/>
      <c r="NDA392" s="104"/>
      <c r="NDB392" s="104"/>
      <c r="NDC392" s="109"/>
      <c r="NDD392" s="104"/>
      <c r="NDE392" s="104"/>
      <c r="NDF392" s="119"/>
      <c r="NDG392" s="104"/>
      <c r="NDH392" s="455"/>
      <c r="NDI392" s="104"/>
      <c r="NDJ392" s="104"/>
      <c r="NDK392" s="109"/>
      <c r="NDL392" s="104"/>
      <c r="NDM392" s="104"/>
      <c r="NDN392" s="119"/>
      <c r="NDO392" s="104"/>
      <c r="NDP392" s="455"/>
      <c r="NDQ392" s="104"/>
      <c r="NDR392" s="104"/>
      <c r="NDS392" s="109"/>
      <c r="NDT392" s="104"/>
      <c r="NDU392" s="104"/>
      <c r="NDV392" s="119"/>
      <c r="NDW392" s="104"/>
      <c r="NDX392" s="455"/>
      <c r="NDY392" s="104"/>
      <c r="NDZ392" s="104"/>
      <c r="NEA392" s="109"/>
      <c r="NEB392" s="104"/>
      <c r="NEC392" s="104"/>
      <c r="NED392" s="119"/>
      <c r="NEE392" s="104"/>
      <c r="NEF392" s="455"/>
      <c r="NEG392" s="104"/>
      <c r="NEH392" s="104"/>
      <c r="NEI392" s="109"/>
      <c r="NEJ392" s="104"/>
      <c r="NEK392" s="104"/>
      <c r="NEL392" s="119"/>
      <c r="NEM392" s="104"/>
      <c r="NEN392" s="455"/>
      <c r="NEO392" s="104"/>
      <c r="NEP392" s="104"/>
      <c r="NEQ392" s="109"/>
      <c r="NER392" s="104"/>
      <c r="NES392" s="104"/>
      <c r="NET392" s="119"/>
      <c r="NEU392" s="104"/>
      <c r="NEV392" s="455"/>
      <c r="NEW392" s="104"/>
      <c r="NEX392" s="104"/>
      <c r="NEY392" s="109"/>
      <c r="NEZ392" s="104"/>
      <c r="NFA392" s="104"/>
      <c r="NFB392" s="119"/>
      <c r="NFC392" s="104"/>
      <c r="NFD392" s="455"/>
      <c r="NFE392" s="104"/>
      <c r="NFF392" s="104"/>
      <c r="NFG392" s="109"/>
      <c r="NFH392" s="104"/>
      <c r="NFI392" s="104"/>
      <c r="NFJ392" s="119"/>
      <c r="NFK392" s="104"/>
      <c r="NFL392" s="455"/>
      <c r="NFM392" s="104"/>
      <c r="NFN392" s="104"/>
      <c r="NFO392" s="109"/>
      <c r="NFP392" s="104"/>
      <c r="NFQ392" s="104"/>
      <c r="NFR392" s="119"/>
      <c r="NFS392" s="104"/>
      <c r="NFT392" s="455"/>
      <c r="NFU392" s="104"/>
      <c r="NFV392" s="104"/>
      <c r="NFW392" s="109"/>
      <c r="NFX392" s="104"/>
      <c r="NFY392" s="104"/>
      <c r="NFZ392" s="119"/>
      <c r="NGA392" s="104"/>
      <c r="NGB392" s="455"/>
      <c r="NGC392" s="104"/>
      <c r="NGD392" s="104"/>
      <c r="NGE392" s="109"/>
      <c r="NGF392" s="104"/>
      <c r="NGG392" s="104"/>
      <c r="NGH392" s="119"/>
      <c r="NGI392" s="104"/>
      <c r="NGJ392" s="455"/>
      <c r="NGK392" s="104"/>
      <c r="NGL392" s="104"/>
      <c r="NGM392" s="109"/>
      <c r="NGN392" s="104"/>
      <c r="NGO392" s="104"/>
      <c r="NGP392" s="119"/>
      <c r="NGQ392" s="104"/>
      <c r="NGR392" s="455"/>
      <c r="NGS392" s="104"/>
      <c r="NGT392" s="104"/>
      <c r="NGU392" s="109"/>
      <c r="NGV392" s="104"/>
      <c r="NGW392" s="104"/>
      <c r="NGX392" s="119"/>
      <c r="NGY392" s="104"/>
      <c r="NGZ392" s="455"/>
      <c r="NHA392" s="104"/>
      <c r="NHB392" s="104"/>
      <c r="NHC392" s="109"/>
      <c r="NHD392" s="104"/>
      <c r="NHE392" s="104"/>
      <c r="NHF392" s="119"/>
      <c r="NHG392" s="104"/>
      <c r="NHH392" s="455"/>
      <c r="NHI392" s="104"/>
      <c r="NHJ392" s="104"/>
      <c r="NHK392" s="109"/>
      <c r="NHL392" s="104"/>
      <c r="NHM392" s="104"/>
      <c r="NHN392" s="119"/>
      <c r="NHO392" s="104"/>
      <c r="NHP392" s="455"/>
      <c r="NHQ392" s="104"/>
      <c r="NHR392" s="104"/>
      <c r="NHS392" s="109"/>
      <c r="NHT392" s="104"/>
      <c r="NHU392" s="104"/>
      <c r="NHV392" s="119"/>
      <c r="NHW392" s="104"/>
      <c r="NHX392" s="455"/>
      <c r="NHY392" s="104"/>
      <c r="NHZ392" s="104"/>
      <c r="NIA392" s="109"/>
      <c r="NIB392" s="104"/>
      <c r="NIC392" s="104"/>
      <c r="NID392" s="119"/>
      <c r="NIE392" s="104"/>
      <c r="NIF392" s="455"/>
      <c r="NIG392" s="104"/>
      <c r="NIH392" s="104"/>
      <c r="NII392" s="109"/>
      <c r="NIJ392" s="104"/>
      <c r="NIK392" s="104"/>
      <c r="NIL392" s="119"/>
      <c r="NIM392" s="104"/>
      <c r="NIN392" s="455"/>
      <c r="NIO392" s="104"/>
      <c r="NIP392" s="104"/>
      <c r="NIQ392" s="109"/>
      <c r="NIR392" s="104"/>
      <c r="NIS392" s="104"/>
      <c r="NIT392" s="119"/>
      <c r="NIU392" s="104"/>
      <c r="NIV392" s="455"/>
      <c r="NIW392" s="104"/>
      <c r="NIX392" s="104"/>
      <c r="NIY392" s="109"/>
      <c r="NIZ392" s="104"/>
      <c r="NJA392" s="104"/>
      <c r="NJB392" s="119"/>
      <c r="NJC392" s="104"/>
      <c r="NJD392" s="455"/>
      <c r="NJE392" s="104"/>
      <c r="NJF392" s="104"/>
      <c r="NJG392" s="109"/>
      <c r="NJH392" s="104"/>
      <c r="NJI392" s="104"/>
      <c r="NJJ392" s="119"/>
      <c r="NJK392" s="104"/>
      <c r="NJL392" s="455"/>
      <c r="NJM392" s="104"/>
      <c r="NJN392" s="104"/>
      <c r="NJO392" s="109"/>
      <c r="NJP392" s="104"/>
      <c r="NJQ392" s="104"/>
      <c r="NJR392" s="119"/>
      <c r="NJS392" s="104"/>
      <c r="NJT392" s="455"/>
      <c r="NJU392" s="104"/>
      <c r="NJV392" s="104"/>
      <c r="NJW392" s="109"/>
      <c r="NJX392" s="104"/>
      <c r="NJY392" s="104"/>
      <c r="NJZ392" s="119"/>
      <c r="NKA392" s="104"/>
      <c r="NKB392" s="455"/>
      <c r="NKC392" s="104"/>
      <c r="NKD392" s="104"/>
      <c r="NKE392" s="109"/>
      <c r="NKF392" s="104"/>
      <c r="NKG392" s="104"/>
      <c r="NKH392" s="119"/>
      <c r="NKI392" s="104"/>
      <c r="NKJ392" s="455"/>
      <c r="NKK392" s="104"/>
      <c r="NKL392" s="104"/>
      <c r="NKM392" s="109"/>
      <c r="NKN392" s="104"/>
      <c r="NKO392" s="104"/>
      <c r="NKP392" s="119"/>
      <c r="NKQ392" s="104"/>
      <c r="NKR392" s="455"/>
      <c r="NKS392" s="104"/>
      <c r="NKT392" s="104"/>
      <c r="NKU392" s="109"/>
      <c r="NKV392" s="104"/>
      <c r="NKW392" s="104"/>
      <c r="NKX392" s="119"/>
      <c r="NKY392" s="104"/>
      <c r="NKZ392" s="455"/>
      <c r="NLA392" s="104"/>
      <c r="NLB392" s="104"/>
      <c r="NLC392" s="109"/>
      <c r="NLD392" s="104"/>
      <c r="NLE392" s="104"/>
      <c r="NLF392" s="119"/>
      <c r="NLG392" s="104"/>
      <c r="NLH392" s="455"/>
      <c r="NLI392" s="104"/>
      <c r="NLJ392" s="104"/>
      <c r="NLK392" s="109"/>
      <c r="NLL392" s="104"/>
      <c r="NLM392" s="104"/>
      <c r="NLN392" s="119"/>
      <c r="NLO392" s="104"/>
      <c r="NLP392" s="455"/>
      <c r="NLQ392" s="104"/>
      <c r="NLR392" s="104"/>
      <c r="NLS392" s="109"/>
      <c r="NLT392" s="104"/>
      <c r="NLU392" s="104"/>
      <c r="NLV392" s="119"/>
      <c r="NLW392" s="104"/>
      <c r="NLX392" s="455"/>
      <c r="NLY392" s="104"/>
      <c r="NLZ392" s="104"/>
      <c r="NMA392" s="109"/>
      <c r="NMB392" s="104"/>
      <c r="NMC392" s="104"/>
      <c r="NMD392" s="119"/>
      <c r="NME392" s="104"/>
      <c r="NMF392" s="455"/>
      <c r="NMG392" s="104"/>
      <c r="NMH392" s="104"/>
      <c r="NMI392" s="109"/>
      <c r="NMJ392" s="104"/>
      <c r="NMK392" s="104"/>
      <c r="NML392" s="119"/>
      <c r="NMM392" s="104"/>
      <c r="NMN392" s="455"/>
      <c r="NMO392" s="104"/>
      <c r="NMP392" s="104"/>
      <c r="NMQ392" s="109"/>
      <c r="NMR392" s="104"/>
      <c r="NMS392" s="104"/>
      <c r="NMT392" s="119"/>
      <c r="NMU392" s="104"/>
      <c r="NMV392" s="455"/>
      <c r="NMW392" s="104"/>
      <c r="NMX392" s="104"/>
      <c r="NMY392" s="109"/>
      <c r="NMZ392" s="104"/>
      <c r="NNA392" s="104"/>
      <c r="NNB392" s="119"/>
      <c r="NNC392" s="104"/>
      <c r="NND392" s="455"/>
      <c r="NNE392" s="104"/>
      <c r="NNF392" s="104"/>
      <c r="NNG392" s="109"/>
      <c r="NNH392" s="104"/>
      <c r="NNI392" s="104"/>
      <c r="NNJ392" s="119"/>
      <c r="NNK392" s="104"/>
      <c r="NNL392" s="455"/>
      <c r="NNM392" s="104"/>
      <c r="NNN392" s="104"/>
      <c r="NNO392" s="109"/>
      <c r="NNP392" s="104"/>
      <c r="NNQ392" s="104"/>
      <c r="NNR392" s="119"/>
      <c r="NNS392" s="104"/>
      <c r="NNT392" s="455"/>
      <c r="NNU392" s="104"/>
      <c r="NNV392" s="104"/>
      <c r="NNW392" s="109"/>
      <c r="NNX392" s="104"/>
      <c r="NNY392" s="104"/>
      <c r="NNZ392" s="119"/>
      <c r="NOA392" s="104"/>
      <c r="NOB392" s="455"/>
      <c r="NOC392" s="104"/>
      <c r="NOD392" s="104"/>
      <c r="NOE392" s="109"/>
      <c r="NOF392" s="104"/>
      <c r="NOG392" s="104"/>
      <c r="NOH392" s="119"/>
      <c r="NOI392" s="104"/>
      <c r="NOJ392" s="455"/>
      <c r="NOK392" s="104"/>
      <c r="NOL392" s="104"/>
      <c r="NOM392" s="109"/>
      <c r="NON392" s="104"/>
      <c r="NOO392" s="104"/>
      <c r="NOP392" s="119"/>
      <c r="NOQ392" s="104"/>
      <c r="NOR392" s="455"/>
      <c r="NOS392" s="104"/>
      <c r="NOT392" s="104"/>
      <c r="NOU392" s="109"/>
      <c r="NOV392" s="104"/>
      <c r="NOW392" s="104"/>
      <c r="NOX392" s="119"/>
      <c r="NOY392" s="104"/>
      <c r="NOZ392" s="455"/>
      <c r="NPA392" s="104"/>
      <c r="NPB392" s="104"/>
      <c r="NPC392" s="109"/>
      <c r="NPD392" s="104"/>
      <c r="NPE392" s="104"/>
      <c r="NPF392" s="119"/>
      <c r="NPG392" s="104"/>
      <c r="NPH392" s="455"/>
      <c r="NPI392" s="104"/>
      <c r="NPJ392" s="104"/>
      <c r="NPK392" s="109"/>
      <c r="NPL392" s="104"/>
      <c r="NPM392" s="104"/>
      <c r="NPN392" s="119"/>
      <c r="NPO392" s="104"/>
      <c r="NPP392" s="455"/>
      <c r="NPQ392" s="104"/>
      <c r="NPR392" s="104"/>
      <c r="NPS392" s="109"/>
      <c r="NPT392" s="104"/>
      <c r="NPU392" s="104"/>
      <c r="NPV392" s="119"/>
      <c r="NPW392" s="104"/>
      <c r="NPX392" s="455"/>
      <c r="NPY392" s="104"/>
      <c r="NPZ392" s="104"/>
      <c r="NQA392" s="109"/>
      <c r="NQB392" s="104"/>
      <c r="NQC392" s="104"/>
      <c r="NQD392" s="119"/>
      <c r="NQE392" s="104"/>
      <c r="NQF392" s="455"/>
      <c r="NQG392" s="104"/>
      <c r="NQH392" s="104"/>
      <c r="NQI392" s="109"/>
      <c r="NQJ392" s="104"/>
      <c r="NQK392" s="104"/>
      <c r="NQL392" s="119"/>
      <c r="NQM392" s="104"/>
      <c r="NQN392" s="455"/>
      <c r="NQO392" s="104"/>
      <c r="NQP392" s="104"/>
      <c r="NQQ392" s="109"/>
      <c r="NQR392" s="104"/>
      <c r="NQS392" s="104"/>
      <c r="NQT392" s="119"/>
      <c r="NQU392" s="104"/>
      <c r="NQV392" s="455"/>
      <c r="NQW392" s="104"/>
      <c r="NQX392" s="104"/>
      <c r="NQY392" s="109"/>
      <c r="NQZ392" s="104"/>
      <c r="NRA392" s="104"/>
      <c r="NRB392" s="119"/>
      <c r="NRC392" s="104"/>
      <c r="NRD392" s="455"/>
      <c r="NRE392" s="104"/>
      <c r="NRF392" s="104"/>
      <c r="NRG392" s="109"/>
      <c r="NRH392" s="104"/>
      <c r="NRI392" s="104"/>
      <c r="NRJ392" s="119"/>
      <c r="NRK392" s="104"/>
      <c r="NRL392" s="455"/>
      <c r="NRM392" s="104"/>
      <c r="NRN392" s="104"/>
      <c r="NRO392" s="109"/>
      <c r="NRP392" s="104"/>
      <c r="NRQ392" s="104"/>
      <c r="NRR392" s="119"/>
      <c r="NRS392" s="104"/>
      <c r="NRT392" s="455"/>
      <c r="NRU392" s="104"/>
      <c r="NRV392" s="104"/>
      <c r="NRW392" s="109"/>
      <c r="NRX392" s="104"/>
      <c r="NRY392" s="104"/>
      <c r="NRZ392" s="119"/>
      <c r="NSA392" s="104"/>
      <c r="NSB392" s="455"/>
      <c r="NSC392" s="104"/>
      <c r="NSD392" s="104"/>
      <c r="NSE392" s="109"/>
      <c r="NSF392" s="104"/>
      <c r="NSG392" s="104"/>
      <c r="NSH392" s="119"/>
      <c r="NSI392" s="104"/>
      <c r="NSJ392" s="455"/>
      <c r="NSK392" s="104"/>
      <c r="NSL392" s="104"/>
      <c r="NSM392" s="109"/>
      <c r="NSN392" s="104"/>
      <c r="NSO392" s="104"/>
      <c r="NSP392" s="119"/>
      <c r="NSQ392" s="104"/>
      <c r="NSR392" s="455"/>
      <c r="NSS392" s="104"/>
      <c r="NST392" s="104"/>
      <c r="NSU392" s="109"/>
      <c r="NSV392" s="104"/>
      <c r="NSW392" s="104"/>
      <c r="NSX392" s="119"/>
      <c r="NSY392" s="104"/>
      <c r="NSZ392" s="455"/>
      <c r="NTA392" s="104"/>
      <c r="NTB392" s="104"/>
      <c r="NTC392" s="109"/>
      <c r="NTD392" s="104"/>
      <c r="NTE392" s="104"/>
      <c r="NTF392" s="119"/>
      <c r="NTG392" s="104"/>
      <c r="NTH392" s="455"/>
      <c r="NTI392" s="104"/>
      <c r="NTJ392" s="104"/>
      <c r="NTK392" s="109"/>
      <c r="NTL392" s="104"/>
      <c r="NTM392" s="104"/>
      <c r="NTN392" s="119"/>
      <c r="NTO392" s="104"/>
      <c r="NTP392" s="455"/>
      <c r="NTQ392" s="104"/>
      <c r="NTR392" s="104"/>
      <c r="NTS392" s="109"/>
      <c r="NTT392" s="104"/>
      <c r="NTU392" s="104"/>
      <c r="NTV392" s="119"/>
      <c r="NTW392" s="104"/>
      <c r="NTX392" s="455"/>
      <c r="NTY392" s="104"/>
      <c r="NTZ392" s="104"/>
      <c r="NUA392" s="109"/>
      <c r="NUB392" s="104"/>
      <c r="NUC392" s="104"/>
      <c r="NUD392" s="119"/>
      <c r="NUE392" s="104"/>
      <c r="NUF392" s="455"/>
      <c r="NUG392" s="104"/>
      <c r="NUH392" s="104"/>
      <c r="NUI392" s="109"/>
      <c r="NUJ392" s="104"/>
      <c r="NUK392" s="104"/>
      <c r="NUL392" s="119"/>
      <c r="NUM392" s="104"/>
      <c r="NUN392" s="455"/>
      <c r="NUO392" s="104"/>
      <c r="NUP392" s="104"/>
      <c r="NUQ392" s="109"/>
      <c r="NUR392" s="104"/>
      <c r="NUS392" s="104"/>
      <c r="NUT392" s="119"/>
      <c r="NUU392" s="104"/>
      <c r="NUV392" s="455"/>
      <c r="NUW392" s="104"/>
      <c r="NUX392" s="104"/>
      <c r="NUY392" s="109"/>
      <c r="NUZ392" s="104"/>
      <c r="NVA392" s="104"/>
      <c r="NVB392" s="119"/>
      <c r="NVC392" s="104"/>
      <c r="NVD392" s="455"/>
      <c r="NVE392" s="104"/>
      <c r="NVF392" s="104"/>
      <c r="NVG392" s="109"/>
      <c r="NVH392" s="104"/>
      <c r="NVI392" s="104"/>
      <c r="NVJ392" s="119"/>
      <c r="NVK392" s="104"/>
      <c r="NVL392" s="455"/>
      <c r="NVM392" s="104"/>
      <c r="NVN392" s="104"/>
      <c r="NVO392" s="109"/>
      <c r="NVP392" s="104"/>
      <c r="NVQ392" s="104"/>
      <c r="NVR392" s="119"/>
      <c r="NVS392" s="104"/>
      <c r="NVT392" s="455"/>
      <c r="NVU392" s="104"/>
      <c r="NVV392" s="104"/>
      <c r="NVW392" s="109"/>
      <c r="NVX392" s="104"/>
      <c r="NVY392" s="104"/>
      <c r="NVZ392" s="119"/>
      <c r="NWA392" s="104"/>
      <c r="NWB392" s="455"/>
      <c r="NWC392" s="104"/>
      <c r="NWD392" s="104"/>
      <c r="NWE392" s="109"/>
      <c r="NWF392" s="104"/>
      <c r="NWG392" s="104"/>
      <c r="NWH392" s="119"/>
      <c r="NWI392" s="104"/>
      <c r="NWJ392" s="455"/>
      <c r="NWK392" s="104"/>
      <c r="NWL392" s="104"/>
      <c r="NWM392" s="109"/>
      <c r="NWN392" s="104"/>
      <c r="NWO392" s="104"/>
      <c r="NWP392" s="119"/>
      <c r="NWQ392" s="104"/>
      <c r="NWR392" s="455"/>
      <c r="NWS392" s="104"/>
      <c r="NWT392" s="104"/>
      <c r="NWU392" s="109"/>
      <c r="NWV392" s="104"/>
      <c r="NWW392" s="104"/>
      <c r="NWX392" s="119"/>
      <c r="NWY392" s="104"/>
      <c r="NWZ392" s="455"/>
      <c r="NXA392" s="104"/>
      <c r="NXB392" s="104"/>
      <c r="NXC392" s="109"/>
      <c r="NXD392" s="104"/>
      <c r="NXE392" s="104"/>
      <c r="NXF392" s="119"/>
      <c r="NXG392" s="104"/>
      <c r="NXH392" s="455"/>
      <c r="NXI392" s="104"/>
      <c r="NXJ392" s="104"/>
      <c r="NXK392" s="109"/>
      <c r="NXL392" s="104"/>
      <c r="NXM392" s="104"/>
      <c r="NXN392" s="119"/>
      <c r="NXO392" s="104"/>
      <c r="NXP392" s="455"/>
      <c r="NXQ392" s="104"/>
      <c r="NXR392" s="104"/>
      <c r="NXS392" s="109"/>
      <c r="NXT392" s="104"/>
      <c r="NXU392" s="104"/>
      <c r="NXV392" s="119"/>
      <c r="NXW392" s="104"/>
      <c r="NXX392" s="455"/>
      <c r="NXY392" s="104"/>
      <c r="NXZ392" s="104"/>
      <c r="NYA392" s="109"/>
      <c r="NYB392" s="104"/>
      <c r="NYC392" s="104"/>
      <c r="NYD392" s="119"/>
      <c r="NYE392" s="104"/>
      <c r="NYF392" s="455"/>
      <c r="NYG392" s="104"/>
      <c r="NYH392" s="104"/>
      <c r="NYI392" s="109"/>
      <c r="NYJ392" s="104"/>
      <c r="NYK392" s="104"/>
      <c r="NYL392" s="119"/>
      <c r="NYM392" s="104"/>
      <c r="NYN392" s="455"/>
      <c r="NYO392" s="104"/>
      <c r="NYP392" s="104"/>
      <c r="NYQ392" s="109"/>
      <c r="NYR392" s="104"/>
      <c r="NYS392" s="104"/>
      <c r="NYT392" s="119"/>
      <c r="NYU392" s="104"/>
      <c r="NYV392" s="455"/>
      <c r="NYW392" s="104"/>
      <c r="NYX392" s="104"/>
      <c r="NYY392" s="109"/>
      <c r="NYZ392" s="104"/>
      <c r="NZA392" s="104"/>
      <c r="NZB392" s="119"/>
      <c r="NZC392" s="104"/>
      <c r="NZD392" s="455"/>
      <c r="NZE392" s="104"/>
      <c r="NZF392" s="104"/>
      <c r="NZG392" s="109"/>
      <c r="NZH392" s="104"/>
      <c r="NZI392" s="104"/>
      <c r="NZJ392" s="119"/>
      <c r="NZK392" s="104"/>
      <c r="NZL392" s="455"/>
      <c r="NZM392" s="104"/>
      <c r="NZN392" s="104"/>
      <c r="NZO392" s="109"/>
      <c r="NZP392" s="104"/>
      <c r="NZQ392" s="104"/>
      <c r="NZR392" s="119"/>
      <c r="NZS392" s="104"/>
      <c r="NZT392" s="455"/>
      <c r="NZU392" s="104"/>
      <c r="NZV392" s="104"/>
      <c r="NZW392" s="109"/>
      <c r="NZX392" s="104"/>
      <c r="NZY392" s="104"/>
      <c r="NZZ392" s="119"/>
      <c r="OAA392" s="104"/>
      <c r="OAB392" s="455"/>
      <c r="OAC392" s="104"/>
      <c r="OAD392" s="104"/>
      <c r="OAE392" s="109"/>
      <c r="OAF392" s="104"/>
      <c r="OAG392" s="104"/>
      <c r="OAH392" s="119"/>
      <c r="OAI392" s="104"/>
      <c r="OAJ392" s="455"/>
      <c r="OAK392" s="104"/>
      <c r="OAL392" s="104"/>
      <c r="OAM392" s="109"/>
      <c r="OAN392" s="104"/>
      <c r="OAO392" s="104"/>
      <c r="OAP392" s="119"/>
      <c r="OAQ392" s="104"/>
      <c r="OAR392" s="455"/>
      <c r="OAS392" s="104"/>
      <c r="OAT392" s="104"/>
      <c r="OAU392" s="109"/>
      <c r="OAV392" s="104"/>
      <c r="OAW392" s="104"/>
      <c r="OAX392" s="119"/>
      <c r="OAY392" s="104"/>
      <c r="OAZ392" s="455"/>
      <c r="OBA392" s="104"/>
      <c r="OBB392" s="104"/>
      <c r="OBC392" s="109"/>
      <c r="OBD392" s="104"/>
      <c r="OBE392" s="104"/>
      <c r="OBF392" s="119"/>
      <c r="OBG392" s="104"/>
      <c r="OBH392" s="455"/>
      <c r="OBI392" s="104"/>
      <c r="OBJ392" s="104"/>
      <c r="OBK392" s="109"/>
      <c r="OBL392" s="104"/>
      <c r="OBM392" s="104"/>
      <c r="OBN392" s="119"/>
      <c r="OBO392" s="104"/>
      <c r="OBP392" s="455"/>
      <c r="OBQ392" s="104"/>
      <c r="OBR392" s="104"/>
      <c r="OBS392" s="109"/>
      <c r="OBT392" s="104"/>
      <c r="OBU392" s="104"/>
      <c r="OBV392" s="119"/>
      <c r="OBW392" s="104"/>
      <c r="OBX392" s="455"/>
      <c r="OBY392" s="104"/>
      <c r="OBZ392" s="104"/>
      <c r="OCA392" s="109"/>
      <c r="OCB392" s="104"/>
      <c r="OCC392" s="104"/>
      <c r="OCD392" s="119"/>
      <c r="OCE392" s="104"/>
      <c r="OCF392" s="455"/>
      <c r="OCG392" s="104"/>
      <c r="OCH392" s="104"/>
      <c r="OCI392" s="109"/>
      <c r="OCJ392" s="104"/>
      <c r="OCK392" s="104"/>
      <c r="OCL392" s="119"/>
      <c r="OCM392" s="104"/>
      <c r="OCN392" s="455"/>
      <c r="OCO392" s="104"/>
      <c r="OCP392" s="104"/>
      <c r="OCQ392" s="109"/>
      <c r="OCR392" s="104"/>
      <c r="OCS392" s="104"/>
      <c r="OCT392" s="119"/>
      <c r="OCU392" s="104"/>
      <c r="OCV392" s="455"/>
      <c r="OCW392" s="104"/>
      <c r="OCX392" s="104"/>
      <c r="OCY392" s="109"/>
      <c r="OCZ392" s="104"/>
      <c r="ODA392" s="104"/>
      <c r="ODB392" s="119"/>
      <c r="ODC392" s="104"/>
      <c r="ODD392" s="455"/>
      <c r="ODE392" s="104"/>
      <c r="ODF392" s="104"/>
      <c r="ODG392" s="109"/>
      <c r="ODH392" s="104"/>
      <c r="ODI392" s="104"/>
      <c r="ODJ392" s="119"/>
      <c r="ODK392" s="104"/>
      <c r="ODL392" s="455"/>
      <c r="ODM392" s="104"/>
      <c r="ODN392" s="104"/>
      <c r="ODO392" s="109"/>
      <c r="ODP392" s="104"/>
      <c r="ODQ392" s="104"/>
      <c r="ODR392" s="119"/>
      <c r="ODS392" s="104"/>
      <c r="ODT392" s="455"/>
      <c r="ODU392" s="104"/>
      <c r="ODV392" s="104"/>
      <c r="ODW392" s="109"/>
      <c r="ODX392" s="104"/>
      <c r="ODY392" s="104"/>
      <c r="ODZ392" s="119"/>
      <c r="OEA392" s="104"/>
      <c r="OEB392" s="455"/>
      <c r="OEC392" s="104"/>
      <c r="OED392" s="104"/>
      <c r="OEE392" s="109"/>
      <c r="OEF392" s="104"/>
      <c r="OEG392" s="104"/>
      <c r="OEH392" s="119"/>
      <c r="OEI392" s="104"/>
      <c r="OEJ392" s="455"/>
      <c r="OEK392" s="104"/>
      <c r="OEL392" s="104"/>
      <c r="OEM392" s="109"/>
      <c r="OEN392" s="104"/>
      <c r="OEO392" s="104"/>
      <c r="OEP392" s="119"/>
      <c r="OEQ392" s="104"/>
      <c r="OER392" s="455"/>
      <c r="OES392" s="104"/>
      <c r="OET392" s="104"/>
      <c r="OEU392" s="109"/>
      <c r="OEV392" s="104"/>
      <c r="OEW392" s="104"/>
      <c r="OEX392" s="119"/>
      <c r="OEY392" s="104"/>
      <c r="OEZ392" s="455"/>
      <c r="OFA392" s="104"/>
      <c r="OFB392" s="104"/>
      <c r="OFC392" s="109"/>
      <c r="OFD392" s="104"/>
      <c r="OFE392" s="104"/>
      <c r="OFF392" s="119"/>
      <c r="OFG392" s="104"/>
      <c r="OFH392" s="455"/>
      <c r="OFI392" s="104"/>
      <c r="OFJ392" s="104"/>
      <c r="OFK392" s="109"/>
      <c r="OFL392" s="104"/>
      <c r="OFM392" s="104"/>
      <c r="OFN392" s="119"/>
      <c r="OFO392" s="104"/>
      <c r="OFP392" s="455"/>
      <c r="OFQ392" s="104"/>
      <c r="OFR392" s="104"/>
      <c r="OFS392" s="109"/>
      <c r="OFT392" s="104"/>
      <c r="OFU392" s="104"/>
      <c r="OFV392" s="119"/>
      <c r="OFW392" s="104"/>
      <c r="OFX392" s="455"/>
      <c r="OFY392" s="104"/>
      <c r="OFZ392" s="104"/>
      <c r="OGA392" s="109"/>
      <c r="OGB392" s="104"/>
      <c r="OGC392" s="104"/>
      <c r="OGD392" s="119"/>
      <c r="OGE392" s="104"/>
      <c r="OGF392" s="455"/>
      <c r="OGG392" s="104"/>
      <c r="OGH392" s="104"/>
      <c r="OGI392" s="109"/>
      <c r="OGJ392" s="104"/>
      <c r="OGK392" s="104"/>
      <c r="OGL392" s="119"/>
      <c r="OGM392" s="104"/>
      <c r="OGN392" s="455"/>
      <c r="OGO392" s="104"/>
      <c r="OGP392" s="104"/>
      <c r="OGQ392" s="109"/>
      <c r="OGR392" s="104"/>
      <c r="OGS392" s="104"/>
      <c r="OGT392" s="119"/>
      <c r="OGU392" s="104"/>
      <c r="OGV392" s="455"/>
      <c r="OGW392" s="104"/>
      <c r="OGX392" s="104"/>
      <c r="OGY392" s="109"/>
      <c r="OGZ392" s="104"/>
      <c r="OHA392" s="104"/>
      <c r="OHB392" s="119"/>
      <c r="OHC392" s="104"/>
      <c r="OHD392" s="455"/>
      <c r="OHE392" s="104"/>
      <c r="OHF392" s="104"/>
      <c r="OHG392" s="109"/>
      <c r="OHH392" s="104"/>
      <c r="OHI392" s="104"/>
      <c r="OHJ392" s="119"/>
      <c r="OHK392" s="104"/>
      <c r="OHL392" s="455"/>
      <c r="OHM392" s="104"/>
      <c r="OHN392" s="104"/>
      <c r="OHO392" s="109"/>
      <c r="OHP392" s="104"/>
      <c r="OHQ392" s="104"/>
      <c r="OHR392" s="119"/>
      <c r="OHS392" s="104"/>
      <c r="OHT392" s="455"/>
      <c r="OHU392" s="104"/>
      <c r="OHV392" s="104"/>
      <c r="OHW392" s="109"/>
      <c r="OHX392" s="104"/>
      <c r="OHY392" s="104"/>
      <c r="OHZ392" s="119"/>
      <c r="OIA392" s="104"/>
      <c r="OIB392" s="455"/>
      <c r="OIC392" s="104"/>
      <c r="OID392" s="104"/>
      <c r="OIE392" s="109"/>
      <c r="OIF392" s="104"/>
      <c r="OIG392" s="104"/>
      <c r="OIH392" s="119"/>
      <c r="OII392" s="104"/>
      <c r="OIJ392" s="455"/>
      <c r="OIK392" s="104"/>
      <c r="OIL392" s="104"/>
      <c r="OIM392" s="109"/>
      <c r="OIN392" s="104"/>
      <c r="OIO392" s="104"/>
      <c r="OIP392" s="119"/>
      <c r="OIQ392" s="104"/>
      <c r="OIR392" s="455"/>
      <c r="OIS392" s="104"/>
      <c r="OIT392" s="104"/>
      <c r="OIU392" s="109"/>
      <c r="OIV392" s="104"/>
      <c r="OIW392" s="104"/>
      <c r="OIX392" s="119"/>
      <c r="OIY392" s="104"/>
      <c r="OIZ392" s="455"/>
      <c r="OJA392" s="104"/>
      <c r="OJB392" s="104"/>
      <c r="OJC392" s="109"/>
      <c r="OJD392" s="104"/>
      <c r="OJE392" s="104"/>
      <c r="OJF392" s="119"/>
      <c r="OJG392" s="104"/>
      <c r="OJH392" s="455"/>
      <c r="OJI392" s="104"/>
      <c r="OJJ392" s="104"/>
      <c r="OJK392" s="109"/>
      <c r="OJL392" s="104"/>
      <c r="OJM392" s="104"/>
      <c r="OJN392" s="119"/>
      <c r="OJO392" s="104"/>
      <c r="OJP392" s="455"/>
      <c r="OJQ392" s="104"/>
      <c r="OJR392" s="104"/>
      <c r="OJS392" s="109"/>
      <c r="OJT392" s="104"/>
      <c r="OJU392" s="104"/>
      <c r="OJV392" s="119"/>
      <c r="OJW392" s="104"/>
      <c r="OJX392" s="455"/>
      <c r="OJY392" s="104"/>
      <c r="OJZ392" s="104"/>
      <c r="OKA392" s="109"/>
      <c r="OKB392" s="104"/>
      <c r="OKC392" s="104"/>
      <c r="OKD392" s="119"/>
      <c r="OKE392" s="104"/>
      <c r="OKF392" s="455"/>
      <c r="OKG392" s="104"/>
      <c r="OKH392" s="104"/>
      <c r="OKI392" s="109"/>
      <c r="OKJ392" s="104"/>
      <c r="OKK392" s="104"/>
      <c r="OKL392" s="119"/>
      <c r="OKM392" s="104"/>
      <c r="OKN392" s="455"/>
      <c r="OKO392" s="104"/>
      <c r="OKP392" s="104"/>
      <c r="OKQ392" s="109"/>
      <c r="OKR392" s="104"/>
      <c r="OKS392" s="104"/>
      <c r="OKT392" s="119"/>
      <c r="OKU392" s="104"/>
      <c r="OKV392" s="455"/>
      <c r="OKW392" s="104"/>
      <c r="OKX392" s="104"/>
      <c r="OKY392" s="109"/>
      <c r="OKZ392" s="104"/>
      <c r="OLA392" s="104"/>
      <c r="OLB392" s="119"/>
      <c r="OLC392" s="104"/>
      <c r="OLD392" s="455"/>
      <c r="OLE392" s="104"/>
      <c r="OLF392" s="104"/>
      <c r="OLG392" s="109"/>
      <c r="OLH392" s="104"/>
      <c r="OLI392" s="104"/>
      <c r="OLJ392" s="119"/>
      <c r="OLK392" s="104"/>
      <c r="OLL392" s="455"/>
      <c r="OLM392" s="104"/>
      <c r="OLN392" s="104"/>
      <c r="OLO392" s="109"/>
      <c r="OLP392" s="104"/>
      <c r="OLQ392" s="104"/>
      <c r="OLR392" s="119"/>
      <c r="OLS392" s="104"/>
      <c r="OLT392" s="455"/>
      <c r="OLU392" s="104"/>
      <c r="OLV392" s="104"/>
      <c r="OLW392" s="109"/>
      <c r="OLX392" s="104"/>
      <c r="OLY392" s="104"/>
      <c r="OLZ392" s="119"/>
      <c r="OMA392" s="104"/>
      <c r="OMB392" s="455"/>
      <c r="OMC392" s="104"/>
      <c r="OMD392" s="104"/>
      <c r="OME392" s="109"/>
      <c r="OMF392" s="104"/>
      <c r="OMG392" s="104"/>
      <c r="OMH392" s="119"/>
      <c r="OMI392" s="104"/>
      <c r="OMJ392" s="455"/>
      <c r="OMK392" s="104"/>
      <c r="OML392" s="104"/>
      <c r="OMM392" s="109"/>
      <c r="OMN392" s="104"/>
      <c r="OMO392" s="104"/>
      <c r="OMP392" s="119"/>
      <c r="OMQ392" s="104"/>
      <c r="OMR392" s="455"/>
      <c r="OMS392" s="104"/>
      <c r="OMT392" s="104"/>
      <c r="OMU392" s="109"/>
      <c r="OMV392" s="104"/>
      <c r="OMW392" s="104"/>
      <c r="OMX392" s="119"/>
      <c r="OMY392" s="104"/>
      <c r="OMZ392" s="455"/>
      <c r="ONA392" s="104"/>
      <c r="ONB392" s="104"/>
      <c r="ONC392" s="109"/>
      <c r="OND392" s="104"/>
      <c r="ONE392" s="104"/>
      <c r="ONF392" s="119"/>
      <c r="ONG392" s="104"/>
      <c r="ONH392" s="455"/>
      <c r="ONI392" s="104"/>
      <c r="ONJ392" s="104"/>
      <c r="ONK392" s="109"/>
      <c r="ONL392" s="104"/>
      <c r="ONM392" s="104"/>
      <c r="ONN392" s="119"/>
      <c r="ONO392" s="104"/>
      <c r="ONP392" s="455"/>
      <c r="ONQ392" s="104"/>
      <c r="ONR392" s="104"/>
      <c r="ONS392" s="109"/>
      <c r="ONT392" s="104"/>
      <c r="ONU392" s="104"/>
      <c r="ONV392" s="119"/>
      <c r="ONW392" s="104"/>
      <c r="ONX392" s="455"/>
      <c r="ONY392" s="104"/>
      <c r="ONZ392" s="104"/>
      <c r="OOA392" s="109"/>
      <c r="OOB392" s="104"/>
      <c r="OOC392" s="104"/>
      <c r="OOD392" s="119"/>
      <c r="OOE392" s="104"/>
      <c r="OOF392" s="455"/>
      <c r="OOG392" s="104"/>
      <c r="OOH392" s="104"/>
      <c r="OOI392" s="109"/>
      <c r="OOJ392" s="104"/>
      <c r="OOK392" s="104"/>
      <c r="OOL392" s="119"/>
      <c r="OOM392" s="104"/>
      <c r="OON392" s="455"/>
      <c r="OOO392" s="104"/>
      <c r="OOP392" s="104"/>
      <c r="OOQ392" s="109"/>
      <c r="OOR392" s="104"/>
      <c r="OOS392" s="104"/>
      <c r="OOT392" s="119"/>
      <c r="OOU392" s="104"/>
      <c r="OOV392" s="455"/>
      <c r="OOW392" s="104"/>
      <c r="OOX392" s="104"/>
      <c r="OOY392" s="109"/>
      <c r="OOZ392" s="104"/>
      <c r="OPA392" s="104"/>
      <c r="OPB392" s="119"/>
      <c r="OPC392" s="104"/>
      <c r="OPD392" s="455"/>
      <c r="OPE392" s="104"/>
      <c r="OPF392" s="104"/>
      <c r="OPG392" s="109"/>
      <c r="OPH392" s="104"/>
      <c r="OPI392" s="104"/>
      <c r="OPJ392" s="119"/>
      <c r="OPK392" s="104"/>
      <c r="OPL392" s="455"/>
      <c r="OPM392" s="104"/>
      <c r="OPN392" s="104"/>
      <c r="OPO392" s="109"/>
      <c r="OPP392" s="104"/>
      <c r="OPQ392" s="104"/>
      <c r="OPR392" s="119"/>
      <c r="OPS392" s="104"/>
      <c r="OPT392" s="455"/>
      <c r="OPU392" s="104"/>
      <c r="OPV392" s="104"/>
      <c r="OPW392" s="109"/>
      <c r="OPX392" s="104"/>
      <c r="OPY392" s="104"/>
      <c r="OPZ392" s="119"/>
      <c r="OQA392" s="104"/>
      <c r="OQB392" s="455"/>
      <c r="OQC392" s="104"/>
      <c r="OQD392" s="104"/>
      <c r="OQE392" s="109"/>
      <c r="OQF392" s="104"/>
      <c r="OQG392" s="104"/>
      <c r="OQH392" s="119"/>
      <c r="OQI392" s="104"/>
      <c r="OQJ392" s="455"/>
      <c r="OQK392" s="104"/>
      <c r="OQL392" s="104"/>
      <c r="OQM392" s="109"/>
      <c r="OQN392" s="104"/>
      <c r="OQO392" s="104"/>
      <c r="OQP392" s="119"/>
      <c r="OQQ392" s="104"/>
      <c r="OQR392" s="455"/>
      <c r="OQS392" s="104"/>
      <c r="OQT392" s="104"/>
      <c r="OQU392" s="109"/>
      <c r="OQV392" s="104"/>
      <c r="OQW392" s="104"/>
      <c r="OQX392" s="119"/>
      <c r="OQY392" s="104"/>
      <c r="OQZ392" s="455"/>
      <c r="ORA392" s="104"/>
      <c r="ORB392" s="104"/>
      <c r="ORC392" s="109"/>
      <c r="ORD392" s="104"/>
      <c r="ORE392" s="104"/>
      <c r="ORF392" s="119"/>
      <c r="ORG392" s="104"/>
      <c r="ORH392" s="455"/>
      <c r="ORI392" s="104"/>
      <c r="ORJ392" s="104"/>
      <c r="ORK392" s="109"/>
      <c r="ORL392" s="104"/>
      <c r="ORM392" s="104"/>
      <c r="ORN392" s="119"/>
      <c r="ORO392" s="104"/>
      <c r="ORP392" s="455"/>
      <c r="ORQ392" s="104"/>
      <c r="ORR392" s="104"/>
      <c r="ORS392" s="109"/>
      <c r="ORT392" s="104"/>
      <c r="ORU392" s="104"/>
      <c r="ORV392" s="119"/>
      <c r="ORW392" s="104"/>
      <c r="ORX392" s="455"/>
      <c r="ORY392" s="104"/>
      <c r="ORZ392" s="104"/>
      <c r="OSA392" s="109"/>
      <c r="OSB392" s="104"/>
      <c r="OSC392" s="104"/>
      <c r="OSD392" s="119"/>
      <c r="OSE392" s="104"/>
      <c r="OSF392" s="455"/>
      <c r="OSG392" s="104"/>
      <c r="OSH392" s="104"/>
      <c r="OSI392" s="109"/>
      <c r="OSJ392" s="104"/>
      <c r="OSK392" s="104"/>
      <c r="OSL392" s="119"/>
      <c r="OSM392" s="104"/>
      <c r="OSN392" s="455"/>
      <c r="OSO392" s="104"/>
      <c r="OSP392" s="104"/>
      <c r="OSQ392" s="109"/>
      <c r="OSR392" s="104"/>
      <c r="OSS392" s="104"/>
      <c r="OST392" s="119"/>
      <c r="OSU392" s="104"/>
      <c r="OSV392" s="455"/>
      <c r="OSW392" s="104"/>
      <c r="OSX392" s="104"/>
      <c r="OSY392" s="109"/>
      <c r="OSZ392" s="104"/>
      <c r="OTA392" s="104"/>
      <c r="OTB392" s="119"/>
      <c r="OTC392" s="104"/>
      <c r="OTD392" s="455"/>
      <c r="OTE392" s="104"/>
      <c r="OTF392" s="104"/>
      <c r="OTG392" s="109"/>
      <c r="OTH392" s="104"/>
      <c r="OTI392" s="104"/>
      <c r="OTJ392" s="119"/>
      <c r="OTK392" s="104"/>
      <c r="OTL392" s="455"/>
      <c r="OTM392" s="104"/>
      <c r="OTN392" s="104"/>
      <c r="OTO392" s="109"/>
      <c r="OTP392" s="104"/>
      <c r="OTQ392" s="104"/>
      <c r="OTR392" s="119"/>
      <c r="OTS392" s="104"/>
      <c r="OTT392" s="455"/>
      <c r="OTU392" s="104"/>
      <c r="OTV392" s="104"/>
      <c r="OTW392" s="109"/>
      <c r="OTX392" s="104"/>
      <c r="OTY392" s="104"/>
      <c r="OTZ392" s="119"/>
      <c r="OUA392" s="104"/>
      <c r="OUB392" s="455"/>
      <c r="OUC392" s="104"/>
      <c r="OUD392" s="104"/>
      <c r="OUE392" s="109"/>
      <c r="OUF392" s="104"/>
      <c r="OUG392" s="104"/>
      <c r="OUH392" s="119"/>
      <c r="OUI392" s="104"/>
      <c r="OUJ392" s="455"/>
      <c r="OUK392" s="104"/>
      <c r="OUL392" s="104"/>
      <c r="OUM392" s="109"/>
      <c r="OUN392" s="104"/>
      <c r="OUO392" s="104"/>
      <c r="OUP392" s="119"/>
      <c r="OUQ392" s="104"/>
      <c r="OUR392" s="455"/>
      <c r="OUS392" s="104"/>
      <c r="OUT392" s="104"/>
      <c r="OUU392" s="109"/>
      <c r="OUV392" s="104"/>
      <c r="OUW392" s="104"/>
      <c r="OUX392" s="119"/>
      <c r="OUY392" s="104"/>
      <c r="OUZ392" s="455"/>
      <c r="OVA392" s="104"/>
      <c r="OVB392" s="104"/>
      <c r="OVC392" s="109"/>
      <c r="OVD392" s="104"/>
      <c r="OVE392" s="104"/>
      <c r="OVF392" s="119"/>
      <c r="OVG392" s="104"/>
      <c r="OVH392" s="455"/>
      <c r="OVI392" s="104"/>
      <c r="OVJ392" s="104"/>
      <c r="OVK392" s="109"/>
      <c r="OVL392" s="104"/>
      <c r="OVM392" s="104"/>
      <c r="OVN392" s="119"/>
      <c r="OVO392" s="104"/>
      <c r="OVP392" s="455"/>
      <c r="OVQ392" s="104"/>
      <c r="OVR392" s="104"/>
      <c r="OVS392" s="109"/>
      <c r="OVT392" s="104"/>
      <c r="OVU392" s="104"/>
      <c r="OVV392" s="119"/>
      <c r="OVW392" s="104"/>
      <c r="OVX392" s="455"/>
      <c r="OVY392" s="104"/>
      <c r="OVZ392" s="104"/>
      <c r="OWA392" s="109"/>
      <c r="OWB392" s="104"/>
      <c r="OWC392" s="104"/>
      <c r="OWD392" s="119"/>
      <c r="OWE392" s="104"/>
      <c r="OWF392" s="455"/>
      <c r="OWG392" s="104"/>
      <c r="OWH392" s="104"/>
      <c r="OWI392" s="109"/>
      <c r="OWJ392" s="104"/>
      <c r="OWK392" s="104"/>
      <c r="OWL392" s="119"/>
      <c r="OWM392" s="104"/>
      <c r="OWN392" s="455"/>
      <c r="OWO392" s="104"/>
      <c r="OWP392" s="104"/>
      <c r="OWQ392" s="109"/>
      <c r="OWR392" s="104"/>
      <c r="OWS392" s="104"/>
      <c r="OWT392" s="119"/>
      <c r="OWU392" s="104"/>
      <c r="OWV392" s="455"/>
      <c r="OWW392" s="104"/>
      <c r="OWX392" s="104"/>
      <c r="OWY392" s="109"/>
      <c r="OWZ392" s="104"/>
      <c r="OXA392" s="104"/>
      <c r="OXB392" s="119"/>
      <c r="OXC392" s="104"/>
      <c r="OXD392" s="455"/>
      <c r="OXE392" s="104"/>
      <c r="OXF392" s="104"/>
      <c r="OXG392" s="109"/>
      <c r="OXH392" s="104"/>
      <c r="OXI392" s="104"/>
      <c r="OXJ392" s="119"/>
      <c r="OXK392" s="104"/>
      <c r="OXL392" s="455"/>
      <c r="OXM392" s="104"/>
      <c r="OXN392" s="104"/>
      <c r="OXO392" s="109"/>
      <c r="OXP392" s="104"/>
      <c r="OXQ392" s="104"/>
      <c r="OXR392" s="119"/>
      <c r="OXS392" s="104"/>
      <c r="OXT392" s="455"/>
      <c r="OXU392" s="104"/>
      <c r="OXV392" s="104"/>
      <c r="OXW392" s="109"/>
      <c r="OXX392" s="104"/>
      <c r="OXY392" s="104"/>
      <c r="OXZ392" s="119"/>
      <c r="OYA392" s="104"/>
      <c r="OYB392" s="455"/>
      <c r="OYC392" s="104"/>
      <c r="OYD392" s="104"/>
      <c r="OYE392" s="109"/>
      <c r="OYF392" s="104"/>
      <c r="OYG392" s="104"/>
      <c r="OYH392" s="119"/>
      <c r="OYI392" s="104"/>
      <c r="OYJ392" s="455"/>
      <c r="OYK392" s="104"/>
      <c r="OYL392" s="104"/>
      <c r="OYM392" s="109"/>
      <c r="OYN392" s="104"/>
      <c r="OYO392" s="104"/>
      <c r="OYP392" s="119"/>
      <c r="OYQ392" s="104"/>
      <c r="OYR392" s="455"/>
      <c r="OYS392" s="104"/>
      <c r="OYT392" s="104"/>
      <c r="OYU392" s="109"/>
      <c r="OYV392" s="104"/>
      <c r="OYW392" s="104"/>
      <c r="OYX392" s="119"/>
      <c r="OYY392" s="104"/>
      <c r="OYZ392" s="455"/>
      <c r="OZA392" s="104"/>
      <c r="OZB392" s="104"/>
      <c r="OZC392" s="109"/>
      <c r="OZD392" s="104"/>
      <c r="OZE392" s="104"/>
      <c r="OZF392" s="119"/>
      <c r="OZG392" s="104"/>
      <c r="OZH392" s="455"/>
      <c r="OZI392" s="104"/>
      <c r="OZJ392" s="104"/>
      <c r="OZK392" s="109"/>
      <c r="OZL392" s="104"/>
      <c r="OZM392" s="104"/>
      <c r="OZN392" s="119"/>
      <c r="OZO392" s="104"/>
      <c r="OZP392" s="455"/>
      <c r="OZQ392" s="104"/>
      <c r="OZR392" s="104"/>
      <c r="OZS392" s="109"/>
      <c r="OZT392" s="104"/>
      <c r="OZU392" s="104"/>
      <c r="OZV392" s="119"/>
      <c r="OZW392" s="104"/>
      <c r="OZX392" s="455"/>
      <c r="OZY392" s="104"/>
      <c r="OZZ392" s="104"/>
      <c r="PAA392" s="109"/>
      <c r="PAB392" s="104"/>
      <c r="PAC392" s="104"/>
      <c r="PAD392" s="119"/>
      <c r="PAE392" s="104"/>
      <c r="PAF392" s="455"/>
      <c r="PAG392" s="104"/>
      <c r="PAH392" s="104"/>
      <c r="PAI392" s="109"/>
      <c r="PAJ392" s="104"/>
      <c r="PAK392" s="104"/>
      <c r="PAL392" s="119"/>
      <c r="PAM392" s="104"/>
      <c r="PAN392" s="455"/>
      <c r="PAO392" s="104"/>
      <c r="PAP392" s="104"/>
      <c r="PAQ392" s="109"/>
      <c r="PAR392" s="104"/>
      <c r="PAS392" s="104"/>
      <c r="PAT392" s="119"/>
      <c r="PAU392" s="104"/>
      <c r="PAV392" s="455"/>
      <c r="PAW392" s="104"/>
      <c r="PAX392" s="104"/>
      <c r="PAY392" s="109"/>
      <c r="PAZ392" s="104"/>
      <c r="PBA392" s="104"/>
      <c r="PBB392" s="119"/>
      <c r="PBC392" s="104"/>
      <c r="PBD392" s="455"/>
      <c r="PBE392" s="104"/>
      <c r="PBF392" s="104"/>
      <c r="PBG392" s="109"/>
      <c r="PBH392" s="104"/>
      <c r="PBI392" s="104"/>
      <c r="PBJ392" s="119"/>
      <c r="PBK392" s="104"/>
      <c r="PBL392" s="455"/>
      <c r="PBM392" s="104"/>
      <c r="PBN392" s="104"/>
      <c r="PBO392" s="109"/>
      <c r="PBP392" s="104"/>
      <c r="PBQ392" s="104"/>
      <c r="PBR392" s="119"/>
      <c r="PBS392" s="104"/>
      <c r="PBT392" s="455"/>
      <c r="PBU392" s="104"/>
      <c r="PBV392" s="104"/>
      <c r="PBW392" s="109"/>
      <c r="PBX392" s="104"/>
      <c r="PBY392" s="104"/>
      <c r="PBZ392" s="119"/>
      <c r="PCA392" s="104"/>
      <c r="PCB392" s="455"/>
      <c r="PCC392" s="104"/>
      <c r="PCD392" s="104"/>
      <c r="PCE392" s="109"/>
      <c r="PCF392" s="104"/>
      <c r="PCG392" s="104"/>
      <c r="PCH392" s="119"/>
      <c r="PCI392" s="104"/>
      <c r="PCJ392" s="455"/>
      <c r="PCK392" s="104"/>
      <c r="PCL392" s="104"/>
      <c r="PCM392" s="109"/>
      <c r="PCN392" s="104"/>
      <c r="PCO392" s="104"/>
      <c r="PCP392" s="119"/>
      <c r="PCQ392" s="104"/>
      <c r="PCR392" s="455"/>
      <c r="PCS392" s="104"/>
      <c r="PCT392" s="104"/>
      <c r="PCU392" s="109"/>
      <c r="PCV392" s="104"/>
      <c r="PCW392" s="104"/>
      <c r="PCX392" s="119"/>
      <c r="PCY392" s="104"/>
      <c r="PCZ392" s="455"/>
      <c r="PDA392" s="104"/>
      <c r="PDB392" s="104"/>
      <c r="PDC392" s="109"/>
      <c r="PDD392" s="104"/>
      <c r="PDE392" s="104"/>
      <c r="PDF392" s="119"/>
      <c r="PDG392" s="104"/>
      <c r="PDH392" s="455"/>
      <c r="PDI392" s="104"/>
      <c r="PDJ392" s="104"/>
      <c r="PDK392" s="109"/>
      <c r="PDL392" s="104"/>
      <c r="PDM392" s="104"/>
      <c r="PDN392" s="119"/>
      <c r="PDO392" s="104"/>
      <c r="PDP392" s="455"/>
      <c r="PDQ392" s="104"/>
      <c r="PDR392" s="104"/>
      <c r="PDS392" s="109"/>
      <c r="PDT392" s="104"/>
      <c r="PDU392" s="104"/>
      <c r="PDV392" s="119"/>
      <c r="PDW392" s="104"/>
      <c r="PDX392" s="455"/>
      <c r="PDY392" s="104"/>
      <c r="PDZ392" s="104"/>
      <c r="PEA392" s="109"/>
      <c r="PEB392" s="104"/>
      <c r="PEC392" s="104"/>
      <c r="PED392" s="119"/>
      <c r="PEE392" s="104"/>
      <c r="PEF392" s="455"/>
      <c r="PEG392" s="104"/>
      <c r="PEH392" s="104"/>
      <c r="PEI392" s="109"/>
      <c r="PEJ392" s="104"/>
      <c r="PEK392" s="104"/>
      <c r="PEL392" s="119"/>
      <c r="PEM392" s="104"/>
      <c r="PEN392" s="455"/>
      <c r="PEO392" s="104"/>
      <c r="PEP392" s="104"/>
      <c r="PEQ392" s="109"/>
      <c r="PER392" s="104"/>
      <c r="PES392" s="104"/>
      <c r="PET392" s="119"/>
      <c r="PEU392" s="104"/>
      <c r="PEV392" s="455"/>
      <c r="PEW392" s="104"/>
      <c r="PEX392" s="104"/>
      <c r="PEY392" s="109"/>
      <c r="PEZ392" s="104"/>
      <c r="PFA392" s="104"/>
      <c r="PFB392" s="119"/>
      <c r="PFC392" s="104"/>
      <c r="PFD392" s="455"/>
      <c r="PFE392" s="104"/>
      <c r="PFF392" s="104"/>
      <c r="PFG392" s="109"/>
      <c r="PFH392" s="104"/>
      <c r="PFI392" s="104"/>
      <c r="PFJ392" s="119"/>
      <c r="PFK392" s="104"/>
      <c r="PFL392" s="455"/>
      <c r="PFM392" s="104"/>
      <c r="PFN392" s="104"/>
      <c r="PFO392" s="109"/>
      <c r="PFP392" s="104"/>
      <c r="PFQ392" s="104"/>
      <c r="PFR392" s="119"/>
      <c r="PFS392" s="104"/>
      <c r="PFT392" s="455"/>
      <c r="PFU392" s="104"/>
      <c r="PFV392" s="104"/>
      <c r="PFW392" s="109"/>
      <c r="PFX392" s="104"/>
      <c r="PFY392" s="104"/>
      <c r="PFZ392" s="119"/>
      <c r="PGA392" s="104"/>
      <c r="PGB392" s="455"/>
      <c r="PGC392" s="104"/>
      <c r="PGD392" s="104"/>
      <c r="PGE392" s="109"/>
      <c r="PGF392" s="104"/>
      <c r="PGG392" s="104"/>
      <c r="PGH392" s="119"/>
      <c r="PGI392" s="104"/>
      <c r="PGJ392" s="455"/>
      <c r="PGK392" s="104"/>
      <c r="PGL392" s="104"/>
      <c r="PGM392" s="109"/>
      <c r="PGN392" s="104"/>
      <c r="PGO392" s="104"/>
      <c r="PGP392" s="119"/>
      <c r="PGQ392" s="104"/>
      <c r="PGR392" s="455"/>
      <c r="PGS392" s="104"/>
      <c r="PGT392" s="104"/>
      <c r="PGU392" s="109"/>
      <c r="PGV392" s="104"/>
      <c r="PGW392" s="104"/>
      <c r="PGX392" s="119"/>
      <c r="PGY392" s="104"/>
      <c r="PGZ392" s="455"/>
      <c r="PHA392" s="104"/>
      <c r="PHB392" s="104"/>
      <c r="PHC392" s="109"/>
      <c r="PHD392" s="104"/>
      <c r="PHE392" s="104"/>
      <c r="PHF392" s="119"/>
      <c r="PHG392" s="104"/>
      <c r="PHH392" s="455"/>
      <c r="PHI392" s="104"/>
      <c r="PHJ392" s="104"/>
      <c r="PHK392" s="109"/>
      <c r="PHL392" s="104"/>
      <c r="PHM392" s="104"/>
      <c r="PHN392" s="119"/>
      <c r="PHO392" s="104"/>
      <c r="PHP392" s="455"/>
      <c r="PHQ392" s="104"/>
      <c r="PHR392" s="104"/>
      <c r="PHS392" s="109"/>
      <c r="PHT392" s="104"/>
      <c r="PHU392" s="104"/>
      <c r="PHV392" s="119"/>
      <c r="PHW392" s="104"/>
      <c r="PHX392" s="455"/>
      <c r="PHY392" s="104"/>
      <c r="PHZ392" s="104"/>
      <c r="PIA392" s="109"/>
      <c r="PIB392" s="104"/>
      <c r="PIC392" s="104"/>
      <c r="PID392" s="119"/>
      <c r="PIE392" s="104"/>
      <c r="PIF392" s="455"/>
      <c r="PIG392" s="104"/>
      <c r="PIH392" s="104"/>
      <c r="PII392" s="109"/>
      <c r="PIJ392" s="104"/>
      <c r="PIK392" s="104"/>
      <c r="PIL392" s="119"/>
      <c r="PIM392" s="104"/>
      <c r="PIN392" s="455"/>
      <c r="PIO392" s="104"/>
      <c r="PIP392" s="104"/>
      <c r="PIQ392" s="109"/>
      <c r="PIR392" s="104"/>
      <c r="PIS392" s="104"/>
      <c r="PIT392" s="119"/>
      <c r="PIU392" s="104"/>
      <c r="PIV392" s="455"/>
      <c r="PIW392" s="104"/>
      <c r="PIX392" s="104"/>
      <c r="PIY392" s="109"/>
      <c r="PIZ392" s="104"/>
      <c r="PJA392" s="104"/>
      <c r="PJB392" s="119"/>
      <c r="PJC392" s="104"/>
      <c r="PJD392" s="455"/>
      <c r="PJE392" s="104"/>
      <c r="PJF392" s="104"/>
      <c r="PJG392" s="109"/>
      <c r="PJH392" s="104"/>
      <c r="PJI392" s="104"/>
      <c r="PJJ392" s="119"/>
      <c r="PJK392" s="104"/>
      <c r="PJL392" s="455"/>
      <c r="PJM392" s="104"/>
      <c r="PJN392" s="104"/>
      <c r="PJO392" s="109"/>
      <c r="PJP392" s="104"/>
      <c r="PJQ392" s="104"/>
      <c r="PJR392" s="119"/>
      <c r="PJS392" s="104"/>
      <c r="PJT392" s="455"/>
      <c r="PJU392" s="104"/>
      <c r="PJV392" s="104"/>
      <c r="PJW392" s="109"/>
      <c r="PJX392" s="104"/>
      <c r="PJY392" s="104"/>
      <c r="PJZ392" s="119"/>
      <c r="PKA392" s="104"/>
      <c r="PKB392" s="455"/>
      <c r="PKC392" s="104"/>
      <c r="PKD392" s="104"/>
      <c r="PKE392" s="109"/>
      <c r="PKF392" s="104"/>
      <c r="PKG392" s="104"/>
      <c r="PKH392" s="119"/>
      <c r="PKI392" s="104"/>
      <c r="PKJ392" s="455"/>
      <c r="PKK392" s="104"/>
      <c r="PKL392" s="104"/>
      <c r="PKM392" s="109"/>
      <c r="PKN392" s="104"/>
      <c r="PKO392" s="104"/>
      <c r="PKP392" s="119"/>
      <c r="PKQ392" s="104"/>
      <c r="PKR392" s="455"/>
      <c r="PKS392" s="104"/>
      <c r="PKT392" s="104"/>
      <c r="PKU392" s="109"/>
      <c r="PKV392" s="104"/>
      <c r="PKW392" s="104"/>
      <c r="PKX392" s="119"/>
      <c r="PKY392" s="104"/>
      <c r="PKZ392" s="455"/>
      <c r="PLA392" s="104"/>
      <c r="PLB392" s="104"/>
      <c r="PLC392" s="109"/>
      <c r="PLD392" s="104"/>
      <c r="PLE392" s="104"/>
      <c r="PLF392" s="119"/>
      <c r="PLG392" s="104"/>
      <c r="PLH392" s="455"/>
      <c r="PLI392" s="104"/>
      <c r="PLJ392" s="104"/>
      <c r="PLK392" s="109"/>
      <c r="PLL392" s="104"/>
      <c r="PLM392" s="104"/>
      <c r="PLN392" s="119"/>
      <c r="PLO392" s="104"/>
      <c r="PLP392" s="455"/>
      <c r="PLQ392" s="104"/>
      <c r="PLR392" s="104"/>
      <c r="PLS392" s="109"/>
      <c r="PLT392" s="104"/>
      <c r="PLU392" s="104"/>
      <c r="PLV392" s="119"/>
      <c r="PLW392" s="104"/>
      <c r="PLX392" s="455"/>
      <c r="PLY392" s="104"/>
      <c r="PLZ392" s="104"/>
      <c r="PMA392" s="109"/>
      <c r="PMB392" s="104"/>
      <c r="PMC392" s="104"/>
      <c r="PMD392" s="119"/>
      <c r="PME392" s="104"/>
      <c r="PMF392" s="455"/>
      <c r="PMG392" s="104"/>
      <c r="PMH392" s="104"/>
      <c r="PMI392" s="109"/>
      <c r="PMJ392" s="104"/>
      <c r="PMK392" s="104"/>
      <c r="PML392" s="119"/>
      <c r="PMM392" s="104"/>
      <c r="PMN392" s="455"/>
      <c r="PMO392" s="104"/>
      <c r="PMP392" s="104"/>
      <c r="PMQ392" s="109"/>
      <c r="PMR392" s="104"/>
      <c r="PMS392" s="104"/>
      <c r="PMT392" s="119"/>
      <c r="PMU392" s="104"/>
      <c r="PMV392" s="455"/>
      <c r="PMW392" s="104"/>
      <c r="PMX392" s="104"/>
      <c r="PMY392" s="109"/>
      <c r="PMZ392" s="104"/>
      <c r="PNA392" s="104"/>
      <c r="PNB392" s="119"/>
      <c r="PNC392" s="104"/>
      <c r="PND392" s="455"/>
      <c r="PNE392" s="104"/>
      <c r="PNF392" s="104"/>
      <c r="PNG392" s="109"/>
      <c r="PNH392" s="104"/>
      <c r="PNI392" s="104"/>
      <c r="PNJ392" s="119"/>
      <c r="PNK392" s="104"/>
      <c r="PNL392" s="455"/>
      <c r="PNM392" s="104"/>
      <c r="PNN392" s="104"/>
      <c r="PNO392" s="109"/>
      <c r="PNP392" s="104"/>
      <c r="PNQ392" s="104"/>
      <c r="PNR392" s="119"/>
      <c r="PNS392" s="104"/>
      <c r="PNT392" s="455"/>
      <c r="PNU392" s="104"/>
      <c r="PNV392" s="104"/>
      <c r="PNW392" s="109"/>
      <c r="PNX392" s="104"/>
      <c r="PNY392" s="104"/>
      <c r="PNZ392" s="119"/>
      <c r="POA392" s="104"/>
      <c r="POB392" s="455"/>
      <c r="POC392" s="104"/>
      <c r="POD392" s="104"/>
      <c r="POE392" s="109"/>
      <c r="POF392" s="104"/>
      <c r="POG392" s="104"/>
      <c r="POH392" s="119"/>
      <c r="POI392" s="104"/>
      <c r="POJ392" s="455"/>
      <c r="POK392" s="104"/>
      <c r="POL392" s="104"/>
      <c r="POM392" s="109"/>
      <c r="PON392" s="104"/>
      <c r="POO392" s="104"/>
      <c r="POP392" s="119"/>
      <c r="POQ392" s="104"/>
      <c r="POR392" s="455"/>
      <c r="POS392" s="104"/>
      <c r="POT392" s="104"/>
      <c r="POU392" s="109"/>
      <c r="POV392" s="104"/>
      <c r="POW392" s="104"/>
      <c r="POX392" s="119"/>
      <c r="POY392" s="104"/>
      <c r="POZ392" s="455"/>
      <c r="PPA392" s="104"/>
      <c r="PPB392" s="104"/>
      <c r="PPC392" s="109"/>
      <c r="PPD392" s="104"/>
      <c r="PPE392" s="104"/>
      <c r="PPF392" s="119"/>
      <c r="PPG392" s="104"/>
      <c r="PPH392" s="455"/>
      <c r="PPI392" s="104"/>
      <c r="PPJ392" s="104"/>
      <c r="PPK392" s="109"/>
      <c r="PPL392" s="104"/>
      <c r="PPM392" s="104"/>
      <c r="PPN392" s="119"/>
      <c r="PPO392" s="104"/>
      <c r="PPP392" s="455"/>
      <c r="PPQ392" s="104"/>
      <c r="PPR392" s="104"/>
      <c r="PPS392" s="109"/>
      <c r="PPT392" s="104"/>
      <c r="PPU392" s="104"/>
      <c r="PPV392" s="119"/>
      <c r="PPW392" s="104"/>
      <c r="PPX392" s="455"/>
      <c r="PPY392" s="104"/>
      <c r="PPZ392" s="104"/>
      <c r="PQA392" s="109"/>
      <c r="PQB392" s="104"/>
      <c r="PQC392" s="104"/>
      <c r="PQD392" s="119"/>
      <c r="PQE392" s="104"/>
      <c r="PQF392" s="455"/>
      <c r="PQG392" s="104"/>
      <c r="PQH392" s="104"/>
      <c r="PQI392" s="109"/>
      <c r="PQJ392" s="104"/>
      <c r="PQK392" s="104"/>
      <c r="PQL392" s="119"/>
      <c r="PQM392" s="104"/>
      <c r="PQN392" s="455"/>
      <c r="PQO392" s="104"/>
      <c r="PQP392" s="104"/>
      <c r="PQQ392" s="109"/>
      <c r="PQR392" s="104"/>
      <c r="PQS392" s="104"/>
      <c r="PQT392" s="119"/>
      <c r="PQU392" s="104"/>
      <c r="PQV392" s="455"/>
      <c r="PQW392" s="104"/>
      <c r="PQX392" s="104"/>
      <c r="PQY392" s="109"/>
      <c r="PQZ392" s="104"/>
      <c r="PRA392" s="104"/>
      <c r="PRB392" s="119"/>
      <c r="PRC392" s="104"/>
      <c r="PRD392" s="455"/>
      <c r="PRE392" s="104"/>
      <c r="PRF392" s="104"/>
      <c r="PRG392" s="109"/>
      <c r="PRH392" s="104"/>
      <c r="PRI392" s="104"/>
      <c r="PRJ392" s="119"/>
      <c r="PRK392" s="104"/>
      <c r="PRL392" s="455"/>
      <c r="PRM392" s="104"/>
      <c r="PRN392" s="104"/>
      <c r="PRO392" s="109"/>
      <c r="PRP392" s="104"/>
      <c r="PRQ392" s="104"/>
      <c r="PRR392" s="119"/>
      <c r="PRS392" s="104"/>
      <c r="PRT392" s="455"/>
      <c r="PRU392" s="104"/>
      <c r="PRV392" s="104"/>
      <c r="PRW392" s="109"/>
      <c r="PRX392" s="104"/>
      <c r="PRY392" s="104"/>
      <c r="PRZ392" s="119"/>
      <c r="PSA392" s="104"/>
      <c r="PSB392" s="455"/>
      <c r="PSC392" s="104"/>
      <c r="PSD392" s="104"/>
      <c r="PSE392" s="109"/>
      <c r="PSF392" s="104"/>
      <c r="PSG392" s="104"/>
      <c r="PSH392" s="119"/>
      <c r="PSI392" s="104"/>
      <c r="PSJ392" s="455"/>
      <c r="PSK392" s="104"/>
      <c r="PSL392" s="104"/>
      <c r="PSM392" s="109"/>
      <c r="PSN392" s="104"/>
      <c r="PSO392" s="104"/>
      <c r="PSP392" s="119"/>
      <c r="PSQ392" s="104"/>
      <c r="PSR392" s="455"/>
      <c r="PSS392" s="104"/>
      <c r="PST392" s="104"/>
      <c r="PSU392" s="109"/>
      <c r="PSV392" s="104"/>
      <c r="PSW392" s="104"/>
      <c r="PSX392" s="119"/>
      <c r="PSY392" s="104"/>
      <c r="PSZ392" s="455"/>
      <c r="PTA392" s="104"/>
      <c r="PTB392" s="104"/>
      <c r="PTC392" s="109"/>
      <c r="PTD392" s="104"/>
      <c r="PTE392" s="104"/>
      <c r="PTF392" s="119"/>
      <c r="PTG392" s="104"/>
      <c r="PTH392" s="455"/>
      <c r="PTI392" s="104"/>
      <c r="PTJ392" s="104"/>
      <c r="PTK392" s="109"/>
      <c r="PTL392" s="104"/>
      <c r="PTM392" s="104"/>
      <c r="PTN392" s="119"/>
      <c r="PTO392" s="104"/>
      <c r="PTP392" s="455"/>
      <c r="PTQ392" s="104"/>
      <c r="PTR392" s="104"/>
      <c r="PTS392" s="109"/>
      <c r="PTT392" s="104"/>
      <c r="PTU392" s="104"/>
      <c r="PTV392" s="119"/>
      <c r="PTW392" s="104"/>
      <c r="PTX392" s="455"/>
      <c r="PTY392" s="104"/>
      <c r="PTZ392" s="104"/>
      <c r="PUA392" s="109"/>
      <c r="PUB392" s="104"/>
      <c r="PUC392" s="104"/>
      <c r="PUD392" s="119"/>
      <c r="PUE392" s="104"/>
      <c r="PUF392" s="455"/>
      <c r="PUG392" s="104"/>
      <c r="PUH392" s="104"/>
      <c r="PUI392" s="109"/>
      <c r="PUJ392" s="104"/>
      <c r="PUK392" s="104"/>
      <c r="PUL392" s="119"/>
      <c r="PUM392" s="104"/>
      <c r="PUN392" s="455"/>
      <c r="PUO392" s="104"/>
      <c r="PUP392" s="104"/>
      <c r="PUQ392" s="109"/>
      <c r="PUR392" s="104"/>
      <c r="PUS392" s="104"/>
      <c r="PUT392" s="119"/>
      <c r="PUU392" s="104"/>
      <c r="PUV392" s="455"/>
      <c r="PUW392" s="104"/>
      <c r="PUX392" s="104"/>
      <c r="PUY392" s="109"/>
      <c r="PUZ392" s="104"/>
      <c r="PVA392" s="104"/>
      <c r="PVB392" s="119"/>
      <c r="PVC392" s="104"/>
      <c r="PVD392" s="455"/>
      <c r="PVE392" s="104"/>
      <c r="PVF392" s="104"/>
      <c r="PVG392" s="109"/>
      <c r="PVH392" s="104"/>
      <c r="PVI392" s="104"/>
      <c r="PVJ392" s="119"/>
      <c r="PVK392" s="104"/>
      <c r="PVL392" s="455"/>
      <c r="PVM392" s="104"/>
      <c r="PVN392" s="104"/>
      <c r="PVO392" s="109"/>
      <c r="PVP392" s="104"/>
      <c r="PVQ392" s="104"/>
      <c r="PVR392" s="119"/>
      <c r="PVS392" s="104"/>
      <c r="PVT392" s="455"/>
      <c r="PVU392" s="104"/>
      <c r="PVV392" s="104"/>
      <c r="PVW392" s="109"/>
      <c r="PVX392" s="104"/>
      <c r="PVY392" s="104"/>
      <c r="PVZ392" s="119"/>
      <c r="PWA392" s="104"/>
      <c r="PWB392" s="455"/>
      <c r="PWC392" s="104"/>
      <c r="PWD392" s="104"/>
      <c r="PWE392" s="109"/>
      <c r="PWF392" s="104"/>
      <c r="PWG392" s="104"/>
      <c r="PWH392" s="119"/>
      <c r="PWI392" s="104"/>
      <c r="PWJ392" s="455"/>
      <c r="PWK392" s="104"/>
      <c r="PWL392" s="104"/>
      <c r="PWM392" s="109"/>
      <c r="PWN392" s="104"/>
      <c r="PWO392" s="104"/>
      <c r="PWP392" s="119"/>
      <c r="PWQ392" s="104"/>
      <c r="PWR392" s="455"/>
      <c r="PWS392" s="104"/>
      <c r="PWT392" s="104"/>
      <c r="PWU392" s="109"/>
      <c r="PWV392" s="104"/>
      <c r="PWW392" s="104"/>
      <c r="PWX392" s="119"/>
      <c r="PWY392" s="104"/>
      <c r="PWZ392" s="455"/>
      <c r="PXA392" s="104"/>
      <c r="PXB392" s="104"/>
      <c r="PXC392" s="109"/>
      <c r="PXD392" s="104"/>
      <c r="PXE392" s="104"/>
      <c r="PXF392" s="119"/>
      <c r="PXG392" s="104"/>
      <c r="PXH392" s="455"/>
      <c r="PXI392" s="104"/>
      <c r="PXJ392" s="104"/>
      <c r="PXK392" s="109"/>
      <c r="PXL392" s="104"/>
      <c r="PXM392" s="104"/>
      <c r="PXN392" s="119"/>
      <c r="PXO392" s="104"/>
      <c r="PXP392" s="455"/>
      <c r="PXQ392" s="104"/>
      <c r="PXR392" s="104"/>
      <c r="PXS392" s="109"/>
      <c r="PXT392" s="104"/>
      <c r="PXU392" s="104"/>
      <c r="PXV392" s="119"/>
      <c r="PXW392" s="104"/>
      <c r="PXX392" s="455"/>
      <c r="PXY392" s="104"/>
      <c r="PXZ392" s="104"/>
      <c r="PYA392" s="109"/>
      <c r="PYB392" s="104"/>
      <c r="PYC392" s="104"/>
      <c r="PYD392" s="119"/>
      <c r="PYE392" s="104"/>
      <c r="PYF392" s="455"/>
      <c r="PYG392" s="104"/>
      <c r="PYH392" s="104"/>
      <c r="PYI392" s="109"/>
      <c r="PYJ392" s="104"/>
      <c r="PYK392" s="104"/>
      <c r="PYL392" s="119"/>
      <c r="PYM392" s="104"/>
      <c r="PYN392" s="455"/>
      <c r="PYO392" s="104"/>
      <c r="PYP392" s="104"/>
      <c r="PYQ392" s="109"/>
      <c r="PYR392" s="104"/>
      <c r="PYS392" s="104"/>
      <c r="PYT392" s="119"/>
      <c r="PYU392" s="104"/>
      <c r="PYV392" s="455"/>
      <c r="PYW392" s="104"/>
      <c r="PYX392" s="104"/>
      <c r="PYY392" s="109"/>
      <c r="PYZ392" s="104"/>
      <c r="PZA392" s="104"/>
      <c r="PZB392" s="119"/>
      <c r="PZC392" s="104"/>
      <c r="PZD392" s="455"/>
      <c r="PZE392" s="104"/>
      <c r="PZF392" s="104"/>
      <c r="PZG392" s="109"/>
      <c r="PZH392" s="104"/>
      <c r="PZI392" s="104"/>
      <c r="PZJ392" s="119"/>
      <c r="PZK392" s="104"/>
      <c r="PZL392" s="455"/>
      <c r="PZM392" s="104"/>
      <c r="PZN392" s="104"/>
      <c r="PZO392" s="109"/>
      <c r="PZP392" s="104"/>
      <c r="PZQ392" s="104"/>
      <c r="PZR392" s="119"/>
      <c r="PZS392" s="104"/>
      <c r="PZT392" s="455"/>
      <c r="PZU392" s="104"/>
      <c r="PZV392" s="104"/>
      <c r="PZW392" s="109"/>
      <c r="PZX392" s="104"/>
      <c r="PZY392" s="104"/>
      <c r="PZZ392" s="119"/>
      <c r="QAA392" s="104"/>
      <c r="QAB392" s="455"/>
      <c r="QAC392" s="104"/>
      <c r="QAD392" s="104"/>
      <c r="QAE392" s="109"/>
      <c r="QAF392" s="104"/>
      <c r="QAG392" s="104"/>
      <c r="QAH392" s="119"/>
      <c r="QAI392" s="104"/>
      <c r="QAJ392" s="455"/>
      <c r="QAK392" s="104"/>
      <c r="QAL392" s="104"/>
      <c r="QAM392" s="109"/>
      <c r="QAN392" s="104"/>
      <c r="QAO392" s="104"/>
      <c r="QAP392" s="119"/>
      <c r="QAQ392" s="104"/>
      <c r="QAR392" s="455"/>
      <c r="QAS392" s="104"/>
      <c r="QAT392" s="104"/>
      <c r="QAU392" s="109"/>
      <c r="QAV392" s="104"/>
      <c r="QAW392" s="104"/>
      <c r="QAX392" s="119"/>
      <c r="QAY392" s="104"/>
      <c r="QAZ392" s="455"/>
      <c r="QBA392" s="104"/>
      <c r="QBB392" s="104"/>
      <c r="QBC392" s="109"/>
      <c r="QBD392" s="104"/>
      <c r="QBE392" s="104"/>
      <c r="QBF392" s="119"/>
      <c r="QBG392" s="104"/>
      <c r="QBH392" s="455"/>
      <c r="QBI392" s="104"/>
      <c r="QBJ392" s="104"/>
      <c r="QBK392" s="109"/>
      <c r="QBL392" s="104"/>
      <c r="QBM392" s="104"/>
      <c r="QBN392" s="119"/>
      <c r="QBO392" s="104"/>
      <c r="QBP392" s="455"/>
      <c r="QBQ392" s="104"/>
      <c r="QBR392" s="104"/>
      <c r="QBS392" s="109"/>
      <c r="QBT392" s="104"/>
      <c r="QBU392" s="104"/>
      <c r="QBV392" s="119"/>
      <c r="QBW392" s="104"/>
      <c r="QBX392" s="455"/>
      <c r="QBY392" s="104"/>
      <c r="QBZ392" s="104"/>
      <c r="QCA392" s="109"/>
      <c r="QCB392" s="104"/>
      <c r="QCC392" s="104"/>
      <c r="QCD392" s="119"/>
      <c r="QCE392" s="104"/>
      <c r="QCF392" s="455"/>
      <c r="QCG392" s="104"/>
      <c r="QCH392" s="104"/>
      <c r="QCI392" s="109"/>
      <c r="QCJ392" s="104"/>
      <c r="QCK392" s="104"/>
      <c r="QCL392" s="119"/>
      <c r="QCM392" s="104"/>
      <c r="QCN392" s="455"/>
      <c r="QCO392" s="104"/>
      <c r="QCP392" s="104"/>
      <c r="QCQ392" s="109"/>
      <c r="QCR392" s="104"/>
      <c r="QCS392" s="104"/>
      <c r="QCT392" s="119"/>
      <c r="QCU392" s="104"/>
      <c r="QCV392" s="455"/>
      <c r="QCW392" s="104"/>
      <c r="QCX392" s="104"/>
      <c r="QCY392" s="109"/>
      <c r="QCZ392" s="104"/>
      <c r="QDA392" s="104"/>
      <c r="QDB392" s="119"/>
      <c r="QDC392" s="104"/>
      <c r="QDD392" s="455"/>
      <c r="QDE392" s="104"/>
      <c r="QDF392" s="104"/>
      <c r="QDG392" s="109"/>
      <c r="QDH392" s="104"/>
      <c r="QDI392" s="104"/>
      <c r="QDJ392" s="119"/>
      <c r="QDK392" s="104"/>
      <c r="QDL392" s="455"/>
      <c r="QDM392" s="104"/>
      <c r="QDN392" s="104"/>
      <c r="QDO392" s="109"/>
      <c r="QDP392" s="104"/>
      <c r="QDQ392" s="104"/>
      <c r="QDR392" s="119"/>
      <c r="QDS392" s="104"/>
      <c r="QDT392" s="455"/>
      <c r="QDU392" s="104"/>
      <c r="QDV392" s="104"/>
      <c r="QDW392" s="109"/>
      <c r="QDX392" s="104"/>
      <c r="QDY392" s="104"/>
      <c r="QDZ392" s="119"/>
      <c r="QEA392" s="104"/>
      <c r="QEB392" s="455"/>
      <c r="QEC392" s="104"/>
      <c r="QED392" s="104"/>
      <c r="QEE392" s="109"/>
      <c r="QEF392" s="104"/>
      <c r="QEG392" s="104"/>
      <c r="QEH392" s="119"/>
      <c r="QEI392" s="104"/>
      <c r="QEJ392" s="455"/>
      <c r="QEK392" s="104"/>
      <c r="QEL392" s="104"/>
      <c r="QEM392" s="109"/>
      <c r="QEN392" s="104"/>
      <c r="QEO392" s="104"/>
      <c r="QEP392" s="119"/>
      <c r="QEQ392" s="104"/>
      <c r="QER392" s="455"/>
      <c r="QES392" s="104"/>
      <c r="QET392" s="104"/>
      <c r="QEU392" s="109"/>
      <c r="QEV392" s="104"/>
      <c r="QEW392" s="104"/>
      <c r="QEX392" s="119"/>
      <c r="QEY392" s="104"/>
      <c r="QEZ392" s="455"/>
      <c r="QFA392" s="104"/>
      <c r="QFB392" s="104"/>
      <c r="QFC392" s="109"/>
      <c r="QFD392" s="104"/>
      <c r="QFE392" s="104"/>
      <c r="QFF392" s="119"/>
      <c r="QFG392" s="104"/>
      <c r="QFH392" s="455"/>
      <c r="QFI392" s="104"/>
      <c r="QFJ392" s="104"/>
      <c r="QFK392" s="109"/>
      <c r="QFL392" s="104"/>
      <c r="QFM392" s="104"/>
      <c r="QFN392" s="119"/>
      <c r="QFO392" s="104"/>
      <c r="QFP392" s="455"/>
      <c r="QFQ392" s="104"/>
      <c r="QFR392" s="104"/>
      <c r="QFS392" s="109"/>
      <c r="QFT392" s="104"/>
      <c r="QFU392" s="104"/>
      <c r="QFV392" s="119"/>
      <c r="QFW392" s="104"/>
      <c r="QFX392" s="455"/>
      <c r="QFY392" s="104"/>
      <c r="QFZ392" s="104"/>
      <c r="QGA392" s="109"/>
      <c r="QGB392" s="104"/>
      <c r="QGC392" s="104"/>
      <c r="QGD392" s="119"/>
      <c r="QGE392" s="104"/>
      <c r="QGF392" s="455"/>
      <c r="QGG392" s="104"/>
      <c r="QGH392" s="104"/>
      <c r="QGI392" s="109"/>
      <c r="QGJ392" s="104"/>
      <c r="QGK392" s="104"/>
      <c r="QGL392" s="119"/>
      <c r="QGM392" s="104"/>
      <c r="QGN392" s="455"/>
      <c r="QGO392" s="104"/>
      <c r="QGP392" s="104"/>
      <c r="QGQ392" s="109"/>
      <c r="QGR392" s="104"/>
      <c r="QGS392" s="104"/>
      <c r="QGT392" s="119"/>
      <c r="QGU392" s="104"/>
      <c r="QGV392" s="455"/>
      <c r="QGW392" s="104"/>
      <c r="QGX392" s="104"/>
      <c r="QGY392" s="109"/>
      <c r="QGZ392" s="104"/>
      <c r="QHA392" s="104"/>
      <c r="QHB392" s="119"/>
      <c r="QHC392" s="104"/>
      <c r="QHD392" s="455"/>
      <c r="QHE392" s="104"/>
      <c r="QHF392" s="104"/>
      <c r="QHG392" s="109"/>
      <c r="QHH392" s="104"/>
      <c r="QHI392" s="104"/>
      <c r="QHJ392" s="119"/>
      <c r="QHK392" s="104"/>
      <c r="QHL392" s="455"/>
      <c r="QHM392" s="104"/>
      <c r="QHN392" s="104"/>
      <c r="QHO392" s="109"/>
      <c r="QHP392" s="104"/>
      <c r="QHQ392" s="104"/>
      <c r="QHR392" s="119"/>
      <c r="QHS392" s="104"/>
      <c r="QHT392" s="455"/>
      <c r="QHU392" s="104"/>
      <c r="QHV392" s="104"/>
      <c r="QHW392" s="109"/>
      <c r="QHX392" s="104"/>
      <c r="QHY392" s="104"/>
      <c r="QHZ392" s="119"/>
      <c r="QIA392" s="104"/>
      <c r="QIB392" s="455"/>
      <c r="QIC392" s="104"/>
      <c r="QID392" s="104"/>
      <c r="QIE392" s="109"/>
      <c r="QIF392" s="104"/>
      <c r="QIG392" s="104"/>
      <c r="QIH392" s="119"/>
      <c r="QII392" s="104"/>
      <c r="QIJ392" s="455"/>
      <c r="QIK392" s="104"/>
      <c r="QIL392" s="104"/>
      <c r="QIM392" s="109"/>
      <c r="QIN392" s="104"/>
      <c r="QIO392" s="104"/>
      <c r="QIP392" s="119"/>
      <c r="QIQ392" s="104"/>
      <c r="QIR392" s="455"/>
      <c r="QIS392" s="104"/>
      <c r="QIT392" s="104"/>
      <c r="QIU392" s="109"/>
      <c r="QIV392" s="104"/>
      <c r="QIW392" s="104"/>
      <c r="QIX392" s="119"/>
      <c r="QIY392" s="104"/>
      <c r="QIZ392" s="455"/>
      <c r="QJA392" s="104"/>
      <c r="QJB392" s="104"/>
      <c r="QJC392" s="109"/>
      <c r="QJD392" s="104"/>
      <c r="QJE392" s="104"/>
      <c r="QJF392" s="119"/>
      <c r="QJG392" s="104"/>
      <c r="QJH392" s="455"/>
      <c r="QJI392" s="104"/>
      <c r="QJJ392" s="104"/>
      <c r="QJK392" s="109"/>
      <c r="QJL392" s="104"/>
      <c r="QJM392" s="104"/>
      <c r="QJN392" s="119"/>
      <c r="QJO392" s="104"/>
      <c r="QJP392" s="455"/>
      <c r="QJQ392" s="104"/>
      <c r="QJR392" s="104"/>
      <c r="QJS392" s="109"/>
      <c r="QJT392" s="104"/>
      <c r="QJU392" s="104"/>
      <c r="QJV392" s="119"/>
      <c r="QJW392" s="104"/>
      <c r="QJX392" s="455"/>
      <c r="QJY392" s="104"/>
      <c r="QJZ392" s="104"/>
      <c r="QKA392" s="109"/>
      <c r="QKB392" s="104"/>
      <c r="QKC392" s="104"/>
      <c r="QKD392" s="119"/>
      <c r="QKE392" s="104"/>
      <c r="QKF392" s="455"/>
      <c r="QKG392" s="104"/>
      <c r="QKH392" s="104"/>
      <c r="QKI392" s="109"/>
      <c r="QKJ392" s="104"/>
      <c r="QKK392" s="104"/>
      <c r="QKL392" s="119"/>
      <c r="QKM392" s="104"/>
      <c r="QKN392" s="455"/>
      <c r="QKO392" s="104"/>
      <c r="QKP392" s="104"/>
      <c r="QKQ392" s="109"/>
      <c r="QKR392" s="104"/>
      <c r="QKS392" s="104"/>
      <c r="QKT392" s="119"/>
      <c r="QKU392" s="104"/>
      <c r="QKV392" s="455"/>
      <c r="QKW392" s="104"/>
      <c r="QKX392" s="104"/>
      <c r="QKY392" s="109"/>
      <c r="QKZ392" s="104"/>
      <c r="QLA392" s="104"/>
      <c r="QLB392" s="119"/>
      <c r="QLC392" s="104"/>
      <c r="QLD392" s="455"/>
      <c r="QLE392" s="104"/>
      <c r="QLF392" s="104"/>
      <c r="QLG392" s="109"/>
      <c r="QLH392" s="104"/>
      <c r="QLI392" s="104"/>
      <c r="QLJ392" s="119"/>
      <c r="QLK392" s="104"/>
      <c r="QLL392" s="455"/>
      <c r="QLM392" s="104"/>
      <c r="QLN392" s="104"/>
      <c r="QLO392" s="109"/>
      <c r="QLP392" s="104"/>
      <c r="QLQ392" s="104"/>
      <c r="QLR392" s="119"/>
      <c r="QLS392" s="104"/>
      <c r="QLT392" s="455"/>
      <c r="QLU392" s="104"/>
      <c r="QLV392" s="104"/>
      <c r="QLW392" s="109"/>
      <c r="QLX392" s="104"/>
      <c r="QLY392" s="104"/>
      <c r="QLZ392" s="119"/>
      <c r="QMA392" s="104"/>
      <c r="QMB392" s="455"/>
      <c r="QMC392" s="104"/>
      <c r="QMD392" s="104"/>
      <c r="QME392" s="109"/>
      <c r="QMF392" s="104"/>
      <c r="QMG392" s="104"/>
      <c r="QMH392" s="119"/>
      <c r="QMI392" s="104"/>
      <c r="QMJ392" s="455"/>
      <c r="QMK392" s="104"/>
      <c r="QML392" s="104"/>
      <c r="QMM392" s="109"/>
      <c r="QMN392" s="104"/>
      <c r="QMO392" s="104"/>
      <c r="QMP392" s="119"/>
      <c r="QMQ392" s="104"/>
      <c r="QMR392" s="455"/>
      <c r="QMS392" s="104"/>
      <c r="QMT392" s="104"/>
      <c r="QMU392" s="109"/>
      <c r="QMV392" s="104"/>
      <c r="QMW392" s="104"/>
      <c r="QMX392" s="119"/>
      <c r="QMY392" s="104"/>
      <c r="QMZ392" s="455"/>
      <c r="QNA392" s="104"/>
      <c r="QNB392" s="104"/>
      <c r="QNC392" s="109"/>
      <c r="QND392" s="104"/>
      <c r="QNE392" s="104"/>
      <c r="QNF392" s="119"/>
      <c r="QNG392" s="104"/>
      <c r="QNH392" s="455"/>
      <c r="QNI392" s="104"/>
      <c r="QNJ392" s="104"/>
      <c r="QNK392" s="109"/>
      <c r="QNL392" s="104"/>
      <c r="QNM392" s="104"/>
      <c r="QNN392" s="119"/>
      <c r="QNO392" s="104"/>
      <c r="QNP392" s="455"/>
      <c r="QNQ392" s="104"/>
      <c r="QNR392" s="104"/>
      <c r="QNS392" s="109"/>
      <c r="QNT392" s="104"/>
      <c r="QNU392" s="104"/>
      <c r="QNV392" s="119"/>
      <c r="QNW392" s="104"/>
      <c r="QNX392" s="455"/>
      <c r="QNY392" s="104"/>
      <c r="QNZ392" s="104"/>
      <c r="QOA392" s="109"/>
      <c r="QOB392" s="104"/>
      <c r="QOC392" s="104"/>
      <c r="QOD392" s="119"/>
      <c r="QOE392" s="104"/>
      <c r="QOF392" s="455"/>
      <c r="QOG392" s="104"/>
      <c r="QOH392" s="104"/>
      <c r="QOI392" s="109"/>
      <c r="QOJ392" s="104"/>
      <c r="QOK392" s="104"/>
      <c r="QOL392" s="119"/>
      <c r="QOM392" s="104"/>
      <c r="QON392" s="455"/>
      <c r="QOO392" s="104"/>
      <c r="QOP392" s="104"/>
      <c r="QOQ392" s="109"/>
      <c r="QOR392" s="104"/>
      <c r="QOS392" s="104"/>
      <c r="QOT392" s="119"/>
      <c r="QOU392" s="104"/>
      <c r="QOV392" s="455"/>
      <c r="QOW392" s="104"/>
      <c r="QOX392" s="104"/>
      <c r="QOY392" s="109"/>
      <c r="QOZ392" s="104"/>
      <c r="QPA392" s="104"/>
      <c r="QPB392" s="119"/>
      <c r="QPC392" s="104"/>
      <c r="QPD392" s="455"/>
      <c r="QPE392" s="104"/>
      <c r="QPF392" s="104"/>
      <c r="QPG392" s="109"/>
      <c r="QPH392" s="104"/>
      <c r="QPI392" s="104"/>
      <c r="QPJ392" s="119"/>
      <c r="QPK392" s="104"/>
      <c r="QPL392" s="455"/>
      <c r="QPM392" s="104"/>
      <c r="QPN392" s="104"/>
      <c r="QPO392" s="109"/>
      <c r="QPP392" s="104"/>
      <c r="QPQ392" s="104"/>
      <c r="QPR392" s="119"/>
      <c r="QPS392" s="104"/>
      <c r="QPT392" s="455"/>
      <c r="QPU392" s="104"/>
      <c r="QPV392" s="104"/>
      <c r="QPW392" s="109"/>
      <c r="QPX392" s="104"/>
      <c r="QPY392" s="104"/>
      <c r="QPZ392" s="119"/>
      <c r="QQA392" s="104"/>
      <c r="QQB392" s="455"/>
      <c r="QQC392" s="104"/>
      <c r="QQD392" s="104"/>
      <c r="QQE392" s="109"/>
      <c r="QQF392" s="104"/>
      <c r="QQG392" s="104"/>
      <c r="QQH392" s="119"/>
      <c r="QQI392" s="104"/>
      <c r="QQJ392" s="455"/>
      <c r="QQK392" s="104"/>
      <c r="QQL392" s="104"/>
      <c r="QQM392" s="109"/>
      <c r="QQN392" s="104"/>
      <c r="QQO392" s="104"/>
      <c r="QQP392" s="119"/>
      <c r="QQQ392" s="104"/>
      <c r="QQR392" s="455"/>
      <c r="QQS392" s="104"/>
      <c r="QQT392" s="104"/>
      <c r="QQU392" s="109"/>
      <c r="QQV392" s="104"/>
      <c r="QQW392" s="104"/>
      <c r="QQX392" s="119"/>
      <c r="QQY392" s="104"/>
      <c r="QQZ392" s="455"/>
      <c r="QRA392" s="104"/>
      <c r="QRB392" s="104"/>
      <c r="QRC392" s="109"/>
      <c r="QRD392" s="104"/>
      <c r="QRE392" s="104"/>
      <c r="QRF392" s="119"/>
      <c r="QRG392" s="104"/>
      <c r="QRH392" s="455"/>
      <c r="QRI392" s="104"/>
      <c r="QRJ392" s="104"/>
      <c r="QRK392" s="109"/>
      <c r="QRL392" s="104"/>
      <c r="QRM392" s="104"/>
      <c r="QRN392" s="119"/>
      <c r="QRO392" s="104"/>
      <c r="QRP392" s="455"/>
      <c r="QRQ392" s="104"/>
      <c r="QRR392" s="104"/>
      <c r="QRS392" s="109"/>
      <c r="QRT392" s="104"/>
      <c r="QRU392" s="104"/>
      <c r="QRV392" s="119"/>
      <c r="QRW392" s="104"/>
      <c r="QRX392" s="455"/>
      <c r="QRY392" s="104"/>
      <c r="QRZ392" s="104"/>
      <c r="QSA392" s="109"/>
      <c r="QSB392" s="104"/>
      <c r="QSC392" s="104"/>
      <c r="QSD392" s="119"/>
      <c r="QSE392" s="104"/>
      <c r="QSF392" s="455"/>
      <c r="QSG392" s="104"/>
      <c r="QSH392" s="104"/>
      <c r="QSI392" s="109"/>
      <c r="QSJ392" s="104"/>
      <c r="QSK392" s="104"/>
      <c r="QSL392" s="119"/>
      <c r="QSM392" s="104"/>
      <c r="QSN392" s="455"/>
      <c r="QSO392" s="104"/>
      <c r="QSP392" s="104"/>
      <c r="QSQ392" s="109"/>
      <c r="QSR392" s="104"/>
      <c r="QSS392" s="104"/>
      <c r="QST392" s="119"/>
      <c r="QSU392" s="104"/>
      <c r="QSV392" s="455"/>
      <c r="QSW392" s="104"/>
      <c r="QSX392" s="104"/>
      <c r="QSY392" s="109"/>
      <c r="QSZ392" s="104"/>
      <c r="QTA392" s="104"/>
      <c r="QTB392" s="119"/>
      <c r="QTC392" s="104"/>
      <c r="QTD392" s="455"/>
      <c r="QTE392" s="104"/>
      <c r="QTF392" s="104"/>
      <c r="QTG392" s="109"/>
      <c r="QTH392" s="104"/>
      <c r="QTI392" s="104"/>
      <c r="QTJ392" s="119"/>
      <c r="QTK392" s="104"/>
      <c r="QTL392" s="455"/>
      <c r="QTM392" s="104"/>
      <c r="QTN392" s="104"/>
      <c r="QTO392" s="109"/>
      <c r="QTP392" s="104"/>
      <c r="QTQ392" s="104"/>
      <c r="QTR392" s="119"/>
      <c r="QTS392" s="104"/>
      <c r="QTT392" s="455"/>
      <c r="QTU392" s="104"/>
      <c r="QTV392" s="104"/>
      <c r="QTW392" s="109"/>
      <c r="QTX392" s="104"/>
      <c r="QTY392" s="104"/>
      <c r="QTZ392" s="119"/>
      <c r="QUA392" s="104"/>
      <c r="QUB392" s="455"/>
      <c r="QUC392" s="104"/>
      <c r="QUD392" s="104"/>
      <c r="QUE392" s="109"/>
      <c r="QUF392" s="104"/>
      <c r="QUG392" s="104"/>
      <c r="QUH392" s="119"/>
      <c r="QUI392" s="104"/>
      <c r="QUJ392" s="455"/>
      <c r="QUK392" s="104"/>
      <c r="QUL392" s="104"/>
      <c r="QUM392" s="109"/>
      <c r="QUN392" s="104"/>
      <c r="QUO392" s="104"/>
      <c r="QUP392" s="119"/>
      <c r="QUQ392" s="104"/>
      <c r="QUR392" s="455"/>
      <c r="QUS392" s="104"/>
      <c r="QUT392" s="104"/>
      <c r="QUU392" s="109"/>
      <c r="QUV392" s="104"/>
      <c r="QUW392" s="104"/>
      <c r="QUX392" s="119"/>
      <c r="QUY392" s="104"/>
      <c r="QUZ392" s="455"/>
      <c r="QVA392" s="104"/>
      <c r="QVB392" s="104"/>
      <c r="QVC392" s="109"/>
      <c r="QVD392" s="104"/>
      <c r="QVE392" s="104"/>
      <c r="QVF392" s="119"/>
      <c r="QVG392" s="104"/>
      <c r="QVH392" s="455"/>
      <c r="QVI392" s="104"/>
      <c r="QVJ392" s="104"/>
      <c r="QVK392" s="109"/>
      <c r="QVL392" s="104"/>
      <c r="QVM392" s="104"/>
      <c r="QVN392" s="119"/>
      <c r="QVO392" s="104"/>
      <c r="QVP392" s="455"/>
      <c r="QVQ392" s="104"/>
      <c r="QVR392" s="104"/>
      <c r="QVS392" s="109"/>
      <c r="QVT392" s="104"/>
      <c r="QVU392" s="104"/>
      <c r="QVV392" s="119"/>
      <c r="QVW392" s="104"/>
      <c r="QVX392" s="455"/>
      <c r="QVY392" s="104"/>
      <c r="QVZ392" s="104"/>
      <c r="QWA392" s="109"/>
      <c r="QWB392" s="104"/>
      <c r="QWC392" s="104"/>
      <c r="QWD392" s="119"/>
      <c r="QWE392" s="104"/>
      <c r="QWF392" s="455"/>
      <c r="QWG392" s="104"/>
      <c r="QWH392" s="104"/>
      <c r="QWI392" s="109"/>
      <c r="QWJ392" s="104"/>
      <c r="QWK392" s="104"/>
      <c r="QWL392" s="119"/>
      <c r="QWM392" s="104"/>
      <c r="QWN392" s="455"/>
      <c r="QWO392" s="104"/>
      <c r="QWP392" s="104"/>
      <c r="QWQ392" s="109"/>
      <c r="QWR392" s="104"/>
      <c r="QWS392" s="104"/>
      <c r="QWT392" s="119"/>
      <c r="QWU392" s="104"/>
      <c r="QWV392" s="455"/>
      <c r="QWW392" s="104"/>
      <c r="QWX392" s="104"/>
      <c r="QWY392" s="109"/>
      <c r="QWZ392" s="104"/>
      <c r="QXA392" s="104"/>
      <c r="QXB392" s="119"/>
      <c r="QXC392" s="104"/>
      <c r="QXD392" s="455"/>
      <c r="QXE392" s="104"/>
      <c r="QXF392" s="104"/>
      <c r="QXG392" s="109"/>
      <c r="QXH392" s="104"/>
      <c r="QXI392" s="104"/>
      <c r="QXJ392" s="119"/>
      <c r="QXK392" s="104"/>
      <c r="QXL392" s="455"/>
      <c r="QXM392" s="104"/>
      <c r="QXN392" s="104"/>
      <c r="QXO392" s="109"/>
      <c r="QXP392" s="104"/>
      <c r="QXQ392" s="104"/>
      <c r="QXR392" s="119"/>
      <c r="QXS392" s="104"/>
      <c r="QXT392" s="455"/>
      <c r="QXU392" s="104"/>
      <c r="QXV392" s="104"/>
      <c r="QXW392" s="109"/>
      <c r="QXX392" s="104"/>
      <c r="QXY392" s="104"/>
      <c r="QXZ392" s="119"/>
      <c r="QYA392" s="104"/>
      <c r="QYB392" s="455"/>
      <c r="QYC392" s="104"/>
      <c r="QYD392" s="104"/>
      <c r="QYE392" s="109"/>
      <c r="QYF392" s="104"/>
      <c r="QYG392" s="104"/>
      <c r="QYH392" s="119"/>
      <c r="QYI392" s="104"/>
      <c r="QYJ392" s="455"/>
      <c r="QYK392" s="104"/>
      <c r="QYL392" s="104"/>
      <c r="QYM392" s="109"/>
      <c r="QYN392" s="104"/>
      <c r="QYO392" s="104"/>
      <c r="QYP392" s="119"/>
      <c r="QYQ392" s="104"/>
      <c r="QYR392" s="455"/>
      <c r="QYS392" s="104"/>
      <c r="QYT392" s="104"/>
      <c r="QYU392" s="109"/>
      <c r="QYV392" s="104"/>
      <c r="QYW392" s="104"/>
      <c r="QYX392" s="119"/>
      <c r="QYY392" s="104"/>
      <c r="QYZ392" s="455"/>
      <c r="QZA392" s="104"/>
      <c r="QZB392" s="104"/>
      <c r="QZC392" s="109"/>
      <c r="QZD392" s="104"/>
      <c r="QZE392" s="104"/>
      <c r="QZF392" s="119"/>
      <c r="QZG392" s="104"/>
      <c r="QZH392" s="455"/>
      <c r="QZI392" s="104"/>
      <c r="QZJ392" s="104"/>
      <c r="QZK392" s="109"/>
      <c r="QZL392" s="104"/>
      <c r="QZM392" s="104"/>
      <c r="QZN392" s="119"/>
      <c r="QZO392" s="104"/>
      <c r="QZP392" s="455"/>
      <c r="QZQ392" s="104"/>
      <c r="QZR392" s="104"/>
      <c r="QZS392" s="109"/>
      <c r="QZT392" s="104"/>
      <c r="QZU392" s="104"/>
      <c r="QZV392" s="119"/>
      <c r="QZW392" s="104"/>
      <c r="QZX392" s="455"/>
      <c r="QZY392" s="104"/>
      <c r="QZZ392" s="104"/>
      <c r="RAA392" s="109"/>
      <c r="RAB392" s="104"/>
      <c r="RAC392" s="104"/>
      <c r="RAD392" s="119"/>
      <c r="RAE392" s="104"/>
      <c r="RAF392" s="455"/>
      <c r="RAG392" s="104"/>
      <c r="RAH392" s="104"/>
      <c r="RAI392" s="109"/>
      <c r="RAJ392" s="104"/>
      <c r="RAK392" s="104"/>
      <c r="RAL392" s="119"/>
      <c r="RAM392" s="104"/>
      <c r="RAN392" s="455"/>
      <c r="RAO392" s="104"/>
      <c r="RAP392" s="104"/>
      <c r="RAQ392" s="109"/>
      <c r="RAR392" s="104"/>
      <c r="RAS392" s="104"/>
      <c r="RAT392" s="119"/>
      <c r="RAU392" s="104"/>
      <c r="RAV392" s="455"/>
      <c r="RAW392" s="104"/>
      <c r="RAX392" s="104"/>
      <c r="RAY392" s="109"/>
      <c r="RAZ392" s="104"/>
      <c r="RBA392" s="104"/>
      <c r="RBB392" s="119"/>
      <c r="RBC392" s="104"/>
      <c r="RBD392" s="455"/>
      <c r="RBE392" s="104"/>
      <c r="RBF392" s="104"/>
      <c r="RBG392" s="109"/>
      <c r="RBH392" s="104"/>
      <c r="RBI392" s="104"/>
      <c r="RBJ392" s="119"/>
      <c r="RBK392" s="104"/>
      <c r="RBL392" s="455"/>
      <c r="RBM392" s="104"/>
      <c r="RBN392" s="104"/>
      <c r="RBO392" s="109"/>
      <c r="RBP392" s="104"/>
      <c r="RBQ392" s="104"/>
      <c r="RBR392" s="119"/>
      <c r="RBS392" s="104"/>
      <c r="RBT392" s="455"/>
      <c r="RBU392" s="104"/>
      <c r="RBV392" s="104"/>
      <c r="RBW392" s="109"/>
      <c r="RBX392" s="104"/>
      <c r="RBY392" s="104"/>
      <c r="RBZ392" s="119"/>
      <c r="RCA392" s="104"/>
      <c r="RCB392" s="455"/>
      <c r="RCC392" s="104"/>
      <c r="RCD392" s="104"/>
      <c r="RCE392" s="109"/>
      <c r="RCF392" s="104"/>
      <c r="RCG392" s="104"/>
      <c r="RCH392" s="119"/>
      <c r="RCI392" s="104"/>
      <c r="RCJ392" s="455"/>
      <c r="RCK392" s="104"/>
      <c r="RCL392" s="104"/>
      <c r="RCM392" s="109"/>
      <c r="RCN392" s="104"/>
      <c r="RCO392" s="104"/>
      <c r="RCP392" s="119"/>
      <c r="RCQ392" s="104"/>
      <c r="RCR392" s="455"/>
      <c r="RCS392" s="104"/>
      <c r="RCT392" s="104"/>
      <c r="RCU392" s="109"/>
      <c r="RCV392" s="104"/>
      <c r="RCW392" s="104"/>
      <c r="RCX392" s="119"/>
      <c r="RCY392" s="104"/>
      <c r="RCZ392" s="455"/>
      <c r="RDA392" s="104"/>
      <c r="RDB392" s="104"/>
      <c r="RDC392" s="109"/>
      <c r="RDD392" s="104"/>
      <c r="RDE392" s="104"/>
      <c r="RDF392" s="119"/>
      <c r="RDG392" s="104"/>
      <c r="RDH392" s="455"/>
      <c r="RDI392" s="104"/>
      <c r="RDJ392" s="104"/>
      <c r="RDK392" s="109"/>
      <c r="RDL392" s="104"/>
      <c r="RDM392" s="104"/>
      <c r="RDN392" s="119"/>
      <c r="RDO392" s="104"/>
      <c r="RDP392" s="455"/>
      <c r="RDQ392" s="104"/>
      <c r="RDR392" s="104"/>
      <c r="RDS392" s="109"/>
      <c r="RDT392" s="104"/>
      <c r="RDU392" s="104"/>
      <c r="RDV392" s="119"/>
      <c r="RDW392" s="104"/>
      <c r="RDX392" s="455"/>
      <c r="RDY392" s="104"/>
      <c r="RDZ392" s="104"/>
      <c r="REA392" s="109"/>
      <c r="REB392" s="104"/>
      <c r="REC392" s="104"/>
      <c r="RED392" s="119"/>
      <c r="REE392" s="104"/>
      <c r="REF392" s="455"/>
      <c r="REG392" s="104"/>
      <c r="REH392" s="104"/>
      <c r="REI392" s="109"/>
      <c r="REJ392" s="104"/>
      <c r="REK392" s="104"/>
      <c r="REL392" s="119"/>
      <c r="REM392" s="104"/>
      <c r="REN392" s="455"/>
      <c r="REO392" s="104"/>
      <c r="REP392" s="104"/>
      <c r="REQ392" s="109"/>
      <c r="RER392" s="104"/>
      <c r="RES392" s="104"/>
      <c r="RET392" s="119"/>
      <c r="REU392" s="104"/>
      <c r="REV392" s="455"/>
      <c r="REW392" s="104"/>
      <c r="REX392" s="104"/>
      <c r="REY392" s="109"/>
      <c r="REZ392" s="104"/>
      <c r="RFA392" s="104"/>
      <c r="RFB392" s="119"/>
      <c r="RFC392" s="104"/>
      <c r="RFD392" s="455"/>
      <c r="RFE392" s="104"/>
      <c r="RFF392" s="104"/>
      <c r="RFG392" s="109"/>
      <c r="RFH392" s="104"/>
      <c r="RFI392" s="104"/>
      <c r="RFJ392" s="119"/>
      <c r="RFK392" s="104"/>
      <c r="RFL392" s="455"/>
      <c r="RFM392" s="104"/>
      <c r="RFN392" s="104"/>
      <c r="RFO392" s="109"/>
      <c r="RFP392" s="104"/>
      <c r="RFQ392" s="104"/>
      <c r="RFR392" s="119"/>
      <c r="RFS392" s="104"/>
      <c r="RFT392" s="455"/>
      <c r="RFU392" s="104"/>
      <c r="RFV392" s="104"/>
      <c r="RFW392" s="109"/>
      <c r="RFX392" s="104"/>
      <c r="RFY392" s="104"/>
      <c r="RFZ392" s="119"/>
      <c r="RGA392" s="104"/>
      <c r="RGB392" s="455"/>
      <c r="RGC392" s="104"/>
      <c r="RGD392" s="104"/>
      <c r="RGE392" s="109"/>
      <c r="RGF392" s="104"/>
      <c r="RGG392" s="104"/>
      <c r="RGH392" s="119"/>
      <c r="RGI392" s="104"/>
      <c r="RGJ392" s="455"/>
      <c r="RGK392" s="104"/>
      <c r="RGL392" s="104"/>
      <c r="RGM392" s="109"/>
      <c r="RGN392" s="104"/>
      <c r="RGO392" s="104"/>
      <c r="RGP392" s="119"/>
      <c r="RGQ392" s="104"/>
      <c r="RGR392" s="455"/>
      <c r="RGS392" s="104"/>
      <c r="RGT392" s="104"/>
      <c r="RGU392" s="109"/>
      <c r="RGV392" s="104"/>
      <c r="RGW392" s="104"/>
      <c r="RGX392" s="119"/>
      <c r="RGY392" s="104"/>
      <c r="RGZ392" s="455"/>
      <c r="RHA392" s="104"/>
      <c r="RHB392" s="104"/>
      <c r="RHC392" s="109"/>
      <c r="RHD392" s="104"/>
      <c r="RHE392" s="104"/>
      <c r="RHF392" s="119"/>
      <c r="RHG392" s="104"/>
      <c r="RHH392" s="455"/>
      <c r="RHI392" s="104"/>
      <c r="RHJ392" s="104"/>
      <c r="RHK392" s="109"/>
      <c r="RHL392" s="104"/>
      <c r="RHM392" s="104"/>
      <c r="RHN392" s="119"/>
      <c r="RHO392" s="104"/>
      <c r="RHP392" s="455"/>
      <c r="RHQ392" s="104"/>
      <c r="RHR392" s="104"/>
      <c r="RHS392" s="109"/>
      <c r="RHT392" s="104"/>
      <c r="RHU392" s="104"/>
      <c r="RHV392" s="119"/>
      <c r="RHW392" s="104"/>
      <c r="RHX392" s="455"/>
      <c r="RHY392" s="104"/>
      <c r="RHZ392" s="104"/>
      <c r="RIA392" s="109"/>
      <c r="RIB392" s="104"/>
      <c r="RIC392" s="104"/>
      <c r="RID392" s="119"/>
      <c r="RIE392" s="104"/>
      <c r="RIF392" s="455"/>
      <c r="RIG392" s="104"/>
      <c r="RIH392" s="104"/>
      <c r="RII392" s="109"/>
      <c r="RIJ392" s="104"/>
      <c r="RIK392" s="104"/>
      <c r="RIL392" s="119"/>
      <c r="RIM392" s="104"/>
      <c r="RIN392" s="455"/>
      <c r="RIO392" s="104"/>
      <c r="RIP392" s="104"/>
      <c r="RIQ392" s="109"/>
      <c r="RIR392" s="104"/>
      <c r="RIS392" s="104"/>
      <c r="RIT392" s="119"/>
      <c r="RIU392" s="104"/>
      <c r="RIV392" s="455"/>
      <c r="RIW392" s="104"/>
      <c r="RIX392" s="104"/>
      <c r="RIY392" s="109"/>
      <c r="RIZ392" s="104"/>
      <c r="RJA392" s="104"/>
      <c r="RJB392" s="119"/>
      <c r="RJC392" s="104"/>
      <c r="RJD392" s="455"/>
      <c r="RJE392" s="104"/>
      <c r="RJF392" s="104"/>
      <c r="RJG392" s="109"/>
      <c r="RJH392" s="104"/>
      <c r="RJI392" s="104"/>
      <c r="RJJ392" s="119"/>
      <c r="RJK392" s="104"/>
      <c r="RJL392" s="455"/>
      <c r="RJM392" s="104"/>
      <c r="RJN392" s="104"/>
      <c r="RJO392" s="109"/>
      <c r="RJP392" s="104"/>
      <c r="RJQ392" s="104"/>
      <c r="RJR392" s="119"/>
      <c r="RJS392" s="104"/>
      <c r="RJT392" s="455"/>
      <c r="RJU392" s="104"/>
      <c r="RJV392" s="104"/>
      <c r="RJW392" s="109"/>
      <c r="RJX392" s="104"/>
      <c r="RJY392" s="104"/>
      <c r="RJZ392" s="119"/>
      <c r="RKA392" s="104"/>
      <c r="RKB392" s="455"/>
      <c r="RKC392" s="104"/>
      <c r="RKD392" s="104"/>
      <c r="RKE392" s="109"/>
      <c r="RKF392" s="104"/>
      <c r="RKG392" s="104"/>
      <c r="RKH392" s="119"/>
      <c r="RKI392" s="104"/>
      <c r="RKJ392" s="455"/>
      <c r="RKK392" s="104"/>
      <c r="RKL392" s="104"/>
      <c r="RKM392" s="109"/>
      <c r="RKN392" s="104"/>
      <c r="RKO392" s="104"/>
      <c r="RKP392" s="119"/>
      <c r="RKQ392" s="104"/>
      <c r="RKR392" s="455"/>
      <c r="RKS392" s="104"/>
      <c r="RKT392" s="104"/>
      <c r="RKU392" s="109"/>
      <c r="RKV392" s="104"/>
      <c r="RKW392" s="104"/>
      <c r="RKX392" s="119"/>
      <c r="RKY392" s="104"/>
      <c r="RKZ392" s="455"/>
      <c r="RLA392" s="104"/>
      <c r="RLB392" s="104"/>
      <c r="RLC392" s="109"/>
      <c r="RLD392" s="104"/>
      <c r="RLE392" s="104"/>
      <c r="RLF392" s="119"/>
      <c r="RLG392" s="104"/>
      <c r="RLH392" s="455"/>
      <c r="RLI392" s="104"/>
      <c r="RLJ392" s="104"/>
      <c r="RLK392" s="109"/>
      <c r="RLL392" s="104"/>
      <c r="RLM392" s="104"/>
      <c r="RLN392" s="119"/>
      <c r="RLO392" s="104"/>
      <c r="RLP392" s="455"/>
      <c r="RLQ392" s="104"/>
      <c r="RLR392" s="104"/>
      <c r="RLS392" s="109"/>
      <c r="RLT392" s="104"/>
      <c r="RLU392" s="104"/>
      <c r="RLV392" s="119"/>
      <c r="RLW392" s="104"/>
      <c r="RLX392" s="455"/>
      <c r="RLY392" s="104"/>
      <c r="RLZ392" s="104"/>
      <c r="RMA392" s="109"/>
      <c r="RMB392" s="104"/>
      <c r="RMC392" s="104"/>
      <c r="RMD392" s="119"/>
      <c r="RME392" s="104"/>
      <c r="RMF392" s="455"/>
      <c r="RMG392" s="104"/>
      <c r="RMH392" s="104"/>
      <c r="RMI392" s="109"/>
      <c r="RMJ392" s="104"/>
      <c r="RMK392" s="104"/>
      <c r="RML392" s="119"/>
      <c r="RMM392" s="104"/>
      <c r="RMN392" s="455"/>
      <c r="RMO392" s="104"/>
      <c r="RMP392" s="104"/>
      <c r="RMQ392" s="109"/>
      <c r="RMR392" s="104"/>
      <c r="RMS392" s="104"/>
      <c r="RMT392" s="119"/>
      <c r="RMU392" s="104"/>
      <c r="RMV392" s="455"/>
      <c r="RMW392" s="104"/>
      <c r="RMX392" s="104"/>
      <c r="RMY392" s="109"/>
      <c r="RMZ392" s="104"/>
      <c r="RNA392" s="104"/>
      <c r="RNB392" s="119"/>
      <c r="RNC392" s="104"/>
      <c r="RND392" s="455"/>
      <c r="RNE392" s="104"/>
      <c r="RNF392" s="104"/>
      <c r="RNG392" s="109"/>
      <c r="RNH392" s="104"/>
      <c r="RNI392" s="104"/>
      <c r="RNJ392" s="119"/>
      <c r="RNK392" s="104"/>
      <c r="RNL392" s="455"/>
      <c r="RNM392" s="104"/>
      <c r="RNN392" s="104"/>
      <c r="RNO392" s="109"/>
      <c r="RNP392" s="104"/>
      <c r="RNQ392" s="104"/>
      <c r="RNR392" s="119"/>
      <c r="RNS392" s="104"/>
      <c r="RNT392" s="455"/>
      <c r="RNU392" s="104"/>
      <c r="RNV392" s="104"/>
      <c r="RNW392" s="109"/>
      <c r="RNX392" s="104"/>
      <c r="RNY392" s="104"/>
      <c r="RNZ392" s="119"/>
      <c r="ROA392" s="104"/>
      <c r="ROB392" s="455"/>
      <c r="ROC392" s="104"/>
      <c r="ROD392" s="104"/>
      <c r="ROE392" s="109"/>
      <c r="ROF392" s="104"/>
      <c r="ROG392" s="104"/>
      <c r="ROH392" s="119"/>
      <c r="ROI392" s="104"/>
      <c r="ROJ392" s="455"/>
      <c r="ROK392" s="104"/>
      <c r="ROL392" s="104"/>
      <c r="ROM392" s="109"/>
      <c r="RON392" s="104"/>
      <c r="ROO392" s="104"/>
      <c r="ROP392" s="119"/>
      <c r="ROQ392" s="104"/>
      <c r="ROR392" s="455"/>
      <c r="ROS392" s="104"/>
      <c r="ROT392" s="104"/>
      <c r="ROU392" s="109"/>
      <c r="ROV392" s="104"/>
      <c r="ROW392" s="104"/>
      <c r="ROX392" s="119"/>
      <c r="ROY392" s="104"/>
      <c r="ROZ392" s="455"/>
      <c r="RPA392" s="104"/>
      <c r="RPB392" s="104"/>
      <c r="RPC392" s="109"/>
      <c r="RPD392" s="104"/>
      <c r="RPE392" s="104"/>
      <c r="RPF392" s="119"/>
      <c r="RPG392" s="104"/>
      <c r="RPH392" s="455"/>
      <c r="RPI392" s="104"/>
      <c r="RPJ392" s="104"/>
      <c r="RPK392" s="109"/>
      <c r="RPL392" s="104"/>
      <c r="RPM392" s="104"/>
      <c r="RPN392" s="119"/>
      <c r="RPO392" s="104"/>
      <c r="RPP392" s="455"/>
      <c r="RPQ392" s="104"/>
      <c r="RPR392" s="104"/>
      <c r="RPS392" s="109"/>
      <c r="RPT392" s="104"/>
      <c r="RPU392" s="104"/>
      <c r="RPV392" s="119"/>
      <c r="RPW392" s="104"/>
      <c r="RPX392" s="455"/>
      <c r="RPY392" s="104"/>
      <c r="RPZ392" s="104"/>
      <c r="RQA392" s="109"/>
      <c r="RQB392" s="104"/>
      <c r="RQC392" s="104"/>
      <c r="RQD392" s="119"/>
      <c r="RQE392" s="104"/>
      <c r="RQF392" s="455"/>
      <c r="RQG392" s="104"/>
      <c r="RQH392" s="104"/>
      <c r="RQI392" s="109"/>
      <c r="RQJ392" s="104"/>
      <c r="RQK392" s="104"/>
      <c r="RQL392" s="119"/>
      <c r="RQM392" s="104"/>
      <c r="RQN392" s="455"/>
      <c r="RQO392" s="104"/>
      <c r="RQP392" s="104"/>
      <c r="RQQ392" s="109"/>
      <c r="RQR392" s="104"/>
      <c r="RQS392" s="104"/>
      <c r="RQT392" s="119"/>
      <c r="RQU392" s="104"/>
      <c r="RQV392" s="455"/>
      <c r="RQW392" s="104"/>
      <c r="RQX392" s="104"/>
      <c r="RQY392" s="109"/>
      <c r="RQZ392" s="104"/>
      <c r="RRA392" s="104"/>
      <c r="RRB392" s="119"/>
      <c r="RRC392" s="104"/>
      <c r="RRD392" s="455"/>
      <c r="RRE392" s="104"/>
      <c r="RRF392" s="104"/>
      <c r="RRG392" s="109"/>
      <c r="RRH392" s="104"/>
      <c r="RRI392" s="104"/>
      <c r="RRJ392" s="119"/>
      <c r="RRK392" s="104"/>
      <c r="RRL392" s="455"/>
      <c r="RRM392" s="104"/>
      <c r="RRN392" s="104"/>
      <c r="RRO392" s="109"/>
      <c r="RRP392" s="104"/>
      <c r="RRQ392" s="104"/>
      <c r="RRR392" s="119"/>
      <c r="RRS392" s="104"/>
      <c r="RRT392" s="455"/>
      <c r="RRU392" s="104"/>
      <c r="RRV392" s="104"/>
      <c r="RRW392" s="109"/>
      <c r="RRX392" s="104"/>
      <c r="RRY392" s="104"/>
      <c r="RRZ392" s="119"/>
      <c r="RSA392" s="104"/>
      <c r="RSB392" s="455"/>
      <c r="RSC392" s="104"/>
      <c r="RSD392" s="104"/>
      <c r="RSE392" s="109"/>
      <c r="RSF392" s="104"/>
      <c r="RSG392" s="104"/>
      <c r="RSH392" s="119"/>
      <c r="RSI392" s="104"/>
      <c r="RSJ392" s="455"/>
      <c r="RSK392" s="104"/>
      <c r="RSL392" s="104"/>
      <c r="RSM392" s="109"/>
      <c r="RSN392" s="104"/>
      <c r="RSO392" s="104"/>
      <c r="RSP392" s="119"/>
      <c r="RSQ392" s="104"/>
      <c r="RSR392" s="455"/>
      <c r="RSS392" s="104"/>
      <c r="RST392" s="104"/>
      <c r="RSU392" s="109"/>
      <c r="RSV392" s="104"/>
      <c r="RSW392" s="104"/>
      <c r="RSX392" s="119"/>
      <c r="RSY392" s="104"/>
      <c r="RSZ392" s="455"/>
      <c r="RTA392" s="104"/>
      <c r="RTB392" s="104"/>
      <c r="RTC392" s="109"/>
      <c r="RTD392" s="104"/>
      <c r="RTE392" s="104"/>
      <c r="RTF392" s="119"/>
      <c r="RTG392" s="104"/>
      <c r="RTH392" s="455"/>
      <c r="RTI392" s="104"/>
      <c r="RTJ392" s="104"/>
      <c r="RTK392" s="109"/>
      <c r="RTL392" s="104"/>
      <c r="RTM392" s="104"/>
      <c r="RTN392" s="119"/>
      <c r="RTO392" s="104"/>
      <c r="RTP392" s="455"/>
      <c r="RTQ392" s="104"/>
      <c r="RTR392" s="104"/>
      <c r="RTS392" s="109"/>
      <c r="RTT392" s="104"/>
      <c r="RTU392" s="104"/>
      <c r="RTV392" s="119"/>
      <c r="RTW392" s="104"/>
      <c r="RTX392" s="455"/>
      <c r="RTY392" s="104"/>
      <c r="RTZ392" s="104"/>
      <c r="RUA392" s="109"/>
      <c r="RUB392" s="104"/>
      <c r="RUC392" s="104"/>
      <c r="RUD392" s="119"/>
      <c r="RUE392" s="104"/>
      <c r="RUF392" s="455"/>
      <c r="RUG392" s="104"/>
      <c r="RUH392" s="104"/>
      <c r="RUI392" s="109"/>
      <c r="RUJ392" s="104"/>
      <c r="RUK392" s="104"/>
      <c r="RUL392" s="119"/>
      <c r="RUM392" s="104"/>
      <c r="RUN392" s="455"/>
      <c r="RUO392" s="104"/>
      <c r="RUP392" s="104"/>
      <c r="RUQ392" s="109"/>
      <c r="RUR392" s="104"/>
      <c r="RUS392" s="104"/>
      <c r="RUT392" s="119"/>
      <c r="RUU392" s="104"/>
      <c r="RUV392" s="455"/>
      <c r="RUW392" s="104"/>
      <c r="RUX392" s="104"/>
      <c r="RUY392" s="109"/>
      <c r="RUZ392" s="104"/>
      <c r="RVA392" s="104"/>
      <c r="RVB392" s="119"/>
      <c r="RVC392" s="104"/>
      <c r="RVD392" s="455"/>
      <c r="RVE392" s="104"/>
      <c r="RVF392" s="104"/>
      <c r="RVG392" s="109"/>
      <c r="RVH392" s="104"/>
      <c r="RVI392" s="104"/>
      <c r="RVJ392" s="119"/>
      <c r="RVK392" s="104"/>
      <c r="RVL392" s="455"/>
      <c r="RVM392" s="104"/>
      <c r="RVN392" s="104"/>
      <c r="RVO392" s="109"/>
      <c r="RVP392" s="104"/>
      <c r="RVQ392" s="104"/>
      <c r="RVR392" s="119"/>
      <c r="RVS392" s="104"/>
      <c r="RVT392" s="455"/>
      <c r="RVU392" s="104"/>
      <c r="RVV392" s="104"/>
      <c r="RVW392" s="109"/>
      <c r="RVX392" s="104"/>
      <c r="RVY392" s="104"/>
      <c r="RVZ392" s="119"/>
      <c r="RWA392" s="104"/>
      <c r="RWB392" s="455"/>
      <c r="RWC392" s="104"/>
      <c r="RWD392" s="104"/>
      <c r="RWE392" s="109"/>
      <c r="RWF392" s="104"/>
      <c r="RWG392" s="104"/>
      <c r="RWH392" s="119"/>
      <c r="RWI392" s="104"/>
      <c r="RWJ392" s="455"/>
      <c r="RWK392" s="104"/>
      <c r="RWL392" s="104"/>
      <c r="RWM392" s="109"/>
      <c r="RWN392" s="104"/>
      <c r="RWO392" s="104"/>
      <c r="RWP392" s="119"/>
      <c r="RWQ392" s="104"/>
      <c r="RWR392" s="455"/>
      <c r="RWS392" s="104"/>
      <c r="RWT392" s="104"/>
      <c r="RWU392" s="109"/>
      <c r="RWV392" s="104"/>
      <c r="RWW392" s="104"/>
      <c r="RWX392" s="119"/>
      <c r="RWY392" s="104"/>
      <c r="RWZ392" s="455"/>
      <c r="RXA392" s="104"/>
      <c r="RXB392" s="104"/>
      <c r="RXC392" s="109"/>
      <c r="RXD392" s="104"/>
      <c r="RXE392" s="104"/>
      <c r="RXF392" s="119"/>
      <c r="RXG392" s="104"/>
      <c r="RXH392" s="455"/>
      <c r="RXI392" s="104"/>
      <c r="RXJ392" s="104"/>
      <c r="RXK392" s="109"/>
      <c r="RXL392" s="104"/>
      <c r="RXM392" s="104"/>
      <c r="RXN392" s="119"/>
      <c r="RXO392" s="104"/>
      <c r="RXP392" s="455"/>
      <c r="RXQ392" s="104"/>
      <c r="RXR392" s="104"/>
      <c r="RXS392" s="109"/>
      <c r="RXT392" s="104"/>
      <c r="RXU392" s="104"/>
      <c r="RXV392" s="119"/>
      <c r="RXW392" s="104"/>
      <c r="RXX392" s="455"/>
      <c r="RXY392" s="104"/>
      <c r="RXZ392" s="104"/>
      <c r="RYA392" s="109"/>
      <c r="RYB392" s="104"/>
      <c r="RYC392" s="104"/>
      <c r="RYD392" s="119"/>
      <c r="RYE392" s="104"/>
      <c r="RYF392" s="455"/>
      <c r="RYG392" s="104"/>
      <c r="RYH392" s="104"/>
      <c r="RYI392" s="109"/>
      <c r="RYJ392" s="104"/>
      <c r="RYK392" s="104"/>
      <c r="RYL392" s="119"/>
      <c r="RYM392" s="104"/>
      <c r="RYN392" s="455"/>
      <c r="RYO392" s="104"/>
      <c r="RYP392" s="104"/>
      <c r="RYQ392" s="109"/>
      <c r="RYR392" s="104"/>
      <c r="RYS392" s="104"/>
      <c r="RYT392" s="119"/>
      <c r="RYU392" s="104"/>
      <c r="RYV392" s="455"/>
      <c r="RYW392" s="104"/>
      <c r="RYX392" s="104"/>
      <c r="RYY392" s="109"/>
      <c r="RYZ392" s="104"/>
      <c r="RZA392" s="104"/>
      <c r="RZB392" s="119"/>
      <c r="RZC392" s="104"/>
      <c r="RZD392" s="455"/>
      <c r="RZE392" s="104"/>
      <c r="RZF392" s="104"/>
      <c r="RZG392" s="109"/>
      <c r="RZH392" s="104"/>
      <c r="RZI392" s="104"/>
      <c r="RZJ392" s="119"/>
      <c r="RZK392" s="104"/>
      <c r="RZL392" s="455"/>
      <c r="RZM392" s="104"/>
      <c r="RZN392" s="104"/>
      <c r="RZO392" s="109"/>
      <c r="RZP392" s="104"/>
      <c r="RZQ392" s="104"/>
      <c r="RZR392" s="119"/>
      <c r="RZS392" s="104"/>
      <c r="RZT392" s="455"/>
      <c r="RZU392" s="104"/>
      <c r="RZV392" s="104"/>
      <c r="RZW392" s="109"/>
      <c r="RZX392" s="104"/>
      <c r="RZY392" s="104"/>
      <c r="RZZ392" s="119"/>
      <c r="SAA392" s="104"/>
      <c r="SAB392" s="455"/>
      <c r="SAC392" s="104"/>
      <c r="SAD392" s="104"/>
      <c r="SAE392" s="109"/>
      <c r="SAF392" s="104"/>
      <c r="SAG392" s="104"/>
      <c r="SAH392" s="119"/>
      <c r="SAI392" s="104"/>
      <c r="SAJ392" s="455"/>
      <c r="SAK392" s="104"/>
      <c r="SAL392" s="104"/>
      <c r="SAM392" s="109"/>
      <c r="SAN392" s="104"/>
      <c r="SAO392" s="104"/>
      <c r="SAP392" s="119"/>
      <c r="SAQ392" s="104"/>
      <c r="SAR392" s="455"/>
      <c r="SAS392" s="104"/>
      <c r="SAT392" s="104"/>
      <c r="SAU392" s="109"/>
      <c r="SAV392" s="104"/>
      <c r="SAW392" s="104"/>
      <c r="SAX392" s="119"/>
      <c r="SAY392" s="104"/>
      <c r="SAZ392" s="455"/>
      <c r="SBA392" s="104"/>
      <c r="SBB392" s="104"/>
      <c r="SBC392" s="109"/>
      <c r="SBD392" s="104"/>
      <c r="SBE392" s="104"/>
      <c r="SBF392" s="119"/>
      <c r="SBG392" s="104"/>
      <c r="SBH392" s="455"/>
      <c r="SBI392" s="104"/>
      <c r="SBJ392" s="104"/>
      <c r="SBK392" s="109"/>
      <c r="SBL392" s="104"/>
      <c r="SBM392" s="104"/>
      <c r="SBN392" s="119"/>
      <c r="SBO392" s="104"/>
      <c r="SBP392" s="455"/>
      <c r="SBQ392" s="104"/>
      <c r="SBR392" s="104"/>
      <c r="SBS392" s="109"/>
      <c r="SBT392" s="104"/>
      <c r="SBU392" s="104"/>
      <c r="SBV392" s="119"/>
      <c r="SBW392" s="104"/>
      <c r="SBX392" s="455"/>
      <c r="SBY392" s="104"/>
      <c r="SBZ392" s="104"/>
      <c r="SCA392" s="109"/>
      <c r="SCB392" s="104"/>
      <c r="SCC392" s="104"/>
      <c r="SCD392" s="119"/>
      <c r="SCE392" s="104"/>
      <c r="SCF392" s="455"/>
      <c r="SCG392" s="104"/>
      <c r="SCH392" s="104"/>
      <c r="SCI392" s="109"/>
      <c r="SCJ392" s="104"/>
      <c r="SCK392" s="104"/>
      <c r="SCL392" s="119"/>
      <c r="SCM392" s="104"/>
      <c r="SCN392" s="455"/>
      <c r="SCO392" s="104"/>
      <c r="SCP392" s="104"/>
      <c r="SCQ392" s="109"/>
      <c r="SCR392" s="104"/>
      <c r="SCS392" s="104"/>
      <c r="SCT392" s="119"/>
      <c r="SCU392" s="104"/>
      <c r="SCV392" s="455"/>
      <c r="SCW392" s="104"/>
      <c r="SCX392" s="104"/>
      <c r="SCY392" s="109"/>
      <c r="SCZ392" s="104"/>
      <c r="SDA392" s="104"/>
      <c r="SDB392" s="119"/>
      <c r="SDC392" s="104"/>
      <c r="SDD392" s="455"/>
      <c r="SDE392" s="104"/>
      <c r="SDF392" s="104"/>
      <c r="SDG392" s="109"/>
      <c r="SDH392" s="104"/>
      <c r="SDI392" s="104"/>
      <c r="SDJ392" s="119"/>
      <c r="SDK392" s="104"/>
      <c r="SDL392" s="455"/>
      <c r="SDM392" s="104"/>
      <c r="SDN392" s="104"/>
      <c r="SDO392" s="109"/>
      <c r="SDP392" s="104"/>
      <c r="SDQ392" s="104"/>
      <c r="SDR392" s="119"/>
      <c r="SDS392" s="104"/>
      <c r="SDT392" s="455"/>
      <c r="SDU392" s="104"/>
      <c r="SDV392" s="104"/>
      <c r="SDW392" s="109"/>
      <c r="SDX392" s="104"/>
      <c r="SDY392" s="104"/>
      <c r="SDZ392" s="119"/>
      <c r="SEA392" s="104"/>
      <c r="SEB392" s="455"/>
      <c r="SEC392" s="104"/>
      <c r="SED392" s="104"/>
      <c r="SEE392" s="109"/>
      <c r="SEF392" s="104"/>
      <c r="SEG392" s="104"/>
      <c r="SEH392" s="119"/>
      <c r="SEI392" s="104"/>
      <c r="SEJ392" s="455"/>
      <c r="SEK392" s="104"/>
      <c r="SEL392" s="104"/>
      <c r="SEM392" s="109"/>
      <c r="SEN392" s="104"/>
      <c r="SEO392" s="104"/>
      <c r="SEP392" s="119"/>
      <c r="SEQ392" s="104"/>
      <c r="SER392" s="455"/>
      <c r="SES392" s="104"/>
      <c r="SET392" s="104"/>
      <c r="SEU392" s="109"/>
      <c r="SEV392" s="104"/>
      <c r="SEW392" s="104"/>
      <c r="SEX392" s="119"/>
      <c r="SEY392" s="104"/>
      <c r="SEZ392" s="455"/>
      <c r="SFA392" s="104"/>
      <c r="SFB392" s="104"/>
      <c r="SFC392" s="109"/>
      <c r="SFD392" s="104"/>
      <c r="SFE392" s="104"/>
      <c r="SFF392" s="119"/>
      <c r="SFG392" s="104"/>
      <c r="SFH392" s="455"/>
      <c r="SFI392" s="104"/>
      <c r="SFJ392" s="104"/>
      <c r="SFK392" s="109"/>
      <c r="SFL392" s="104"/>
      <c r="SFM392" s="104"/>
      <c r="SFN392" s="119"/>
      <c r="SFO392" s="104"/>
      <c r="SFP392" s="455"/>
      <c r="SFQ392" s="104"/>
      <c r="SFR392" s="104"/>
      <c r="SFS392" s="109"/>
      <c r="SFT392" s="104"/>
      <c r="SFU392" s="104"/>
      <c r="SFV392" s="119"/>
      <c r="SFW392" s="104"/>
      <c r="SFX392" s="455"/>
      <c r="SFY392" s="104"/>
      <c r="SFZ392" s="104"/>
      <c r="SGA392" s="109"/>
      <c r="SGB392" s="104"/>
      <c r="SGC392" s="104"/>
      <c r="SGD392" s="119"/>
      <c r="SGE392" s="104"/>
      <c r="SGF392" s="455"/>
      <c r="SGG392" s="104"/>
      <c r="SGH392" s="104"/>
      <c r="SGI392" s="109"/>
      <c r="SGJ392" s="104"/>
      <c r="SGK392" s="104"/>
      <c r="SGL392" s="119"/>
      <c r="SGM392" s="104"/>
      <c r="SGN392" s="455"/>
      <c r="SGO392" s="104"/>
      <c r="SGP392" s="104"/>
      <c r="SGQ392" s="109"/>
      <c r="SGR392" s="104"/>
      <c r="SGS392" s="104"/>
      <c r="SGT392" s="119"/>
      <c r="SGU392" s="104"/>
      <c r="SGV392" s="455"/>
      <c r="SGW392" s="104"/>
      <c r="SGX392" s="104"/>
      <c r="SGY392" s="109"/>
      <c r="SGZ392" s="104"/>
      <c r="SHA392" s="104"/>
      <c r="SHB392" s="119"/>
      <c r="SHC392" s="104"/>
      <c r="SHD392" s="455"/>
      <c r="SHE392" s="104"/>
      <c r="SHF392" s="104"/>
      <c r="SHG392" s="109"/>
      <c r="SHH392" s="104"/>
      <c r="SHI392" s="104"/>
      <c r="SHJ392" s="119"/>
      <c r="SHK392" s="104"/>
      <c r="SHL392" s="455"/>
      <c r="SHM392" s="104"/>
      <c r="SHN392" s="104"/>
      <c r="SHO392" s="109"/>
      <c r="SHP392" s="104"/>
      <c r="SHQ392" s="104"/>
      <c r="SHR392" s="119"/>
      <c r="SHS392" s="104"/>
      <c r="SHT392" s="455"/>
      <c r="SHU392" s="104"/>
      <c r="SHV392" s="104"/>
      <c r="SHW392" s="109"/>
      <c r="SHX392" s="104"/>
      <c r="SHY392" s="104"/>
      <c r="SHZ392" s="119"/>
      <c r="SIA392" s="104"/>
      <c r="SIB392" s="455"/>
      <c r="SIC392" s="104"/>
      <c r="SID392" s="104"/>
      <c r="SIE392" s="109"/>
      <c r="SIF392" s="104"/>
      <c r="SIG392" s="104"/>
      <c r="SIH392" s="119"/>
      <c r="SII392" s="104"/>
      <c r="SIJ392" s="455"/>
      <c r="SIK392" s="104"/>
      <c r="SIL392" s="104"/>
      <c r="SIM392" s="109"/>
      <c r="SIN392" s="104"/>
      <c r="SIO392" s="104"/>
      <c r="SIP392" s="119"/>
      <c r="SIQ392" s="104"/>
      <c r="SIR392" s="455"/>
      <c r="SIS392" s="104"/>
      <c r="SIT392" s="104"/>
      <c r="SIU392" s="109"/>
      <c r="SIV392" s="104"/>
      <c r="SIW392" s="104"/>
      <c r="SIX392" s="119"/>
      <c r="SIY392" s="104"/>
      <c r="SIZ392" s="455"/>
      <c r="SJA392" s="104"/>
      <c r="SJB392" s="104"/>
      <c r="SJC392" s="109"/>
      <c r="SJD392" s="104"/>
      <c r="SJE392" s="104"/>
      <c r="SJF392" s="119"/>
      <c r="SJG392" s="104"/>
      <c r="SJH392" s="455"/>
      <c r="SJI392" s="104"/>
      <c r="SJJ392" s="104"/>
      <c r="SJK392" s="109"/>
      <c r="SJL392" s="104"/>
      <c r="SJM392" s="104"/>
      <c r="SJN392" s="119"/>
      <c r="SJO392" s="104"/>
      <c r="SJP392" s="455"/>
      <c r="SJQ392" s="104"/>
      <c r="SJR392" s="104"/>
      <c r="SJS392" s="109"/>
      <c r="SJT392" s="104"/>
      <c r="SJU392" s="104"/>
      <c r="SJV392" s="119"/>
      <c r="SJW392" s="104"/>
      <c r="SJX392" s="455"/>
      <c r="SJY392" s="104"/>
      <c r="SJZ392" s="104"/>
      <c r="SKA392" s="109"/>
      <c r="SKB392" s="104"/>
      <c r="SKC392" s="104"/>
      <c r="SKD392" s="119"/>
      <c r="SKE392" s="104"/>
      <c r="SKF392" s="455"/>
      <c r="SKG392" s="104"/>
      <c r="SKH392" s="104"/>
      <c r="SKI392" s="109"/>
      <c r="SKJ392" s="104"/>
      <c r="SKK392" s="104"/>
      <c r="SKL392" s="119"/>
      <c r="SKM392" s="104"/>
      <c r="SKN392" s="455"/>
      <c r="SKO392" s="104"/>
      <c r="SKP392" s="104"/>
      <c r="SKQ392" s="109"/>
      <c r="SKR392" s="104"/>
      <c r="SKS392" s="104"/>
      <c r="SKT392" s="119"/>
      <c r="SKU392" s="104"/>
      <c r="SKV392" s="455"/>
      <c r="SKW392" s="104"/>
      <c r="SKX392" s="104"/>
      <c r="SKY392" s="109"/>
      <c r="SKZ392" s="104"/>
      <c r="SLA392" s="104"/>
      <c r="SLB392" s="119"/>
      <c r="SLC392" s="104"/>
      <c r="SLD392" s="455"/>
      <c r="SLE392" s="104"/>
      <c r="SLF392" s="104"/>
      <c r="SLG392" s="109"/>
      <c r="SLH392" s="104"/>
      <c r="SLI392" s="104"/>
      <c r="SLJ392" s="119"/>
      <c r="SLK392" s="104"/>
      <c r="SLL392" s="455"/>
      <c r="SLM392" s="104"/>
      <c r="SLN392" s="104"/>
      <c r="SLO392" s="109"/>
      <c r="SLP392" s="104"/>
      <c r="SLQ392" s="104"/>
      <c r="SLR392" s="119"/>
      <c r="SLS392" s="104"/>
      <c r="SLT392" s="455"/>
      <c r="SLU392" s="104"/>
      <c r="SLV392" s="104"/>
      <c r="SLW392" s="109"/>
      <c r="SLX392" s="104"/>
      <c r="SLY392" s="104"/>
      <c r="SLZ392" s="119"/>
      <c r="SMA392" s="104"/>
      <c r="SMB392" s="455"/>
      <c r="SMC392" s="104"/>
      <c r="SMD392" s="104"/>
      <c r="SME392" s="109"/>
      <c r="SMF392" s="104"/>
      <c r="SMG392" s="104"/>
      <c r="SMH392" s="119"/>
      <c r="SMI392" s="104"/>
      <c r="SMJ392" s="455"/>
      <c r="SMK392" s="104"/>
      <c r="SML392" s="104"/>
      <c r="SMM392" s="109"/>
      <c r="SMN392" s="104"/>
      <c r="SMO392" s="104"/>
      <c r="SMP392" s="119"/>
      <c r="SMQ392" s="104"/>
      <c r="SMR392" s="455"/>
      <c r="SMS392" s="104"/>
      <c r="SMT392" s="104"/>
      <c r="SMU392" s="109"/>
      <c r="SMV392" s="104"/>
      <c r="SMW392" s="104"/>
      <c r="SMX392" s="119"/>
      <c r="SMY392" s="104"/>
      <c r="SMZ392" s="455"/>
      <c r="SNA392" s="104"/>
      <c r="SNB392" s="104"/>
      <c r="SNC392" s="109"/>
      <c r="SND392" s="104"/>
      <c r="SNE392" s="104"/>
      <c r="SNF392" s="119"/>
      <c r="SNG392" s="104"/>
      <c r="SNH392" s="455"/>
      <c r="SNI392" s="104"/>
      <c r="SNJ392" s="104"/>
      <c r="SNK392" s="109"/>
      <c r="SNL392" s="104"/>
      <c r="SNM392" s="104"/>
      <c r="SNN392" s="119"/>
      <c r="SNO392" s="104"/>
      <c r="SNP392" s="455"/>
      <c r="SNQ392" s="104"/>
      <c r="SNR392" s="104"/>
      <c r="SNS392" s="109"/>
      <c r="SNT392" s="104"/>
      <c r="SNU392" s="104"/>
      <c r="SNV392" s="119"/>
      <c r="SNW392" s="104"/>
      <c r="SNX392" s="455"/>
      <c r="SNY392" s="104"/>
      <c r="SNZ392" s="104"/>
      <c r="SOA392" s="109"/>
      <c r="SOB392" s="104"/>
      <c r="SOC392" s="104"/>
      <c r="SOD392" s="119"/>
      <c r="SOE392" s="104"/>
      <c r="SOF392" s="455"/>
      <c r="SOG392" s="104"/>
      <c r="SOH392" s="104"/>
      <c r="SOI392" s="109"/>
      <c r="SOJ392" s="104"/>
      <c r="SOK392" s="104"/>
      <c r="SOL392" s="119"/>
      <c r="SOM392" s="104"/>
      <c r="SON392" s="455"/>
      <c r="SOO392" s="104"/>
      <c r="SOP392" s="104"/>
      <c r="SOQ392" s="109"/>
      <c r="SOR392" s="104"/>
      <c r="SOS392" s="104"/>
      <c r="SOT392" s="119"/>
      <c r="SOU392" s="104"/>
      <c r="SOV392" s="455"/>
      <c r="SOW392" s="104"/>
      <c r="SOX392" s="104"/>
      <c r="SOY392" s="109"/>
      <c r="SOZ392" s="104"/>
      <c r="SPA392" s="104"/>
      <c r="SPB392" s="119"/>
      <c r="SPC392" s="104"/>
      <c r="SPD392" s="455"/>
      <c r="SPE392" s="104"/>
      <c r="SPF392" s="104"/>
      <c r="SPG392" s="109"/>
      <c r="SPH392" s="104"/>
      <c r="SPI392" s="104"/>
      <c r="SPJ392" s="119"/>
      <c r="SPK392" s="104"/>
      <c r="SPL392" s="455"/>
      <c r="SPM392" s="104"/>
      <c r="SPN392" s="104"/>
      <c r="SPO392" s="109"/>
      <c r="SPP392" s="104"/>
      <c r="SPQ392" s="104"/>
      <c r="SPR392" s="119"/>
      <c r="SPS392" s="104"/>
      <c r="SPT392" s="455"/>
      <c r="SPU392" s="104"/>
      <c r="SPV392" s="104"/>
      <c r="SPW392" s="109"/>
      <c r="SPX392" s="104"/>
      <c r="SPY392" s="104"/>
      <c r="SPZ392" s="119"/>
      <c r="SQA392" s="104"/>
      <c r="SQB392" s="455"/>
      <c r="SQC392" s="104"/>
      <c r="SQD392" s="104"/>
      <c r="SQE392" s="109"/>
      <c r="SQF392" s="104"/>
      <c r="SQG392" s="104"/>
      <c r="SQH392" s="119"/>
      <c r="SQI392" s="104"/>
      <c r="SQJ392" s="455"/>
      <c r="SQK392" s="104"/>
      <c r="SQL392" s="104"/>
      <c r="SQM392" s="109"/>
      <c r="SQN392" s="104"/>
      <c r="SQO392" s="104"/>
      <c r="SQP392" s="119"/>
      <c r="SQQ392" s="104"/>
      <c r="SQR392" s="455"/>
      <c r="SQS392" s="104"/>
      <c r="SQT392" s="104"/>
      <c r="SQU392" s="109"/>
      <c r="SQV392" s="104"/>
      <c r="SQW392" s="104"/>
      <c r="SQX392" s="119"/>
      <c r="SQY392" s="104"/>
      <c r="SQZ392" s="455"/>
      <c r="SRA392" s="104"/>
      <c r="SRB392" s="104"/>
      <c r="SRC392" s="109"/>
      <c r="SRD392" s="104"/>
      <c r="SRE392" s="104"/>
      <c r="SRF392" s="119"/>
      <c r="SRG392" s="104"/>
      <c r="SRH392" s="455"/>
      <c r="SRI392" s="104"/>
      <c r="SRJ392" s="104"/>
      <c r="SRK392" s="109"/>
      <c r="SRL392" s="104"/>
      <c r="SRM392" s="104"/>
      <c r="SRN392" s="119"/>
      <c r="SRO392" s="104"/>
      <c r="SRP392" s="455"/>
      <c r="SRQ392" s="104"/>
      <c r="SRR392" s="104"/>
      <c r="SRS392" s="109"/>
      <c r="SRT392" s="104"/>
      <c r="SRU392" s="104"/>
      <c r="SRV392" s="119"/>
      <c r="SRW392" s="104"/>
      <c r="SRX392" s="455"/>
      <c r="SRY392" s="104"/>
      <c r="SRZ392" s="104"/>
      <c r="SSA392" s="109"/>
      <c r="SSB392" s="104"/>
      <c r="SSC392" s="104"/>
      <c r="SSD392" s="119"/>
      <c r="SSE392" s="104"/>
      <c r="SSF392" s="455"/>
      <c r="SSG392" s="104"/>
      <c r="SSH392" s="104"/>
      <c r="SSI392" s="109"/>
      <c r="SSJ392" s="104"/>
      <c r="SSK392" s="104"/>
      <c r="SSL392" s="119"/>
      <c r="SSM392" s="104"/>
      <c r="SSN392" s="455"/>
      <c r="SSO392" s="104"/>
      <c r="SSP392" s="104"/>
      <c r="SSQ392" s="109"/>
      <c r="SSR392" s="104"/>
      <c r="SSS392" s="104"/>
      <c r="SST392" s="119"/>
      <c r="SSU392" s="104"/>
      <c r="SSV392" s="455"/>
      <c r="SSW392" s="104"/>
      <c r="SSX392" s="104"/>
      <c r="SSY392" s="109"/>
      <c r="SSZ392" s="104"/>
      <c r="STA392" s="104"/>
      <c r="STB392" s="119"/>
      <c r="STC392" s="104"/>
      <c r="STD392" s="455"/>
      <c r="STE392" s="104"/>
      <c r="STF392" s="104"/>
      <c r="STG392" s="109"/>
      <c r="STH392" s="104"/>
      <c r="STI392" s="104"/>
      <c r="STJ392" s="119"/>
      <c r="STK392" s="104"/>
      <c r="STL392" s="455"/>
      <c r="STM392" s="104"/>
      <c r="STN392" s="104"/>
      <c r="STO392" s="109"/>
      <c r="STP392" s="104"/>
      <c r="STQ392" s="104"/>
      <c r="STR392" s="119"/>
      <c r="STS392" s="104"/>
      <c r="STT392" s="455"/>
      <c r="STU392" s="104"/>
      <c r="STV392" s="104"/>
      <c r="STW392" s="109"/>
      <c r="STX392" s="104"/>
      <c r="STY392" s="104"/>
      <c r="STZ392" s="119"/>
      <c r="SUA392" s="104"/>
      <c r="SUB392" s="455"/>
      <c r="SUC392" s="104"/>
      <c r="SUD392" s="104"/>
      <c r="SUE392" s="109"/>
      <c r="SUF392" s="104"/>
      <c r="SUG392" s="104"/>
      <c r="SUH392" s="119"/>
      <c r="SUI392" s="104"/>
      <c r="SUJ392" s="455"/>
      <c r="SUK392" s="104"/>
      <c r="SUL392" s="104"/>
      <c r="SUM392" s="109"/>
      <c r="SUN392" s="104"/>
      <c r="SUO392" s="104"/>
      <c r="SUP392" s="119"/>
      <c r="SUQ392" s="104"/>
      <c r="SUR392" s="455"/>
      <c r="SUS392" s="104"/>
      <c r="SUT392" s="104"/>
      <c r="SUU392" s="109"/>
      <c r="SUV392" s="104"/>
      <c r="SUW392" s="104"/>
      <c r="SUX392" s="119"/>
      <c r="SUY392" s="104"/>
      <c r="SUZ392" s="455"/>
      <c r="SVA392" s="104"/>
      <c r="SVB392" s="104"/>
      <c r="SVC392" s="109"/>
      <c r="SVD392" s="104"/>
      <c r="SVE392" s="104"/>
      <c r="SVF392" s="119"/>
      <c r="SVG392" s="104"/>
      <c r="SVH392" s="455"/>
      <c r="SVI392" s="104"/>
      <c r="SVJ392" s="104"/>
      <c r="SVK392" s="109"/>
      <c r="SVL392" s="104"/>
      <c r="SVM392" s="104"/>
      <c r="SVN392" s="119"/>
      <c r="SVO392" s="104"/>
      <c r="SVP392" s="455"/>
      <c r="SVQ392" s="104"/>
      <c r="SVR392" s="104"/>
      <c r="SVS392" s="109"/>
      <c r="SVT392" s="104"/>
      <c r="SVU392" s="104"/>
      <c r="SVV392" s="119"/>
      <c r="SVW392" s="104"/>
      <c r="SVX392" s="455"/>
      <c r="SVY392" s="104"/>
      <c r="SVZ392" s="104"/>
      <c r="SWA392" s="109"/>
      <c r="SWB392" s="104"/>
      <c r="SWC392" s="104"/>
      <c r="SWD392" s="119"/>
      <c r="SWE392" s="104"/>
      <c r="SWF392" s="455"/>
      <c r="SWG392" s="104"/>
      <c r="SWH392" s="104"/>
      <c r="SWI392" s="109"/>
      <c r="SWJ392" s="104"/>
      <c r="SWK392" s="104"/>
      <c r="SWL392" s="119"/>
      <c r="SWM392" s="104"/>
      <c r="SWN392" s="455"/>
      <c r="SWO392" s="104"/>
      <c r="SWP392" s="104"/>
      <c r="SWQ392" s="109"/>
      <c r="SWR392" s="104"/>
      <c r="SWS392" s="104"/>
      <c r="SWT392" s="119"/>
      <c r="SWU392" s="104"/>
      <c r="SWV392" s="455"/>
      <c r="SWW392" s="104"/>
      <c r="SWX392" s="104"/>
      <c r="SWY392" s="109"/>
      <c r="SWZ392" s="104"/>
      <c r="SXA392" s="104"/>
      <c r="SXB392" s="119"/>
      <c r="SXC392" s="104"/>
      <c r="SXD392" s="455"/>
      <c r="SXE392" s="104"/>
      <c r="SXF392" s="104"/>
      <c r="SXG392" s="109"/>
      <c r="SXH392" s="104"/>
      <c r="SXI392" s="104"/>
      <c r="SXJ392" s="119"/>
      <c r="SXK392" s="104"/>
      <c r="SXL392" s="455"/>
      <c r="SXM392" s="104"/>
      <c r="SXN392" s="104"/>
      <c r="SXO392" s="109"/>
      <c r="SXP392" s="104"/>
      <c r="SXQ392" s="104"/>
      <c r="SXR392" s="119"/>
      <c r="SXS392" s="104"/>
      <c r="SXT392" s="455"/>
      <c r="SXU392" s="104"/>
      <c r="SXV392" s="104"/>
      <c r="SXW392" s="109"/>
      <c r="SXX392" s="104"/>
      <c r="SXY392" s="104"/>
      <c r="SXZ392" s="119"/>
      <c r="SYA392" s="104"/>
      <c r="SYB392" s="455"/>
      <c r="SYC392" s="104"/>
      <c r="SYD392" s="104"/>
      <c r="SYE392" s="109"/>
      <c r="SYF392" s="104"/>
      <c r="SYG392" s="104"/>
      <c r="SYH392" s="119"/>
      <c r="SYI392" s="104"/>
      <c r="SYJ392" s="455"/>
      <c r="SYK392" s="104"/>
      <c r="SYL392" s="104"/>
      <c r="SYM392" s="109"/>
      <c r="SYN392" s="104"/>
      <c r="SYO392" s="104"/>
      <c r="SYP392" s="119"/>
      <c r="SYQ392" s="104"/>
      <c r="SYR392" s="455"/>
      <c r="SYS392" s="104"/>
      <c r="SYT392" s="104"/>
      <c r="SYU392" s="109"/>
      <c r="SYV392" s="104"/>
      <c r="SYW392" s="104"/>
      <c r="SYX392" s="119"/>
      <c r="SYY392" s="104"/>
      <c r="SYZ392" s="455"/>
      <c r="SZA392" s="104"/>
      <c r="SZB392" s="104"/>
      <c r="SZC392" s="109"/>
      <c r="SZD392" s="104"/>
      <c r="SZE392" s="104"/>
      <c r="SZF392" s="119"/>
      <c r="SZG392" s="104"/>
      <c r="SZH392" s="455"/>
      <c r="SZI392" s="104"/>
      <c r="SZJ392" s="104"/>
      <c r="SZK392" s="109"/>
      <c r="SZL392" s="104"/>
      <c r="SZM392" s="104"/>
      <c r="SZN392" s="119"/>
      <c r="SZO392" s="104"/>
      <c r="SZP392" s="455"/>
      <c r="SZQ392" s="104"/>
      <c r="SZR392" s="104"/>
      <c r="SZS392" s="109"/>
      <c r="SZT392" s="104"/>
      <c r="SZU392" s="104"/>
      <c r="SZV392" s="119"/>
      <c r="SZW392" s="104"/>
      <c r="SZX392" s="455"/>
      <c r="SZY392" s="104"/>
      <c r="SZZ392" s="104"/>
      <c r="TAA392" s="109"/>
      <c r="TAB392" s="104"/>
      <c r="TAC392" s="104"/>
      <c r="TAD392" s="119"/>
      <c r="TAE392" s="104"/>
      <c r="TAF392" s="455"/>
      <c r="TAG392" s="104"/>
      <c r="TAH392" s="104"/>
      <c r="TAI392" s="109"/>
      <c r="TAJ392" s="104"/>
      <c r="TAK392" s="104"/>
      <c r="TAL392" s="119"/>
      <c r="TAM392" s="104"/>
      <c r="TAN392" s="455"/>
      <c r="TAO392" s="104"/>
      <c r="TAP392" s="104"/>
      <c r="TAQ392" s="109"/>
      <c r="TAR392" s="104"/>
      <c r="TAS392" s="104"/>
      <c r="TAT392" s="119"/>
      <c r="TAU392" s="104"/>
      <c r="TAV392" s="455"/>
      <c r="TAW392" s="104"/>
      <c r="TAX392" s="104"/>
      <c r="TAY392" s="109"/>
      <c r="TAZ392" s="104"/>
      <c r="TBA392" s="104"/>
      <c r="TBB392" s="119"/>
      <c r="TBC392" s="104"/>
      <c r="TBD392" s="455"/>
      <c r="TBE392" s="104"/>
      <c r="TBF392" s="104"/>
      <c r="TBG392" s="109"/>
      <c r="TBH392" s="104"/>
      <c r="TBI392" s="104"/>
      <c r="TBJ392" s="119"/>
      <c r="TBK392" s="104"/>
      <c r="TBL392" s="455"/>
      <c r="TBM392" s="104"/>
      <c r="TBN392" s="104"/>
      <c r="TBO392" s="109"/>
      <c r="TBP392" s="104"/>
      <c r="TBQ392" s="104"/>
      <c r="TBR392" s="119"/>
      <c r="TBS392" s="104"/>
      <c r="TBT392" s="455"/>
      <c r="TBU392" s="104"/>
      <c r="TBV392" s="104"/>
      <c r="TBW392" s="109"/>
      <c r="TBX392" s="104"/>
      <c r="TBY392" s="104"/>
      <c r="TBZ392" s="119"/>
      <c r="TCA392" s="104"/>
      <c r="TCB392" s="455"/>
      <c r="TCC392" s="104"/>
      <c r="TCD392" s="104"/>
      <c r="TCE392" s="109"/>
      <c r="TCF392" s="104"/>
      <c r="TCG392" s="104"/>
      <c r="TCH392" s="119"/>
      <c r="TCI392" s="104"/>
      <c r="TCJ392" s="455"/>
      <c r="TCK392" s="104"/>
      <c r="TCL392" s="104"/>
      <c r="TCM392" s="109"/>
      <c r="TCN392" s="104"/>
      <c r="TCO392" s="104"/>
      <c r="TCP392" s="119"/>
      <c r="TCQ392" s="104"/>
      <c r="TCR392" s="455"/>
      <c r="TCS392" s="104"/>
      <c r="TCT392" s="104"/>
      <c r="TCU392" s="109"/>
      <c r="TCV392" s="104"/>
      <c r="TCW392" s="104"/>
      <c r="TCX392" s="119"/>
      <c r="TCY392" s="104"/>
      <c r="TCZ392" s="455"/>
      <c r="TDA392" s="104"/>
      <c r="TDB392" s="104"/>
      <c r="TDC392" s="109"/>
      <c r="TDD392" s="104"/>
      <c r="TDE392" s="104"/>
      <c r="TDF392" s="119"/>
      <c r="TDG392" s="104"/>
      <c r="TDH392" s="455"/>
      <c r="TDI392" s="104"/>
      <c r="TDJ392" s="104"/>
      <c r="TDK392" s="109"/>
      <c r="TDL392" s="104"/>
      <c r="TDM392" s="104"/>
      <c r="TDN392" s="119"/>
      <c r="TDO392" s="104"/>
      <c r="TDP392" s="455"/>
      <c r="TDQ392" s="104"/>
      <c r="TDR392" s="104"/>
      <c r="TDS392" s="109"/>
      <c r="TDT392" s="104"/>
      <c r="TDU392" s="104"/>
      <c r="TDV392" s="119"/>
      <c r="TDW392" s="104"/>
      <c r="TDX392" s="455"/>
      <c r="TDY392" s="104"/>
      <c r="TDZ392" s="104"/>
      <c r="TEA392" s="109"/>
      <c r="TEB392" s="104"/>
      <c r="TEC392" s="104"/>
      <c r="TED392" s="119"/>
      <c r="TEE392" s="104"/>
      <c r="TEF392" s="455"/>
      <c r="TEG392" s="104"/>
      <c r="TEH392" s="104"/>
      <c r="TEI392" s="109"/>
      <c r="TEJ392" s="104"/>
      <c r="TEK392" s="104"/>
      <c r="TEL392" s="119"/>
      <c r="TEM392" s="104"/>
      <c r="TEN392" s="455"/>
      <c r="TEO392" s="104"/>
      <c r="TEP392" s="104"/>
      <c r="TEQ392" s="109"/>
      <c r="TER392" s="104"/>
      <c r="TES392" s="104"/>
      <c r="TET392" s="119"/>
      <c r="TEU392" s="104"/>
      <c r="TEV392" s="455"/>
      <c r="TEW392" s="104"/>
      <c r="TEX392" s="104"/>
      <c r="TEY392" s="109"/>
      <c r="TEZ392" s="104"/>
      <c r="TFA392" s="104"/>
      <c r="TFB392" s="119"/>
      <c r="TFC392" s="104"/>
      <c r="TFD392" s="455"/>
      <c r="TFE392" s="104"/>
      <c r="TFF392" s="104"/>
      <c r="TFG392" s="109"/>
      <c r="TFH392" s="104"/>
      <c r="TFI392" s="104"/>
      <c r="TFJ392" s="119"/>
      <c r="TFK392" s="104"/>
      <c r="TFL392" s="455"/>
      <c r="TFM392" s="104"/>
      <c r="TFN392" s="104"/>
      <c r="TFO392" s="109"/>
      <c r="TFP392" s="104"/>
      <c r="TFQ392" s="104"/>
      <c r="TFR392" s="119"/>
      <c r="TFS392" s="104"/>
      <c r="TFT392" s="455"/>
      <c r="TFU392" s="104"/>
      <c r="TFV392" s="104"/>
      <c r="TFW392" s="109"/>
      <c r="TFX392" s="104"/>
      <c r="TFY392" s="104"/>
      <c r="TFZ392" s="119"/>
      <c r="TGA392" s="104"/>
      <c r="TGB392" s="455"/>
      <c r="TGC392" s="104"/>
      <c r="TGD392" s="104"/>
      <c r="TGE392" s="109"/>
      <c r="TGF392" s="104"/>
      <c r="TGG392" s="104"/>
      <c r="TGH392" s="119"/>
      <c r="TGI392" s="104"/>
      <c r="TGJ392" s="455"/>
      <c r="TGK392" s="104"/>
      <c r="TGL392" s="104"/>
      <c r="TGM392" s="109"/>
      <c r="TGN392" s="104"/>
      <c r="TGO392" s="104"/>
      <c r="TGP392" s="119"/>
      <c r="TGQ392" s="104"/>
      <c r="TGR392" s="455"/>
      <c r="TGS392" s="104"/>
      <c r="TGT392" s="104"/>
      <c r="TGU392" s="109"/>
      <c r="TGV392" s="104"/>
      <c r="TGW392" s="104"/>
      <c r="TGX392" s="119"/>
      <c r="TGY392" s="104"/>
      <c r="TGZ392" s="455"/>
      <c r="THA392" s="104"/>
      <c r="THB392" s="104"/>
      <c r="THC392" s="109"/>
      <c r="THD392" s="104"/>
      <c r="THE392" s="104"/>
      <c r="THF392" s="119"/>
      <c r="THG392" s="104"/>
      <c r="THH392" s="455"/>
      <c r="THI392" s="104"/>
      <c r="THJ392" s="104"/>
      <c r="THK392" s="109"/>
      <c r="THL392" s="104"/>
      <c r="THM392" s="104"/>
      <c r="THN392" s="119"/>
      <c r="THO392" s="104"/>
      <c r="THP392" s="455"/>
      <c r="THQ392" s="104"/>
      <c r="THR392" s="104"/>
      <c r="THS392" s="109"/>
      <c r="THT392" s="104"/>
      <c r="THU392" s="104"/>
      <c r="THV392" s="119"/>
      <c r="THW392" s="104"/>
      <c r="THX392" s="455"/>
      <c r="THY392" s="104"/>
      <c r="THZ392" s="104"/>
      <c r="TIA392" s="109"/>
      <c r="TIB392" s="104"/>
      <c r="TIC392" s="104"/>
      <c r="TID392" s="119"/>
      <c r="TIE392" s="104"/>
      <c r="TIF392" s="455"/>
      <c r="TIG392" s="104"/>
      <c r="TIH392" s="104"/>
      <c r="TII392" s="109"/>
      <c r="TIJ392" s="104"/>
      <c r="TIK392" s="104"/>
      <c r="TIL392" s="119"/>
      <c r="TIM392" s="104"/>
      <c r="TIN392" s="455"/>
      <c r="TIO392" s="104"/>
      <c r="TIP392" s="104"/>
      <c r="TIQ392" s="109"/>
      <c r="TIR392" s="104"/>
      <c r="TIS392" s="104"/>
      <c r="TIT392" s="119"/>
      <c r="TIU392" s="104"/>
      <c r="TIV392" s="455"/>
      <c r="TIW392" s="104"/>
      <c r="TIX392" s="104"/>
      <c r="TIY392" s="109"/>
      <c r="TIZ392" s="104"/>
      <c r="TJA392" s="104"/>
      <c r="TJB392" s="119"/>
      <c r="TJC392" s="104"/>
      <c r="TJD392" s="455"/>
      <c r="TJE392" s="104"/>
      <c r="TJF392" s="104"/>
      <c r="TJG392" s="109"/>
      <c r="TJH392" s="104"/>
      <c r="TJI392" s="104"/>
      <c r="TJJ392" s="119"/>
      <c r="TJK392" s="104"/>
      <c r="TJL392" s="455"/>
      <c r="TJM392" s="104"/>
      <c r="TJN392" s="104"/>
      <c r="TJO392" s="109"/>
      <c r="TJP392" s="104"/>
      <c r="TJQ392" s="104"/>
      <c r="TJR392" s="119"/>
      <c r="TJS392" s="104"/>
      <c r="TJT392" s="455"/>
      <c r="TJU392" s="104"/>
      <c r="TJV392" s="104"/>
      <c r="TJW392" s="109"/>
      <c r="TJX392" s="104"/>
      <c r="TJY392" s="104"/>
      <c r="TJZ392" s="119"/>
      <c r="TKA392" s="104"/>
      <c r="TKB392" s="455"/>
      <c r="TKC392" s="104"/>
      <c r="TKD392" s="104"/>
      <c r="TKE392" s="109"/>
      <c r="TKF392" s="104"/>
      <c r="TKG392" s="104"/>
      <c r="TKH392" s="119"/>
      <c r="TKI392" s="104"/>
      <c r="TKJ392" s="455"/>
      <c r="TKK392" s="104"/>
      <c r="TKL392" s="104"/>
      <c r="TKM392" s="109"/>
      <c r="TKN392" s="104"/>
      <c r="TKO392" s="104"/>
      <c r="TKP392" s="119"/>
      <c r="TKQ392" s="104"/>
      <c r="TKR392" s="455"/>
      <c r="TKS392" s="104"/>
      <c r="TKT392" s="104"/>
      <c r="TKU392" s="109"/>
      <c r="TKV392" s="104"/>
      <c r="TKW392" s="104"/>
      <c r="TKX392" s="119"/>
      <c r="TKY392" s="104"/>
      <c r="TKZ392" s="455"/>
      <c r="TLA392" s="104"/>
      <c r="TLB392" s="104"/>
      <c r="TLC392" s="109"/>
      <c r="TLD392" s="104"/>
      <c r="TLE392" s="104"/>
      <c r="TLF392" s="119"/>
      <c r="TLG392" s="104"/>
      <c r="TLH392" s="455"/>
      <c r="TLI392" s="104"/>
      <c r="TLJ392" s="104"/>
      <c r="TLK392" s="109"/>
      <c r="TLL392" s="104"/>
      <c r="TLM392" s="104"/>
      <c r="TLN392" s="119"/>
      <c r="TLO392" s="104"/>
      <c r="TLP392" s="455"/>
      <c r="TLQ392" s="104"/>
      <c r="TLR392" s="104"/>
      <c r="TLS392" s="109"/>
      <c r="TLT392" s="104"/>
      <c r="TLU392" s="104"/>
      <c r="TLV392" s="119"/>
      <c r="TLW392" s="104"/>
      <c r="TLX392" s="455"/>
      <c r="TLY392" s="104"/>
      <c r="TLZ392" s="104"/>
      <c r="TMA392" s="109"/>
      <c r="TMB392" s="104"/>
      <c r="TMC392" s="104"/>
      <c r="TMD392" s="119"/>
      <c r="TME392" s="104"/>
      <c r="TMF392" s="455"/>
      <c r="TMG392" s="104"/>
      <c r="TMH392" s="104"/>
      <c r="TMI392" s="109"/>
      <c r="TMJ392" s="104"/>
      <c r="TMK392" s="104"/>
      <c r="TML392" s="119"/>
      <c r="TMM392" s="104"/>
      <c r="TMN392" s="455"/>
      <c r="TMO392" s="104"/>
      <c r="TMP392" s="104"/>
      <c r="TMQ392" s="109"/>
      <c r="TMR392" s="104"/>
      <c r="TMS392" s="104"/>
      <c r="TMT392" s="119"/>
      <c r="TMU392" s="104"/>
      <c r="TMV392" s="455"/>
      <c r="TMW392" s="104"/>
      <c r="TMX392" s="104"/>
      <c r="TMY392" s="109"/>
      <c r="TMZ392" s="104"/>
      <c r="TNA392" s="104"/>
      <c r="TNB392" s="119"/>
      <c r="TNC392" s="104"/>
      <c r="TND392" s="455"/>
      <c r="TNE392" s="104"/>
      <c r="TNF392" s="104"/>
      <c r="TNG392" s="109"/>
      <c r="TNH392" s="104"/>
      <c r="TNI392" s="104"/>
      <c r="TNJ392" s="119"/>
      <c r="TNK392" s="104"/>
      <c r="TNL392" s="455"/>
      <c r="TNM392" s="104"/>
      <c r="TNN392" s="104"/>
      <c r="TNO392" s="109"/>
      <c r="TNP392" s="104"/>
      <c r="TNQ392" s="104"/>
      <c r="TNR392" s="119"/>
      <c r="TNS392" s="104"/>
      <c r="TNT392" s="455"/>
      <c r="TNU392" s="104"/>
      <c r="TNV392" s="104"/>
      <c r="TNW392" s="109"/>
      <c r="TNX392" s="104"/>
      <c r="TNY392" s="104"/>
      <c r="TNZ392" s="119"/>
      <c r="TOA392" s="104"/>
      <c r="TOB392" s="455"/>
      <c r="TOC392" s="104"/>
      <c r="TOD392" s="104"/>
      <c r="TOE392" s="109"/>
      <c r="TOF392" s="104"/>
      <c r="TOG392" s="104"/>
      <c r="TOH392" s="119"/>
      <c r="TOI392" s="104"/>
      <c r="TOJ392" s="455"/>
      <c r="TOK392" s="104"/>
      <c r="TOL392" s="104"/>
      <c r="TOM392" s="109"/>
      <c r="TON392" s="104"/>
      <c r="TOO392" s="104"/>
      <c r="TOP392" s="119"/>
      <c r="TOQ392" s="104"/>
      <c r="TOR392" s="455"/>
      <c r="TOS392" s="104"/>
      <c r="TOT392" s="104"/>
      <c r="TOU392" s="109"/>
      <c r="TOV392" s="104"/>
      <c r="TOW392" s="104"/>
      <c r="TOX392" s="119"/>
      <c r="TOY392" s="104"/>
      <c r="TOZ392" s="455"/>
      <c r="TPA392" s="104"/>
      <c r="TPB392" s="104"/>
      <c r="TPC392" s="109"/>
      <c r="TPD392" s="104"/>
      <c r="TPE392" s="104"/>
      <c r="TPF392" s="119"/>
      <c r="TPG392" s="104"/>
      <c r="TPH392" s="455"/>
      <c r="TPI392" s="104"/>
      <c r="TPJ392" s="104"/>
      <c r="TPK392" s="109"/>
      <c r="TPL392" s="104"/>
      <c r="TPM392" s="104"/>
      <c r="TPN392" s="119"/>
      <c r="TPO392" s="104"/>
      <c r="TPP392" s="455"/>
      <c r="TPQ392" s="104"/>
      <c r="TPR392" s="104"/>
      <c r="TPS392" s="109"/>
      <c r="TPT392" s="104"/>
      <c r="TPU392" s="104"/>
      <c r="TPV392" s="119"/>
      <c r="TPW392" s="104"/>
      <c r="TPX392" s="455"/>
      <c r="TPY392" s="104"/>
      <c r="TPZ392" s="104"/>
      <c r="TQA392" s="109"/>
      <c r="TQB392" s="104"/>
      <c r="TQC392" s="104"/>
      <c r="TQD392" s="119"/>
      <c r="TQE392" s="104"/>
      <c r="TQF392" s="455"/>
      <c r="TQG392" s="104"/>
      <c r="TQH392" s="104"/>
      <c r="TQI392" s="109"/>
      <c r="TQJ392" s="104"/>
      <c r="TQK392" s="104"/>
      <c r="TQL392" s="119"/>
      <c r="TQM392" s="104"/>
      <c r="TQN392" s="455"/>
      <c r="TQO392" s="104"/>
      <c r="TQP392" s="104"/>
      <c r="TQQ392" s="109"/>
      <c r="TQR392" s="104"/>
      <c r="TQS392" s="104"/>
      <c r="TQT392" s="119"/>
      <c r="TQU392" s="104"/>
      <c r="TQV392" s="455"/>
      <c r="TQW392" s="104"/>
      <c r="TQX392" s="104"/>
      <c r="TQY392" s="109"/>
      <c r="TQZ392" s="104"/>
      <c r="TRA392" s="104"/>
      <c r="TRB392" s="119"/>
      <c r="TRC392" s="104"/>
      <c r="TRD392" s="455"/>
      <c r="TRE392" s="104"/>
      <c r="TRF392" s="104"/>
      <c r="TRG392" s="109"/>
      <c r="TRH392" s="104"/>
      <c r="TRI392" s="104"/>
      <c r="TRJ392" s="119"/>
      <c r="TRK392" s="104"/>
      <c r="TRL392" s="455"/>
      <c r="TRM392" s="104"/>
      <c r="TRN392" s="104"/>
      <c r="TRO392" s="109"/>
      <c r="TRP392" s="104"/>
      <c r="TRQ392" s="104"/>
      <c r="TRR392" s="119"/>
      <c r="TRS392" s="104"/>
      <c r="TRT392" s="455"/>
      <c r="TRU392" s="104"/>
      <c r="TRV392" s="104"/>
      <c r="TRW392" s="109"/>
      <c r="TRX392" s="104"/>
      <c r="TRY392" s="104"/>
      <c r="TRZ392" s="119"/>
      <c r="TSA392" s="104"/>
      <c r="TSB392" s="455"/>
      <c r="TSC392" s="104"/>
      <c r="TSD392" s="104"/>
      <c r="TSE392" s="109"/>
      <c r="TSF392" s="104"/>
      <c r="TSG392" s="104"/>
      <c r="TSH392" s="119"/>
      <c r="TSI392" s="104"/>
      <c r="TSJ392" s="455"/>
      <c r="TSK392" s="104"/>
      <c r="TSL392" s="104"/>
      <c r="TSM392" s="109"/>
      <c r="TSN392" s="104"/>
      <c r="TSO392" s="104"/>
      <c r="TSP392" s="119"/>
      <c r="TSQ392" s="104"/>
      <c r="TSR392" s="455"/>
      <c r="TSS392" s="104"/>
      <c r="TST392" s="104"/>
      <c r="TSU392" s="109"/>
      <c r="TSV392" s="104"/>
      <c r="TSW392" s="104"/>
      <c r="TSX392" s="119"/>
      <c r="TSY392" s="104"/>
      <c r="TSZ392" s="455"/>
      <c r="TTA392" s="104"/>
      <c r="TTB392" s="104"/>
      <c r="TTC392" s="109"/>
      <c r="TTD392" s="104"/>
      <c r="TTE392" s="104"/>
      <c r="TTF392" s="119"/>
      <c r="TTG392" s="104"/>
      <c r="TTH392" s="455"/>
      <c r="TTI392" s="104"/>
      <c r="TTJ392" s="104"/>
      <c r="TTK392" s="109"/>
      <c r="TTL392" s="104"/>
      <c r="TTM392" s="104"/>
      <c r="TTN392" s="119"/>
      <c r="TTO392" s="104"/>
      <c r="TTP392" s="455"/>
      <c r="TTQ392" s="104"/>
      <c r="TTR392" s="104"/>
      <c r="TTS392" s="109"/>
      <c r="TTT392" s="104"/>
      <c r="TTU392" s="104"/>
      <c r="TTV392" s="119"/>
      <c r="TTW392" s="104"/>
      <c r="TTX392" s="455"/>
      <c r="TTY392" s="104"/>
      <c r="TTZ392" s="104"/>
      <c r="TUA392" s="109"/>
      <c r="TUB392" s="104"/>
      <c r="TUC392" s="104"/>
      <c r="TUD392" s="119"/>
      <c r="TUE392" s="104"/>
      <c r="TUF392" s="455"/>
      <c r="TUG392" s="104"/>
      <c r="TUH392" s="104"/>
      <c r="TUI392" s="109"/>
      <c r="TUJ392" s="104"/>
      <c r="TUK392" s="104"/>
      <c r="TUL392" s="119"/>
      <c r="TUM392" s="104"/>
      <c r="TUN392" s="455"/>
      <c r="TUO392" s="104"/>
      <c r="TUP392" s="104"/>
      <c r="TUQ392" s="109"/>
      <c r="TUR392" s="104"/>
      <c r="TUS392" s="104"/>
      <c r="TUT392" s="119"/>
      <c r="TUU392" s="104"/>
      <c r="TUV392" s="455"/>
      <c r="TUW392" s="104"/>
      <c r="TUX392" s="104"/>
      <c r="TUY392" s="109"/>
      <c r="TUZ392" s="104"/>
      <c r="TVA392" s="104"/>
      <c r="TVB392" s="119"/>
      <c r="TVC392" s="104"/>
      <c r="TVD392" s="455"/>
      <c r="TVE392" s="104"/>
      <c r="TVF392" s="104"/>
      <c r="TVG392" s="109"/>
      <c r="TVH392" s="104"/>
      <c r="TVI392" s="104"/>
      <c r="TVJ392" s="119"/>
      <c r="TVK392" s="104"/>
      <c r="TVL392" s="455"/>
      <c r="TVM392" s="104"/>
      <c r="TVN392" s="104"/>
      <c r="TVO392" s="109"/>
      <c r="TVP392" s="104"/>
      <c r="TVQ392" s="104"/>
      <c r="TVR392" s="119"/>
      <c r="TVS392" s="104"/>
      <c r="TVT392" s="455"/>
      <c r="TVU392" s="104"/>
      <c r="TVV392" s="104"/>
      <c r="TVW392" s="109"/>
      <c r="TVX392" s="104"/>
      <c r="TVY392" s="104"/>
      <c r="TVZ392" s="119"/>
      <c r="TWA392" s="104"/>
      <c r="TWB392" s="455"/>
      <c r="TWC392" s="104"/>
      <c r="TWD392" s="104"/>
      <c r="TWE392" s="109"/>
      <c r="TWF392" s="104"/>
      <c r="TWG392" s="104"/>
      <c r="TWH392" s="119"/>
      <c r="TWI392" s="104"/>
      <c r="TWJ392" s="455"/>
      <c r="TWK392" s="104"/>
      <c r="TWL392" s="104"/>
      <c r="TWM392" s="109"/>
      <c r="TWN392" s="104"/>
      <c r="TWO392" s="104"/>
      <c r="TWP392" s="119"/>
      <c r="TWQ392" s="104"/>
      <c r="TWR392" s="455"/>
      <c r="TWS392" s="104"/>
      <c r="TWT392" s="104"/>
      <c r="TWU392" s="109"/>
      <c r="TWV392" s="104"/>
      <c r="TWW392" s="104"/>
      <c r="TWX392" s="119"/>
      <c r="TWY392" s="104"/>
      <c r="TWZ392" s="455"/>
      <c r="TXA392" s="104"/>
      <c r="TXB392" s="104"/>
      <c r="TXC392" s="109"/>
      <c r="TXD392" s="104"/>
      <c r="TXE392" s="104"/>
      <c r="TXF392" s="119"/>
      <c r="TXG392" s="104"/>
      <c r="TXH392" s="455"/>
      <c r="TXI392" s="104"/>
      <c r="TXJ392" s="104"/>
      <c r="TXK392" s="109"/>
      <c r="TXL392" s="104"/>
      <c r="TXM392" s="104"/>
      <c r="TXN392" s="119"/>
      <c r="TXO392" s="104"/>
      <c r="TXP392" s="455"/>
      <c r="TXQ392" s="104"/>
      <c r="TXR392" s="104"/>
      <c r="TXS392" s="109"/>
      <c r="TXT392" s="104"/>
      <c r="TXU392" s="104"/>
      <c r="TXV392" s="119"/>
      <c r="TXW392" s="104"/>
      <c r="TXX392" s="455"/>
      <c r="TXY392" s="104"/>
      <c r="TXZ392" s="104"/>
      <c r="TYA392" s="109"/>
      <c r="TYB392" s="104"/>
      <c r="TYC392" s="104"/>
      <c r="TYD392" s="119"/>
      <c r="TYE392" s="104"/>
      <c r="TYF392" s="455"/>
      <c r="TYG392" s="104"/>
      <c r="TYH392" s="104"/>
      <c r="TYI392" s="109"/>
      <c r="TYJ392" s="104"/>
      <c r="TYK392" s="104"/>
      <c r="TYL392" s="119"/>
      <c r="TYM392" s="104"/>
      <c r="TYN392" s="455"/>
      <c r="TYO392" s="104"/>
      <c r="TYP392" s="104"/>
      <c r="TYQ392" s="109"/>
      <c r="TYR392" s="104"/>
      <c r="TYS392" s="104"/>
      <c r="TYT392" s="119"/>
      <c r="TYU392" s="104"/>
      <c r="TYV392" s="455"/>
      <c r="TYW392" s="104"/>
      <c r="TYX392" s="104"/>
      <c r="TYY392" s="109"/>
      <c r="TYZ392" s="104"/>
      <c r="TZA392" s="104"/>
      <c r="TZB392" s="119"/>
      <c r="TZC392" s="104"/>
      <c r="TZD392" s="455"/>
      <c r="TZE392" s="104"/>
      <c r="TZF392" s="104"/>
      <c r="TZG392" s="109"/>
      <c r="TZH392" s="104"/>
      <c r="TZI392" s="104"/>
      <c r="TZJ392" s="119"/>
      <c r="TZK392" s="104"/>
      <c r="TZL392" s="455"/>
      <c r="TZM392" s="104"/>
      <c r="TZN392" s="104"/>
      <c r="TZO392" s="109"/>
      <c r="TZP392" s="104"/>
      <c r="TZQ392" s="104"/>
      <c r="TZR392" s="119"/>
      <c r="TZS392" s="104"/>
      <c r="TZT392" s="455"/>
      <c r="TZU392" s="104"/>
      <c r="TZV392" s="104"/>
      <c r="TZW392" s="109"/>
      <c r="TZX392" s="104"/>
      <c r="TZY392" s="104"/>
      <c r="TZZ392" s="119"/>
      <c r="UAA392" s="104"/>
      <c r="UAB392" s="455"/>
      <c r="UAC392" s="104"/>
      <c r="UAD392" s="104"/>
      <c r="UAE392" s="109"/>
      <c r="UAF392" s="104"/>
      <c r="UAG392" s="104"/>
      <c r="UAH392" s="119"/>
      <c r="UAI392" s="104"/>
      <c r="UAJ392" s="455"/>
      <c r="UAK392" s="104"/>
      <c r="UAL392" s="104"/>
      <c r="UAM392" s="109"/>
      <c r="UAN392" s="104"/>
      <c r="UAO392" s="104"/>
      <c r="UAP392" s="119"/>
      <c r="UAQ392" s="104"/>
      <c r="UAR392" s="455"/>
      <c r="UAS392" s="104"/>
      <c r="UAT392" s="104"/>
      <c r="UAU392" s="109"/>
      <c r="UAV392" s="104"/>
      <c r="UAW392" s="104"/>
      <c r="UAX392" s="119"/>
      <c r="UAY392" s="104"/>
      <c r="UAZ392" s="455"/>
      <c r="UBA392" s="104"/>
      <c r="UBB392" s="104"/>
      <c r="UBC392" s="109"/>
      <c r="UBD392" s="104"/>
      <c r="UBE392" s="104"/>
      <c r="UBF392" s="119"/>
      <c r="UBG392" s="104"/>
      <c r="UBH392" s="455"/>
      <c r="UBI392" s="104"/>
      <c r="UBJ392" s="104"/>
      <c r="UBK392" s="109"/>
      <c r="UBL392" s="104"/>
      <c r="UBM392" s="104"/>
      <c r="UBN392" s="119"/>
      <c r="UBO392" s="104"/>
      <c r="UBP392" s="455"/>
      <c r="UBQ392" s="104"/>
      <c r="UBR392" s="104"/>
      <c r="UBS392" s="109"/>
      <c r="UBT392" s="104"/>
      <c r="UBU392" s="104"/>
      <c r="UBV392" s="119"/>
      <c r="UBW392" s="104"/>
      <c r="UBX392" s="455"/>
      <c r="UBY392" s="104"/>
      <c r="UBZ392" s="104"/>
      <c r="UCA392" s="109"/>
      <c r="UCB392" s="104"/>
      <c r="UCC392" s="104"/>
      <c r="UCD392" s="119"/>
      <c r="UCE392" s="104"/>
      <c r="UCF392" s="455"/>
      <c r="UCG392" s="104"/>
      <c r="UCH392" s="104"/>
      <c r="UCI392" s="109"/>
      <c r="UCJ392" s="104"/>
      <c r="UCK392" s="104"/>
      <c r="UCL392" s="119"/>
      <c r="UCM392" s="104"/>
      <c r="UCN392" s="455"/>
      <c r="UCO392" s="104"/>
      <c r="UCP392" s="104"/>
      <c r="UCQ392" s="109"/>
      <c r="UCR392" s="104"/>
      <c r="UCS392" s="104"/>
      <c r="UCT392" s="119"/>
      <c r="UCU392" s="104"/>
      <c r="UCV392" s="455"/>
      <c r="UCW392" s="104"/>
      <c r="UCX392" s="104"/>
      <c r="UCY392" s="109"/>
      <c r="UCZ392" s="104"/>
      <c r="UDA392" s="104"/>
      <c r="UDB392" s="119"/>
      <c r="UDC392" s="104"/>
      <c r="UDD392" s="455"/>
      <c r="UDE392" s="104"/>
      <c r="UDF392" s="104"/>
      <c r="UDG392" s="109"/>
      <c r="UDH392" s="104"/>
      <c r="UDI392" s="104"/>
      <c r="UDJ392" s="119"/>
      <c r="UDK392" s="104"/>
      <c r="UDL392" s="455"/>
      <c r="UDM392" s="104"/>
      <c r="UDN392" s="104"/>
      <c r="UDO392" s="109"/>
      <c r="UDP392" s="104"/>
      <c r="UDQ392" s="104"/>
      <c r="UDR392" s="119"/>
      <c r="UDS392" s="104"/>
      <c r="UDT392" s="455"/>
      <c r="UDU392" s="104"/>
      <c r="UDV392" s="104"/>
      <c r="UDW392" s="109"/>
      <c r="UDX392" s="104"/>
      <c r="UDY392" s="104"/>
      <c r="UDZ392" s="119"/>
      <c r="UEA392" s="104"/>
      <c r="UEB392" s="455"/>
      <c r="UEC392" s="104"/>
      <c r="UED392" s="104"/>
      <c r="UEE392" s="109"/>
      <c r="UEF392" s="104"/>
      <c r="UEG392" s="104"/>
      <c r="UEH392" s="119"/>
      <c r="UEI392" s="104"/>
      <c r="UEJ392" s="455"/>
      <c r="UEK392" s="104"/>
      <c r="UEL392" s="104"/>
      <c r="UEM392" s="109"/>
      <c r="UEN392" s="104"/>
      <c r="UEO392" s="104"/>
      <c r="UEP392" s="119"/>
      <c r="UEQ392" s="104"/>
      <c r="UER392" s="455"/>
      <c r="UES392" s="104"/>
      <c r="UET392" s="104"/>
      <c r="UEU392" s="109"/>
      <c r="UEV392" s="104"/>
      <c r="UEW392" s="104"/>
      <c r="UEX392" s="119"/>
      <c r="UEY392" s="104"/>
      <c r="UEZ392" s="455"/>
      <c r="UFA392" s="104"/>
      <c r="UFB392" s="104"/>
      <c r="UFC392" s="109"/>
      <c r="UFD392" s="104"/>
      <c r="UFE392" s="104"/>
      <c r="UFF392" s="119"/>
      <c r="UFG392" s="104"/>
      <c r="UFH392" s="455"/>
      <c r="UFI392" s="104"/>
      <c r="UFJ392" s="104"/>
      <c r="UFK392" s="109"/>
      <c r="UFL392" s="104"/>
      <c r="UFM392" s="104"/>
      <c r="UFN392" s="119"/>
      <c r="UFO392" s="104"/>
      <c r="UFP392" s="455"/>
      <c r="UFQ392" s="104"/>
      <c r="UFR392" s="104"/>
      <c r="UFS392" s="109"/>
      <c r="UFT392" s="104"/>
      <c r="UFU392" s="104"/>
      <c r="UFV392" s="119"/>
      <c r="UFW392" s="104"/>
      <c r="UFX392" s="455"/>
      <c r="UFY392" s="104"/>
      <c r="UFZ392" s="104"/>
      <c r="UGA392" s="109"/>
      <c r="UGB392" s="104"/>
      <c r="UGC392" s="104"/>
      <c r="UGD392" s="119"/>
      <c r="UGE392" s="104"/>
      <c r="UGF392" s="455"/>
      <c r="UGG392" s="104"/>
      <c r="UGH392" s="104"/>
      <c r="UGI392" s="109"/>
      <c r="UGJ392" s="104"/>
      <c r="UGK392" s="104"/>
      <c r="UGL392" s="119"/>
      <c r="UGM392" s="104"/>
      <c r="UGN392" s="455"/>
      <c r="UGO392" s="104"/>
      <c r="UGP392" s="104"/>
      <c r="UGQ392" s="109"/>
      <c r="UGR392" s="104"/>
      <c r="UGS392" s="104"/>
      <c r="UGT392" s="119"/>
      <c r="UGU392" s="104"/>
      <c r="UGV392" s="455"/>
      <c r="UGW392" s="104"/>
      <c r="UGX392" s="104"/>
      <c r="UGY392" s="109"/>
      <c r="UGZ392" s="104"/>
      <c r="UHA392" s="104"/>
      <c r="UHB392" s="119"/>
      <c r="UHC392" s="104"/>
      <c r="UHD392" s="455"/>
      <c r="UHE392" s="104"/>
      <c r="UHF392" s="104"/>
      <c r="UHG392" s="109"/>
      <c r="UHH392" s="104"/>
      <c r="UHI392" s="104"/>
      <c r="UHJ392" s="119"/>
      <c r="UHK392" s="104"/>
      <c r="UHL392" s="455"/>
      <c r="UHM392" s="104"/>
      <c r="UHN392" s="104"/>
      <c r="UHO392" s="109"/>
      <c r="UHP392" s="104"/>
      <c r="UHQ392" s="104"/>
      <c r="UHR392" s="119"/>
      <c r="UHS392" s="104"/>
      <c r="UHT392" s="455"/>
      <c r="UHU392" s="104"/>
      <c r="UHV392" s="104"/>
      <c r="UHW392" s="109"/>
      <c r="UHX392" s="104"/>
      <c r="UHY392" s="104"/>
      <c r="UHZ392" s="119"/>
      <c r="UIA392" s="104"/>
      <c r="UIB392" s="455"/>
      <c r="UIC392" s="104"/>
      <c r="UID392" s="104"/>
      <c r="UIE392" s="109"/>
      <c r="UIF392" s="104"/>
      <c r="UIG392" s="104"/>
      <c r="UIH392" s="119"/>
      <c r="UII392" s="104"/>
      <c r="UIJ392" s="455"/>
      <c r="UIK392" s="104"/>
      <c r="UIL392" s="104"/>
      <c r="UIM392" s="109"/>
      <c r="UIN392" s="104"/>
      <c r="UIO392" s="104"/>
      <c r="UIP392" s="119"/>
      <c r="UIQ392" s="104"/>
      <c r="UIR392" s="455"/>
      <c r="UIS392" s="104"/>
      <c r="UIT392" s="104"/>
      <c r="UIU392" s="109"/>
      <c r="UIV392" s="104"/>
      <c r="UIW392" s="104"/>
      <c r="UIX392" s="119"/>
      <c r="UIY392" s="104"/>
      <c r="UIZ392" s="455"/>
      <c r="UJA392" s="104"/>
      <c r="UJB392" s="104"/>
      <c r="UJC392" s="109"/>
      <c r="UJD392" s="104"/>
      <c r="UJE392" s="104"/>
      <c r="UJF392" s="119"/>
      <c r="UJG392" s="104"/>
      <c r="UJH392" s="455"/>
      <c r="UJI392" s="104"/>
      <c r="UJJ392" s="104"/>
      <c r="UJK392" s="109"/>
      <c r="UJL392" s="104"/>
      <c r="UJM392" s="104"/>
      <c r="UJN392" s="119"/>
      <c r="UJO392" s="104"/>
      <c r="UJP392" s="455"/>
      <c r="UJQ392" s="104"/>
      <c r="UJR392" s="104"/>
      <c r="UJS392" s="109"/>
      <c r="UJT392" s="104"/>
      <c r="UJU392" s="104"/>
      <c r="UJV392" s="119"/>
      <c r="UJW392" s="104"/>
      <c r="UJX392" s="455"/>
      <c r="UJY392" s="104"/>
      <c r="UJZ392" s="104"/>
      <c r="UKA392" s="109"/>
      <c r="UKB392" s="104"/>
      <c r="UKC392" s="104"/>
      <c r="UKD392" s="119"/>
      <c r="UKE392" s="104"/>
      <c r="UKF392" s="455"/>
      <c r="UKG392" s="104"/>
      <c r="UKH392" s="104"/>
      <c r="UKI392" s="109"/>
      <c r="UKJ392" s="104"/>
      <c r="UKK392" s="104"/>
      <c r="UKL392" s="119"/>
      <c r="UKM392" s="104"/>
      <c r="UKN392" s="455"/>
      <c r="UKO392" s="104"/>
      <c r="UKP392" s="104"/>
      <c r="UKQ392" s="109"/>
      <c r="UKR392" s="104"/>
      <c r="UKS392" s="104"/>
      <c r="UKT392" s="119"/>
      <c r="UKU392" s="104"/>
      <c r="UKV392" s="455"/>
      <c r="UKW392" s="104"/>
      <c r="UKX392" s="104"/>
      <c r="UKY392" s="109"/>
      <c r="UKZ392" s="104"/>
      <c r="ULA392" s="104"/>
      <c r="ULB392" s="119"/>
      <c r="ULC392" s="104"/>
      <c r="ULD392" s="455"/>
      <c r="ULE392" s="104"/>
      <c r="ULF392" s="104"/>
      <c r="ULG392" s="109"/>
      <c r="ULH392" s="104"/>
      <c r="ULI392" s="104"/>
      <c r="ULJ392" s="119"/>
      <c r="ULK392" s="104"/>
      <c r="ULL392" s="455"/>
      <c r="ULM392" s="104"/>
      <c r="ULN392" s="104"/>
      <c r="ULO392" s="109"/>
      <c r="ULP392" s="104"/>
      <c r="ULQ392" s="104"/>
      <c r="ULR392" s="119"/>
      <c r="ULS392" s="104"/>
      <c r="ULT392" s="455"/>
      <c r="ULU392" s="104"/>
      <c r="ULV392" s="104"/>
      <c r="ULW392" s="109"/>
      <c r="ULX392" s="104"/>
      <c r="ULY392" s="104"/>
      <c r="ULZ392" s="119"/>
      <c r="UMA392" s="104"/>
      <c r="UMB392" s="455"/>
      <c r="UMC392" s="104"/>
      <c r="UMD392" s="104"/>
      <c r="UME392" s="109"/>
      <c r="UMF392" s="104"/>
      <c r="UMG392" s="104"/>
      <c r="UMH392" s="119"/>
      <c r="UMI392" s="104"/>
      <c r="UMJ392" s="455"/>
      <c r="UMK392" s="104"/>
      <c r="UML392" s="104"/>
      <c r="UMM392" s="109"/>
      <c r="UMN392" s="104"/>
      <c r="UMO392" s="104"/>
      <c r="UMP392" s="119"/>
      <c r="UMQ392" s="104"/>
      <c r="UMR392" s="455"/>
      <c r="UMS392" s="104"/>
      <c r="UMT392" s="104"/>
      <c r="UMU392" s="109"/>
      <c r="UMV392" s="104"/>
      <c r="UMW392" s="104"/>
      <c r="UMX392" s="119"/>
      <c r="UMY392" s="104"/>
      <c r="UMZ392" s="455"/>
      <c r="UNA392" s="104"/>
      <c r="UNB392" s="104"/>
      <c r="UNC392" s="109"/>
      <c r="UND392" s="104"/>
      <c r="UNE392" s="104"/>
      <c r="UNF392" s="119"/>
      <c r="UNG392" s="104"/>
      <c r="UNH392" s="455"/>
      <c r="UNI392" s="104"/>
      <c r="UNJ392" s="104"/>
      <c r="UNK392" s="109"/>
      <c r="UNL392" s="104"/>
      <c r="UNM392" s="104"/>
      <c r="UNN392" s="119"/>
      <c r="UNO392" s="104"/>
      <c r="UNP392" s="455"/>
      <c r="UNQ392" s="104"/>
      <c r="UNR392" s="104"/>
      <c r="UNS392" s="109"/>
      <c r="UNT392" s="104"/>
      <c r="UNU392" s="104"/>
      <c r="UNV392" s="119"/>
      <c r="UNW392" s="104"/>
      <c r="UNX392" s="455"/>
      <c r="UNY392" s="104"/>
      <c r="UNZ392" s="104"/>
      <c r="UOA392" s="109"/>
      <c r="UOB392" s="104"/>
      <c r="UOC392" s="104"/>
      <c r="UOD392" s="119"/>
      <c r="UOE392" s="104"/>
      <c r="UOF392" s="455"/>
      <c r="UOG392" s="104"/>
      <c r="UOH392" s="104"/>
      <c r="UOI392" s="109"/>
      <c r="UOJ392" s="104"/>
      <c r="UOK392" s="104"/>
      <c r="UOL392" s="119"/>
      <c r="UOM392" s="104"/>
      <c r="UON392" s="455"/>
      <c r="UOO392" s="104"/>
      <c r="UOP392" s="104"/>
      <c r="UOQ392" s="109"/>
      <c r="UOR392" s="104"/>
      <c r="UOS392" s="104"/>
      <c r="UOT392" s="119"/>
      <c r="UOU392" s="104"/>
      <c r="UOV392" s="455"/>
      <c r="UOW392" s="104"/>
      <c r="UOX392" s="104"/>
      <c r="UOY392" s="109"/>
      <c r="UOZ392" s="104"/>
      <c r="UPA392" s="104"/>
      <c r="UPB392" s="119"/>
      <c r="UPC392" s="104"/>
      <c r="UPD392" s="455"/>
      <c r="UPE392" s="104"/>
      <c r="UPF392" s="104"/>
      <c r="UPG392" s="109"/>
      <c r="UPH392" s="104"/>
      <c r="UPI392" s="104"/>
      <c r="UPJ392" s="119"/>
      <c r="UPK392" s="104"/>
      <c r="UPL392" s="455"/>
      <c r="UPM392" s="104"/>
      <c r="UPN392" s="104"/>
      <c r="UPO392" s="109"/>
      <c r="UPP392" s="104"/>
      <c r="UPQ392" s="104"/>
      <c r="UPR392" s="119"/>
      <c r="UPS392" s="104"/>
      <c r="UPT392" s="455"/>
      <c r="UPU392" s="104"/>
      <c r="UPV392" s="104"/>
      <c r="UPW392" s="109"/>
      <c r="UPX392" s="104"/>
      <c r="UPY392" s="104"/>
      <c r="UPZ392" s="119"/>
      <c r="UQA392" s="104"/>
      <c r="UQB392" s="455"/>
      <c r="UQC392" s="104"/>
      <c r="UQD392" s="104"/>
      <c r="UQE392" s="109"/>
      <c r="UQF392" s="104"/>
      <c r="UQG392" s="104"/>
      <c r="UQH392" s="119"/>
      <c r="UQI392" s="104"/>
      <c r="UQJ392" s="455"/>
      <c r="UQK392" s="104"/>
      <c r="UQL392" s="104"/>
      <c r="UQM392" s="109"/>
      <c r="UQN392" s="104"/>
      <c r="UQO392" s="104"/>
      <c r="UQP392" s="119"/>
      <c r="UQQ392" s="104"/>
      <c r="UQR392" s="455"/>
      <c r="UQS392" s="104"/>
      <c r="UQT392" s="104"/>
      <c r="UQU392" s="109"/>
      <c r="UQV392" s="104"/>
      <c r="UQW392" s="104"/>
      <c r="UQX392" s="119"/>
      <c r="UQY392" s="104"/>
      <c r="UQZ392" s="455"/>
      <c r="URA392" s="104"/>
      <c r="URB392" s="104"/>
      <c r="URC392" s="109"/>
      <c r="URD392" s="104"/>
      <c r="URE392" s="104"/>
      <c r="URF392" s="119"/>
      <c r="URG392" s="104"/>
      <c r="URH392" s="455"/>
      <c r="URI392" s="104"/>
      <c r="URJ392" s="104"/>
      <c r="URK392" s="109"/>
      <c r="URL392" s="104"/>
      <c r="URM392" s="104"/>
      <c r="URN392" s="119"/>
      <c r="URO392" s="104"/>
      <c r="URP392" s="455"/>
      <c r="URQ392" s="104"/>
      <c r="URR392" s="104"/>
      <c r="URS392" s="109"/>
      <c r="URT392" s="104"/>
      <c r="URU392" s="104"/>
      <c r="URV392" s="119"/>
      <c r="URW392" s="104"/>
      <c r="URX392" s="455"/>
      <c r="URY392" s="104"/>
      <c r="URZ392" s="104"/>
      <c r="USA392" s="109"/>
      <c r="USB392" s="104"/>
      <c r="USC392" s="104"/>
      <c r="USD392" s="119"/>
      <c r="USE392" s="104"/>
      <c r="USF392" s="455"/>
      <c r="USG392" s="104"/>
      <c r="USH392" s="104"/>
      <c r="USI392" s="109"/>
      <c r="USJ392" s="104"/>
      <c r="USK392" s="104"/>
      <c r="USL392" s="119"/>
      <c r="USM392" s="104"/>
      <c r="USN392" s="455"/>
      <c r="USO392" s="104"/>
      <c r="USP392" s="104"/>
      <c r="USQ392" s="109"/>
      <c r="USR392" s="104"/>
      <c r="USS392" s="104"/>
      <c r="UST392" s="119"/>
      <c r="USU392" s="104"/>
      <c r="USV392" s="455"/>
      <c r="USW392" s="104"/>
      <c r="USX392" s="104"/>
      <c r="USY392" s="109"/>
      <c r="USZ392" s="104"/>
      <c r="UTA392" s="104"/>
      <c r="UTB392" s="119"/>
      <c r="UTC392" s="104"/>
      <c r="UTD392" s="455"/>
      <c r="UTE392" s="104"/>
      <c r="UTF392" s="104"/>
      <c r="UTG392" s="109"/>
      <c r="UTH392" s="104"/>
      <c r="UTI392" s="104"/>
      <c r="UTJ392" s="119"/>
      <c r="UTK392" s="104"/>
      <c r="UTL392" s="455"/>
      <c r="UTM392" s="104"/>
      <c r="UTN392" s="104"/>
      <c r="UTO392" s="109"/>
      <c r="UTP392" s="104"/>
      <c r="UTQ392" s="104"/>
      <c r="UTR392" s="119"/>
      <c r="UTS392" s="104"/>
      <c r="UTT392" s="455"/>
      <c r="UTU392" s="104"/>
      <c r="UTV392" s="104"/>
      <c r="UTW392" s="109"/>
      <c r="UTX392" s="104"/>
      <c r="UTY392" s="104"/>
      <c r="UTZ392" s="119"/>
      <c r="UUA392" s="104"/>
      <c r="UUB392" s="455"/>
      <c r="UUC392" s="104"/>
      <c r="UUD392" s="104"/>
      <c r="UUE392" s="109"/>
      <c r="UUF392" s="104"/>
      <c r="UUG392" s="104"/>
      <c r="UUH392" s="119"/>
      <c r="UUI392" s="104"/>
      <c r="UUJ392" s="455"/>
      <c r="UUK392" s="104"/>
      <c r="UUL392" s="104"/>
      <c r="UUM392" s="109"/>
      <c r="UUN392" s="104"/>
      <c r="UUO392" s="104"/>
      <c r="UUP392" s="119"/>
      <c r="UUQ392" s="104"/>
      <c r="UUR392" s="455"/>
      <c r="UUS392" s="104"/>
      <c r="UUT392" s="104"/>
      <c r="UUU392" s="109"/>
      <c r="UUV392" s="104"/>
      <c r="UUW392" s="104"/>
      <c r="UUX392" s="119"/>
      <c r="UUY392" s="104"/>
      <c r="UUZ392" s="455"/>
      <c r="UVA392" s="104"/>
      <c r="UVB392" s="104"/>
      <c r="UVC392" s="109"/>
      <c r="UVD392" s="104"/>
      <c r="UVE392" s="104"/>
      <c r="UVF392" s="119"/>
      <c r="UVG392" s="104"/>
      <c r="UVH392" s="455"/>
      <c r="UVI392" s="104"/>
      <c r="UVJ392" s="104"/>
      <c r="UVK392" s="109"/>
      <c r="UVL392" s="104"/>
      <c r="UVM392" s="104"/>
      <c r="UVN392" s="119"/>
      <c r="UVO392" s="104"/>
      <c r="UVP392" s="455"/>
      <c r="UVQ392" s="104"/>
      <c r="UVR392" s="104"/>
      <c r="UVS392" s="109"/>
      <c r="UVT392" s="104"/>
      <c r="UVU392" s="104"/>
      <c r="UVV392" s="119"/>
      <c r="UVW392" s="104"/>
      <c r="UVX392" s="455"/>
      <c r="UVY392" s="104"/>
      <c r="UVZ392" s="104"/>
      <c r="UWA392" s="109"/>
      <c r="UWB392" s="104"/>
      <c r="UWC392" s="104"/>
      <c r="UWD392" s="119"/>
      <c r="UWE392" s="104"/>
      <c r="UWF392" s="455"/>
      <c r="UWG392" s="104"/>
      <c r="UWH392" s="104"/>
      <c r="UWI392" s="109"/>
      <c r="UWJ392" s="104"/>
      <c r="UWK392" s="104"/>
      <c r="UWL392" s="119"/>
      <c r="UWM392" s="104"/>
      <c r="UWN392" s="455"/>
      <c r="UWO392" s="104"/>
      <c r="UWP392" s="104"/>
      <c r="UWQ392" s="109"/>
      <c r="UWR392" s="104"/>
      <c r="UWS392" s="104"/>
      <c r="UWT392" s="119"/>
      <c r="UWU392" s="104"/>
      <c r="UWV392" s="455"/>
      <c r="UWW392" s="104"/>
      <c r="UWX392" s="104"/>
      <c r="UWY392" s="109"/>
      <c r="UWZ392" s="104"/>
      <c r="UXA392" s="104"/>
      <c r="UXB392" s="119"/>
      <c r="UXC392" s="104"/>
      <c r="UXD392" s="455"/>
      <c r="UXE392" s="104"/>
      <c r="UXF392" s="104"/>
      <c r="UXG392" s="109"/>
      <c r="UXH392" s="104"/>
      <c r="UXI392" s="104"/>
      <c r="UXJ392" s="119"/>
      <c r="UXK392" s="104"/>
      <c r="UXL392" s="455"/>
      <c r="UXM392" s="104"/>
      <c r="UXN392" s="104"/>
      <c r="UXO392" s="109"/>
      <c r="UXP392" s="104"/>
      <c r="UXQ392" s="104"/>
      <c r="UXR392" s="119"/>
      <c r="UXS392" s="104"/>
      <c r="UXT392" s="455"/>
      <c r="UXU392" s="104"/>
      <c r="UXV392" s="104"/>
      <c r="UXW392" s="109"/>
      <c r="UXX392" s="104"/>
      <c r="UXY392" s="104"/>
      <c r="UXZ392" s="119"/>
      <c r="UYA392" s="104"/>
      <c r="UYB392" s="455"/>
      <c r="UYC392" s="104"/>
      <c r="UYD392" s="104"/>
      <c r="UYE392" s="109"/>
      <c r="UYF392" s="104"/>
      <c r="UYG392" s="104"/>
      <c r="UYH392" s="119"/>
      <c r="UYI392" s="104"/>
      <c r="UYJ392" s="455"/>
      <c r="UYK392" s="104"/>
      <c r="UYL392" s="104"/>
      <c r="UYM392" s="109"/>
      <c r="UYN392" s="104"/>
      <c r="UYO392" s="104"/>
      <c r="UYP392" s="119"/>
      <c r="UYQ392" s="104"/>
      <c r="UYR392" s="455"/>
      <c r="UYS392" s="104"/>
      <c r="UYT392" s="104"/>
      <c r="UYU392" s="109"/>
      <c r="UYV392" s="104"/>
      <c r="UYW392" s="104"/>
      <c r="UYX392" s="119"/>
      <c r="UYY392" s="104"/>
      <c r="UYZ392" s="455"/>
      <c r="UZA392" s="104"/>
      <c r="UZB392" s="104"/>
      <c r="UZC392" s="109"/>
      <c r="UZD392" s="104"/>
      <c r="UZE392" s="104"/>
      <c r="UZF392" s="119"/>
      <c r="UZG392" s="104"/>
      <c r="UZH392" s="455"/>
      <c r="UZI392" s="104"/>
      <c r="UZJ392" s="104"/>
      <c r="UZK392" s="109"/>
      <c r="UZL392" s="104"/>
      <c r="UZM392" s="104"/>
      <c r="UZN392" s="119"/>
      <c r="UZO392" s="104"/>
      <c r="UZP392" s="455"/>
      <c r="UZQ392" s="104"/>
      <c r="UZR392" s="104"/>
      <c r="UZS392" s="109"/>
      <c r="UZT392" s="104"/>
      <c r="UZU392" s="104"/>
      <c r="UZV392" s="119"/>
      <c r="UZW392" s="104"/>
      <c r="UZX392" s="455"/>
      <c r="UZY392" s="104"/>
      <c r="UZZ392" s="104"/>
      <c r="VAA392" s="109"/>
      <c r="VAB392" s="104"/>
      <c r="VAC392" s="104"/>
      <c r="VAD392" s="119"/>
      <c r="VAE392" s="104"/>
      <c r="VAF392" s="455"/>
      <c r="VAG392" s="104"/>
      <c r="VAH392" s="104"/>
      <c r="VAI392" s="109"/>
      <c r="VAJ392" s="104"/>
      <c r="VAK392" s="104"/>
      <c r="VAL392" s="119"/>
      <c r="VAM392" s="104"/>
      <c r="VAN392" s="455"/>
      <c r="VAO392" s="104"/>
      <c r="VAP392" s="104"/>
      <c r="VAQ392" s="109"/>
      <c r="VAR392" s="104"/>
      <c r="VAS392" s="104"/>
      <c r="VAT392" s="119"/>
      <c r="VAU392" s="104"/>
      <c r="VAV392" s="455"/>
      <c r="VAW392" s="104"/>
      <c r="VAX392" s="104"/>
      <c r="VAY392" s="109"/>
      <c r="VAZ392" s="104"/>
      <c r="VBA392" s="104"/>
      <c r="VBB392" s="119"/>
      <c r="VBC392" s="104"/>
      <c r="VBD392" s="455"/>
      <c r="VBE392" s="104"/>
      <c r="VBF392" s="104"/>
      <c r="VBG392" s="109"/>
      <c r="VBH392" s="104"/>
      <c r="VBI392" s="104"/>
      <c r="VBJ392" s="119"/>
      <c r="VBK392" s="104"/>
      <c r="VBL392" s="455"/>
      <c r="VBM392" s="104"/>
      <c r="VBN392" s="104"/>
      <c r="VBO392" s="109"/>
      <c r="VBP392" s="104"/>
      <c r="VBQ392" s="104"/>
      <c r="VBR392" s="119"/>
      <c r="VBS392" s="104"/>
      <c r="VBT392" s="455"/>
      <c r="VBU392" s="104"/>
      <c r="VBV392" s="104"/>
      <c r="VBW392" s="109"/>
      <c r="VBX392" s="104"/>
      <c r="VBY392" s="104"/>
      <c r="VBZ392" s="119"/>
      <c r="VCA392" s="104"/>
      <c r="VCB392" s="455"/>
      <c r="VCC392" s="104"/>
      <c r="VCD392" s="104"/>
      <c r="VCE392" s="109"/>
      <c r="VCF392" s="104"/>
      <c r="VCG392" s="104"/>
      <c r="VCH392" s="119"/>
      <c r="VCI392" s="104"/>
      <c r="VCJ392" s="455"/>
      <c r="VCK392" s="104"/>
      <c r="VCL392" s="104"/>
      <c r="VCM392" s="109"/>
      <c r="VCN392" s="104"/>
      <c r="VCO392" s="104"/>
      <c r="VCP392" s="119"/>
      <c r="VCQ392" s="104"/>
      <c r="VCR392" s="455"/>
      <c r="VCS392" s="104"/>
      <c r="VCT392" s="104"/>
      <c r="VCU392" s="109"/>
      <c r="VCV392" s="104"/>
      <c r="VCW392" s="104"/>
      <c r="VCX392" s="119"/>
      <c r="VCY392" s="104"/>
      <c r="VCZ392" s="455"/>
      <c r="VDA392" s="104"/>
      <c r="VDB392" s="104"/>
      <c r="VDC392" s="109"/>
      <c r="VDD392" s="104"/>
      <c r="VDE392" s="104"/>
      <c r="VDF392" s="119"/>
      <c r="VDG392" s="104"/>
      <c r="VDH392" s="455"/>
      <c r="VDI392" s="104"/>
      <c r="VDJ392" s="104"/>
      <c r="VDK392" s="109"/>
      <c r="VDL392" s="104"/>
      <c r="VDM392" s="104"/>
      <c r="VDN392" s="119"/>
      <c r="VDO392" s="104"/>
      <c r="VDP392" s="455"/>
      <c r="VDQ392" s="104"/>
      <c r="VDR392" s="104"/>
      <c r="VDS392" s="109"/>
      <c r="VDT392" s="104"/>
      <c r="VDU392" s="104"/>
      <c r="VDV392" s="119"/>
      <c r="VDW392" s="104"/>
      <c r="VDX392" s="455"/>
      <c r="VDY392" s="104"/>
      <c r="VDZ392" s="104"/>
      <c r="VEA392" s="109"/>
      <c r="VEB392" s="104"/>
      <c r="VEC392" s="104"/>
      <c r="VED392" s="119"/>
      <c r="VEE392" s="104"/>
      <c r="VEF392" s="455"/>
      <c r="VEG392" s="104"/>
      <c r="VEH392" s="104"/>
      <c r="VEI392" s="109"/>
      <c r="VEJ392" s="104"/>
      <c r="VEK392" s="104"/>
      <c r="VEL392" s="119"/>
      <c r="VEM392" s="104"/>
      <c r="VEN392" s="455"/>
      <c r="VEO392" s="104"/>
      <c r="VEP392" s="104"/>
      <c r="VEQ392" s="109"/>
      <c r="VER392" s="104"/>
      <c r="VES392" s="104"/>
      <c r="VET392" s="119"/>
      <c r="VEU392" s="104"/>
      <c r="VEV392" s="455"/>
      <c r="VEW392" s="104"/>
      <c r="VEX392" s="104"/>
      <c r="VEY392" s="109"/>
      <c r="VEZ392" s="104"/>
      <c r="VFA392" s="104"/>
      <c r="VFB392" s="119"/>
      <c r="VFC392" s="104"/>
      <c r="VFD392" s="455"/>
      <c r="VFE392" s="104"/>
      <c r="VFF392" s="104"/>
      <c r="VFG392" s="109"/>
      <c r="VFH392" s="104"/>
      <c r="VFI392" s="104"/>
      <c r="VFJ392" s="119"/>
      <c r="VFK392" s="104"/>
      <c r="VFL392" s="455"/>
      <c r="VFM392" s="104"/>
      <c r="VFN392" s="104"/>
      <c r="VFO392" s="109"/>
      <c r="VFP392" s="104"/>
      <c r="VFQ392" s="104"/>
      <c r="VFR392" s="119"/>
      <c r="VFS392" s="104"/>
      <c r="VFT392" s="455"/>
      <c r="VFU392" s="104"/>
      <c r="VFV392" s="104"/>
      <c r="VFW392" s="109"/>
      <c r="VFX392" s="104"/>
      <c r="VFY392" s="104"/>
      <c r="VFZ392" s="119"/>
      <c r="VGA392" s="104"/>
      <c r="VGB392" s="455"/>
      <c r="VGC392" s="104"/>
      <c r="VGD392" s="104"/>
      <c r="VGE392" s="109"/>
      <c r="VGF392" s="104"/>
      <c r="VGG392" s="104"/>
      <c r="VGH392" s="119"/>
      <c r="VGI392" s="104"/>
      <c r="VGJ392" s="455"/>
      <c r="VGK392" s="104"/>
      <c r="VGL392" s="104"/>
      <c r="VGM392" s="109"/>
      <c r="VGN392" s="104"/>
      <c r="VGO392" s="104"/>
      <c r="VGP392" s="119"/>
      <c r="VGQ392" s="104"/>
      <c r="VGR392" s="455"/>
      <c r="VGS392" s="104"/>
      <c r="VGT392" s="104"/>
      <c r="VGU392" s="109"/>
      <c r="VGV392" s="104"/>
      <c r="VGW392" s="104"/>
      <c r="VGX392" s="119"/>
      <c r="VGY392" s="104"/>
      <c r="VGZ392" s="455"/>
      <c r="VHA392" s="104"/>
      <c r="VHB392" s="104"/>
      <c r="VHC392" s="109"/>
      <c r="VHD392" s="104"/>
      <c r="VHE392" s="104"/>
      <c r="VHF392" s="119"/>
      <c r="VHG392" s="104"/>
      <c r="VHH392" s="455"/>
      <c r="VHI392" s="104"/>
      <c r="VHJ392" s="104"/>
      <c r="VHK392" s="109"/>
      <c r="VHL392" s="104"/>
      <c r="VHM392" s="104"/>
      <c r="VHN392" s="119"/>
      <c r="VHO392" s="104"/>
      <c r="VHP392" s="455"/>
      <c r="VHQ392" s="104"/>
      <c r="VHR392" s="104"/>
      <c r="VHS392" s="109"/>
      <c r="VHT392" s="104"/>
      <c r="VHU392" s="104"/>
      <c r="VHV392" s="119"/>
      <c r="VHW392" s="104"/>
      <c r="VHX392" s="455"/>
      <c r="VHY392" s="104"/>
      <c r="VHZ392" s="104"/>
      <c r="VIA392" s="109"/>
      <c r="VIB392" s="104"/>
      <c r="VIC392" s="104"/>
      <c r="VID392" s="119"/>
      <c r="VIE392" s="104"/>
      <c r="VIF392" s="455"/>
      <c r="VIG392" s="104"/>
      <c r="VIH392" s="104"/>
      <c r="VII392" s="109"/>
      <c r="VIJ392" s="104"/>
      <c r="VIK392" s="104"/>
      <c r="VIL392" s="119"/>
      <c r="VIM392" s="104"/>
      <c r="VIN392" s="455"/>
      <c r="VIO392" s="104"/>
      <c r="VIP392" s="104"/>
      <c r="VIQ392" s="109"/>
      <c r="VIR392" s="104"/>
      <c r="VIS392" s="104"/>
      <c r="VIT392" s="119"/>
      <c r="VIU392" s="104"/>
      <c r="VIV392" s="455"/>
      <c r="VIW392" s="104"/>
      <c r="VIX392" s="104"/>
      <c r="VIY392" s="109"/>
      <c r="VIZ392" s="104"/>
      <c r="VJA392" s="104"/>
      <c r="VJB392" s="119"/>
      <c r="VJC392" s="104"/>
      <c r="VJD392" s="455"/>
      <c r="VJE392" s="104"/>
      <c r="VJF392" s="104"/>
      <c r="VJG392" s="109"/>
      <c r="VJH392" s="104"/>
      <c r="VJI392" s="104"/>
      <c r="VJJ392" s="119"/>
      <c r="VJK392" s="104"/>
      <c r="VJL392" s="455"/>
      <c r="VJM392" s="104"/>
      <c r="VJN392" s="104"/>
      <c r="VJO392" s="109"/>
      <c r="VJP392" s="104"/>
      <c r="VJQ392" s="104"/>
      <c r="VJR392" s="119"/>
      <c r="VJS392" s="104"/>
      <c r="VJT392" s="455"/>
      <c r="VJU392" s="104"/>
      <c r="VJV392" s="104"/>
      <c r="VJW392" s="109"/>
      <c r="VJX392" s="104"/>
      <c r="VJY392" s="104"/>
      <c r="VJZ392" s="119"/>
      <c r="VKA392" s="104"/>
      <c r="VKB392" s="455"/>
      <c r="VKC392" s="104"/>
      <c r="VKD392" s="104"/>
      <c r="VKE392" s="109"/>
      <c r="VKF392" s="104"/>
      <c r="VKG392" s="104"/>
      <c r="VKH392" s="119"/>
      <c r="VKI392" s="104"/>
      <c r="VKJ392" s="455"/>
      <c r="VKK392" s="104"/>
      <c r="VKL392" s="104"/>
      <c r="VKM392" s="109"/>
      <c r="VKN392" s="104"/>
      <c r="VKO392" s="104"/>
      <c r="VKP392" s="119"/>
      <c r="VKQ392" s="104"/>
      <c r="VKR392" s="455"/>
      <c r="VKS392" s="104"/>
      <c r="VKT392" s="104"/>
      <c r="VKU392" s="109"/>
      <c r="VKV392" s="104"/>
      <c r="VKW392" s="104"/>
      <c r="VKX392" s="119"/>
      <c r="VKY392" s="104"/>
      <c r="VKZ392" s="455"/>
      <c r="VLA392" s="104"/>
      <c r="VLB392" s="104"/>
      <c r="VLC392" s="109"/>
      <c r="VLD392" s="104"/>
      <c r="VLE392" s="104"/>
      <c r="VLF392" s="119"/>
      <c r="VLG392" s="104"/>
      <c r="VLH392" s="455"/>
      <c r="VLI392" s="104"/>
      <c r="VLJ392" s="104"/>
      <c r="VLK392" s="109"/>
      <c r="VLL392" s="104"/>
      <c r="VLM392" s="104"/>
      <c r="VLN392" s="119"/>
      <c r="VLO392" s="104"/>
      <c r="VLP392" s="455"/>
      <c r="VLQ392" s="104"/>
      <c r="VLR392" s="104"/>
      <c r="VLS392" s="109"/>
      <c r="VLT392" s="104"/>
      <c r="VLU392" s="104"/>
      <c r="VLV392" s="119"/>
      <c r="VLW392" s="104"/>
      <c r="VLX392" s="455"/>
      <c r="VLY392" s="104"/>
      <c r="VLZ392" s="104"/>
      <c r="VMA392" s="109"/>
      <c r="VMB392" s="104"/>
      <c r="VMC392" s="104"/>
      <c r="VMD392" s="119"/>
      <c r="VME392" s="104"/>
      <c r="VMF392" s="455"/>
      <c r="VMG392" s="104"/>
      <c r="VMH392" s="104"/>
      <c r="VMI392" s="109"/>
      <c r="VMJ392" s="104"/>
      <c r="VMK392" s="104"/>
      <c r="VML392" s="119"/>
      <c r="VMM392" s="104"/>
      <c r="VMN392" s="455"/>
      <c r="VMO392" s="104"/>
      <c r="VMP392" s="104"/>
      <c r="VMQ392" s="109"/>
      <c r="VMR392" s="104"/>
      <c r="VMS392" s="104"/>
      <c r="VMT392" s="119"/>
      <c r="VMU392" s="104"/>
      <c r="VMV392" s="455"/>
      <c r="VMW392" s="104"/>
      <c r="VMX392" s="104"/>
      <c r="VMY392" s="109"/>
      <c r="VMZ392" s="104"/>
      <c r="VNA392" s="104"/>
      <c r="VNB392" s="119"/>
      <c r="VNC392" s="104"/>
      <c r="VND392" s="455"/>
      <c r="VNE392" s="104"/>
      <c r="VNF392" s="104"/>
      <c r="VNG392" s="109"/>
      <c r="VNH392" s="104"/>
      <c r="VNI392" s="104"/>
      <c r="VNJ392" s="119"/>
      <c r="VNK392" s="104"/>
      <c r="VNL392" s="455"/>
      <c r="VNM392" s="104"/>
      <c r="VNN392" s="104"/>
      <c r="VNO392" s="109"/>
      <c r="VNP392" s="104"/>
      <c r="VNQ392" s="104"/>
      <c r="VNR392" s="119"/>
      <c r="VNS392" s="104"/>
      <c r="VNT392" s="455"/>
      <c r="VNU392" s="104"/>
      <c r="VNV392" s="104"/>
      <c r="VNW392" s="109"/>
      <c r="VNX392" s="104"/>
      <c r="VNY392" s="104"/>
      <c r="VNZ392" s="119"/>
      <c r="VOA392" s="104"/>
      <c r="VOB392" s="455"/>
      <c r="VOC392" s="104"/>
      <c r="VOD392" s="104"/>
      <c r="VOE392" s="109"/>
      <c r="VOF392" s="104"/>
      <c r="VOG392" s="104"/>
      <c r="VOH392" s="119"/>
      <c r="VOI392" s="104"/>
      <c r="VOJ392" s="455"/>
      <c r="VOK392" s="104"/>
      <c r="VOL392" s="104"/>
      <c r="VOM392" s="109"/>
      <c r="VON392" s="104"/>
      <c r="VOO392" s="104"/>
      <c r="VOP392" s="119"/>
      <c r="VOQ392" s="104"/>
      <c r="VOR392" s="455"/>
      <c r="VOS392" s="104"/>
      <c r="VOT392" s="104"/>
      <c r="VOU392" s="109"/>
      <c r="VOV392" s="104"/>
      <c r="VOW392" s="104"/>
      <c r="VOX392" s="119"/>
      <c r="VOY392" s="104"/>
      <c r="VOZ392" s="455"/>
      <c r="VPA392" s="104"/>
      <c r="VPB392" s="104"/>
      <c r="VPC392" s="109"/>
      <c r="VPD392" s="104"/>
      <c r="VPE392" s="104"/>
      <c r="VPF392" s="119"/>
      <c r="VPG392" s="104"/>
      <c r="VPH392" s="455"/>
      <c r="VPI392" s="104"/>
      <c r="VPJ392" s="104"/>
      <c r="VPK392" s="109"/>
      <c r="VPL392" s="104"/>
      <c r="VPM392" s="104"/>
      <c r="VPN392" s="119"/>
      <c r="VPO392" s="104"/>
      <c r="VPP392" s="455"/>
      <c r="VPQ392" s="104"/>
      <c r="VPR392" s="104"/>
      <c r="VPS392" s="109"/>
      <c r="VPT392" s="104"/>
      <c r="VPU392" s="104"/>
      <c r="VPV392" s="119"/>
      <c r="VPW392" s="104"/>
      <c r="VPX392" s="455"/>
      <c r="VPY392" s="104"/>
      <c r="VPZ392" s="104"/>
      <c r="VQA392" s="109"/>
      <c r="VQB392" s="104"/>
      <c r="VQC392" s="104"/>
      <c r="VQD392" s="119"/>
      <c r="VQE392" s="104"/>
      <c r="VQF392" s="455"/>
      <c r="VQG392" s="104"/>
      <c r="VQH392" s="104"/>
      <c r="VQI392" s="109"/>
      <c r="VQJ392" s="104"/>
      <c r="VQK392" s="104"/>
      <c r="VQL392" s="119"/>
      <c r="VQM392" s="104"/>
      <c r="VQN392" s="455"/>
      <c r="VQO392" s="104"/>
      <c r="VQP392" s="104"/>
      <c r="VQQ392" s="109"/>
      <c r="VQR392" s="104"/>
      <c r="VQS392" s="104"/>
      <c r="VQT392" s="119"/>
      <c r="VQU392" s="104"/>
      <c r="VQV392" s="455"/>
      <c r="VQW392" s="104"/>
      <c r="VQX392" s="104"/>
      <c r="VQY392" s="109"/>
      <c r="VQZ392" s="104"/>
      <c r="VRA392" s="104"/>
      <c r="VRB392" s="119"/>
      <c r="VRC392" s="104"/>
      <c r="VRD392" s="455"/>
      <c r="VRE392" s="104"/>
      <c r="VRF392" s="104"/>
      <c r="VRG392" s="109"/>
      <c r="VRH392" s="104"/>
      <c r="VRI392" s="104"/>
      <c r="VRJ392" s="119"/>
      <c r="VRK392" s="104"/>
      <c r="VRL392" s="455"/>
      <c r="VRM392" s="104"/>
      <c r="VRN392" s="104"/>
      <c r="VRO392" s="109"/>
      <c r="VRP392" s="104"/>
      <c r="VRQ392" s="104"/>
      <c r="VRR392" s="119"/>
      <c r="VRS392" s="104"/>
      <c r="VRT392" s="455"/>
      <c r="VRU392" s="104"/>
      <c r="VRV392" s="104"/>
      <c r="VRW392" s="109"/>
      <c r="VRX392" s="104"/>
      <c r="VRY392" s="104"/>
      <c r="VRZ392" s="119"/>
      <c r="VSA392" s="104"/>
      <c r="VSB392" s="455"/>
      <c r="VSC392" s="104"/>
      <c r="VSD392" s="104"/>
      <c r="VSE392" s="109"/>
      <c r="VSF392" s="104"/>
      <c r="VSG392" s="104"/>
      <c r="VSH392" s="119"/>
      <c r="VSI392" s="104"/>
      <c r="VSJ392" s="455"/>
      <c r="VSK392" s="104"/>
      <c r="VSL392" s="104"/>
      <c r="VSM392" s="109"/>
      <c r="VSN392" s="104"/>
      <c r="VSO392" s="104"/>
      <c r="VSP392" s="119"/>
      <c r="VSQ392" s="104"/>
      <c r="VSR392" s="455"/>
      <c r="VSS392" s="104"/>
      <c r="VST392" s="104"/>
      <c r="VSU392" s="109"/>
      <c r="VSV392" s="104"/>
      <c r="VSW392" s="104"/>
      <c r="VSX392" s="119"/>
      <c r="VSY392" s="104"/>
      <c r="VSZ392" s="455"/>
      <c r="VTA392" s="104"/>
      <c r="VTB392" s="104"/>
      <c r="VTC392" s="109"/>
      <c r="VTD392" s="104"/>
      <c r="VTE392" s="104"/>
      <c r="VTF392" s="119"/>
      <c r="VTG392" s="104"/>
      <c r="VTH392" s="455"/>
      <c r="VTI392" s="104"/>
      <c r="VTJ392" s="104"/>
      <c r="VTK392" s="109"/>
      <c r="VTL392" s="104"/>
      <c r="VTM392" s="104"/>
      <c r="VTN392" s="119"/>
      <c r="VTO392" s="104"/>
      <c r="VTP392" s="455"/>
      <c r="VTQ392" s="104"/>
      <c r="VTR392" s="104"/>
      <c r="VTS392" s="109"/>
      <c r="VTT392" s="104"/>
      <c r="VTU392" s="104"/>
      <c r="VTV392" s="119"/>
      <c r="VTW392" s="104"/>
      <c r="VTX392" s="455"/>
      <c r="VTY392" s="104"/>
      <c r="VTZ392" s="104"/>
      <c r="VUA392" s="109"/>
      <c r="VUB392" s="104"/>
      <c r="VUC392" s="104"/>
      <c r="VUD392" s="119"/>
      <c r="VUE392" s="104"/>
      <c r="VUF392" s="455"/>
      <c r="VUG392" s="104"/>
      <c r="VUH392" s="104"/>
      <c r="VUI392" s="109"/>
      <c r="VUJ392" s="104"/>
      <c r="VUK392" s="104"/>
      <c r="VUL392" s="119"/>
      <c r="VUM392" s="104"/>
      <c r="VUN392" s="455"/>
      <c r="VUO392" s="104"/>
      <c r="VUP392" s="104"/>
      <c r="VUQ392" s="109"/>
      <c r="VUR392" s="104"/>
      <c r="VUS392" s="104"/>
      <c r="VUT392" s="119"/>
      <c r="VUU392" s="104"/>
      <c r="VUV392" s="455"/>
      <c r="VUW392" s="104"/>
      <c r="VUX392" s="104"/>
      <c r="VUY392" s="109"/>
      <c r="VUZ392" s="104"/>
      <c r="VVA392" s="104"/>
      <c r="VVB392" s="119"/>
      <c r="VVC392" s="104"/>
      <c r="VVD392" s="455"/>
      <c r="VVE392" s="104"/>
      <c r="VVF392" s="104"/>
      <c r="VVG392" s="109"/>
      <c r="VVH392" s="104"/>
      <c r="VVI392" s="104"/>
      <c r="VVJ392" s="119"/>
      <c r="VVK392" s="104"/>
      <c r="VVL392" s="455"/>
      <c r="VVM392" s="104"/>
      <c r="VVN392" s="104"/>
      <c r="VVO392" s="109"/>
      <c r="VVP392" s="104"/>
      <c r="VVQ392" s="104"/>
      <c r="VVR392" s="119"/>
      <c r="VVS392" s="104"/>
      <c r="VVT392" s="455"/>
      <c r="VVU392" s="104"/>
      <c r="VVV392" s="104"/>
      <c r="VVW392" s="109"/>
      <c r="VVX392" s="104"/>
      <c r="VVY392" s="104"/>
      <c r="VVZ392" s="119"/>
      <c r="VWA392" s="104"/>
      <c r="VWB392" s="455"/>
      <c r="VWC392" s="104"/>
      <c r="VWD392" s="104"/>
      <c r="VWE392" s="109"/>
      <c r="VWF392" s="104"/>
      <c r="VWG392" s="104"/>
      <c r="VWH392" s="119"/>
      <c r="VWI392" s="104"/>
      <c r="VWJ392" s="455"/>
      <c r="VWK392" s="104"/>
      <c r="VWL392" s="104"/>
      <c r="VWM392" s="109"/>
      <c r="VWN392" s="104"/>
      <c r="VWO392" s="104"/>
      <c r="VWP392" s="119"/>
      <c r="VWQ392" s="104"/>
      <c r="VWR392" s="455"/>
      <c r="VWS392" s="104"/>
      <c r="VWT392" s="104"/>
      <c r="VWU392" s="109"/>
      <c r="VWV392" s="104"/>
      <c r="VWW392" s="104"/>
      <c r="VWX392" s="119"/>
      <c r="VWY392" s="104"/>
      <c r="VWZ392" s="455"/>
      <c r="VXA392" s="104"/>
      <c r="VXB392" s="104"/>
      <c r="VXC392" s="109"/>
      <c r="VXD392" s="104"/>
      <c r="VXE392" s="104"/>
      <c r="VXF392" s="119"/>
      <c r="VXG392" s="104"/>
      <c r="VXH392" s="455"/>
      <c r="VXI392" s="104"/>
      <c r="VXJ392" s="104"/>
      <c r="VXK392" s="109"/>
      <c r="VXL392" s="104"/>
      <c r="VXM392" s="104"/>
      <c r="VXN392" s="119"/>
      <c r="VXO392" s="104"/>
      <c r="VXP392" s="455"/>
      <c r="VXQ392" s="104"/>
      <c r="VXR392" s="104"/>
      <c r="VXS392" s="109"/>
      <c r="VXT392" s="104"/>
      <c r="VXU392" s="104"/>
      <c r="VXV392" s="119"/>
      <c r="VXW392" s="104"/>
      <c r="VXX392" s="455"/>
      <c r="VXY392" s="104"/>
      <c r="VXZ392" s="104"/>
      <c r="VYA392" s="109"/>
      <c r="VYB392" s="104"/>
      <c r="VYC392" s="104"/>
      <c r="VYD392" s="119"/>
      <c r="VYE392" s="104"/>
      <c r="VYF392" s="455"/>
      <c r="VYG392" s="104"/>
      <c r="VYH392" s="104"/>
      <c r="VYI392" s="109"/>
      <c r="VYJ392" s="104"/>
      <c r="VYK392" s="104"/>
      <c r="VYL392" s="119"/>
      <c r="VYM392" s="104"/>
      <c r="VYN392" s="455"/>
      <c r="VYO392" s="104"/>
      <c r="VYP392" s="104"/>
      <c r="VYQ392" s="109"/>
      <c r="VYR392" s="104"/>
      <c r="VYS392" s="104"/>
      <c r="VYT392" s="119"/>
      <c r="VYU392" s="104"/>
      <c r="VYV392" s="455"/>
      <c r="VYW392" s="104"/>
      <c r="VYX392" s="104"/>
      <c r="VYY392" s="109"/>
      <c r="VYZ392" s="104"/>
      <c r="VZA392" s="104"/>
      <c r="VZB392" s="119"/>
      <c r="VZC392" s="104"/>
      <c r="VZD392" s="455"/>
      <c r="VZE392" s="104"/>
      <c r="VZF392" s="104"/>
      <c r="VZG392" s="109"/>
      <c r="VZH392" s="104"/>
      <c r="VZI392" s="104"/>
      <c r="VZJ392" s="119"/>
      <c r="VZK392" s="104"/>
      <c r="VZL392" s="455"/>
      <c r="VZM392" s="104"/>
      <c r="VZN392" s="104"/>
      <c r="VZO392" s="109"/>
      <c r="VZP392" s="104"/>
      <c r="VZQ392" s="104"/>
      <c r="VZR392" s="119"/>
      <c r="VZS392" s="104"/>
      <c r="VZT392" s="455"/>
      <c r="VZU392" s="104"/>
      <c r="VZV392" s="104"/>
      <c r="VZW392" s="109"/>
      <c r="VZX392" s="104"/>
      <c r="VZY392" s="104"/>
      <c r="VZZ392" s="119"/>
      <c r="WAA392" s="104"/>
      <c r="WAB392" s="455"/>
      <c r="WAC392" s="104"/>
      <c r="WAD392" s="104"/>
      <c r="WAE392" s="109"/>
      <c r="WAF392" s="104"/>
      <c r="WAG392" s="104"/>
      <c r="WAH392" s="119"/>
      <c r="WAI392" s="104"/>
      <c r="WAJ392" s="455"/>
      <c r="WAK392" s="104"/>
      <c r="WAL392" s="104"/>
      <c r="WAM392" s="109"/>
      <c r="WAN392" s="104"/>
      <c r="WAO392" s="104"/>
      <c r="WAP392" s="119"/>
      <c r="WAQ392" s="104"/>
      <c r="WAR392" s="455"/>
      <c r="WAS392" s="104"/>
      <c r="WAT392" s="104"/>
      <c r="WAU392" s="109"/>
      <c r="WAV392" s="104"/>
      <c r="WAW392" s="104"/>
      <c r="WAX392" s="119"/>
      <c r="WAY392" s="104"/>
      <c r="WAZ392" s="455"/>
      <c r="WBA392" s="104"/>
      <c r="WBB392" s="104"/>
      <c r="WBC392" s="109"/>
      <c r="WBD392" s="104"/>
      <c r="WBE392" s="104"/>
      <c r="WBF392" s="119"/>
      <c r="WBG392" s="104"/>
      <c r="WBH392" s="455"/>
      <c r="WBI392" s="104"/>
      <c r="WBJ392" s="104"/>
      <c r="WBK392" s="109"/>
      <c r="WBL392" s="104"/>
      <c r="WBM392" s="104"/>
      <c r="WBN392" s="119"/>
      <c r="WBO392" s="104"/>
      <c r="WBP392" s="455"/>
      <c r="WBQ392" s="104"/>
      <c r="WBR392" s="104"/>
      <c r="WBS392" s="109"/>
      <c r="WBT392" s="104"/>
      <c r="WBU392" s="104"/>
      <c r="WBV392" s="119"/>
      <c r="WBW392" s="104"/>
      <c r="WBX392" s="455"/>
      <c r="WBY392" s="104"/>
      <c r="WBZ392" s="104"/>
      <c r="WCA392" s="109"/>
      <c r="WCB392" s="104"/>
      <c r="WCC392" s="104"/>
      <c r="WCD392" s="119"/>
      <c r="WCE392" s="104"/>
      <c r="WCF392" s="455"/>
      <c r="WCG392" s="104"/>
      <c r="WCH392" s="104"/>
      <c r="WCI392" s="109"/>
      <c r="WCJ392" s="104"/>
      <c r="WCK392" s="104"/>
      <c r="WCL392" s="119"/>
      <c r="WCM392" s="104"/>
      <c r="WCN392" s="455"/>
      <c r="WCO392" s="104"/>
      <c r="WCP392" s="104"/>
      <c r="WCQ392" s="109"/>
      <c r="WCR392" s="104"/>
      <c r="WCS392" s="104"/>
      <c r="WCT392" s="119"/>
      <c r="WCU392" s="104"/>
      <c r="WCV392" s="455"/>
      <c r="WCW392" s="104"/>
      <c r="WCX392" s="104"/>
      <c r="WCY392" s="109"/>
      <c r="WCZ392" s="104"/>
      <c r="WDA392" s="104"/>
      <c r="WDB392" s="119"/>
      <c r="WDC392" s="104"/>
      <c r="WDD392" s="455"/>
      <c r="WDE392" s="104"/>
      <c r="WDF392" s="104"/>
      <c r="WDG392" s="109"/>
      <c r="WDH392" s="104"/>
      <c r="WDI392" s="104"/>
      <c r="WDJ392" s="119"/>
      <c r="WDK392" s="104"/>
      <c r="WDL392" s="455"/>
      <c r="WDM392" s="104"/>
      <c r="WDN392" s="104"/>
      <c r="WDO392" s="109"/>
      <c r="WDP392" s="104"/>
      <c r="WDQ392" s="104"/>
      <c r="WDR392" s="119"/>
      <c r="WDS392" s="104"/>
      <c r="WDT392" s="455"/>
      <c r="WDU392" s="104"/>
      <c r="WDV392" s="104"/>
      <c r="WDW392" s="109"/>
      <c r="WDX392" s="104"/>
      <c r="WDY392" s="104"/>
      <c r="WDZ392" s="119"/>
      <c r="WEA392" s="104"/>
      <c r="WEB392" s="455"/>
      <c r="WEC392" s="104"/>
      <c r="WED392" s="104"/>
      <c r="WEE392" s="109"/>
      <c r="WEF392" s="104"/>
      <c r="WEG392" s="104"/>
      <c r="WEH392" s="119"/>
      <c r="WEI392" s="104"/>
      <c r="WEJ392" s="455"/>
      <c r="WEK392" s="104"/>
      <c r="WEL392" s="104"/>
      <c r="WEM392" s="109"/>
      <c r="WEN392" s="104"/>
      <c r="WEO392" s="104"/>
      <c r="WEP392" s="119"/>
      <c r="WEQ392" s="104"/>
      <c r="WER392" s="455"/>
      <c r="WES392" s="104"/>
      <c r="WET392" s="104"/>
      <c r="WEU392" s="109"/>
      <c r="WEV392" s="104"/>
      <c r="WEW392" s="104"/>
      <c r="WEX392" s="119"/>
      <c r="WEY392" s="104"/>
      <c r="WEZ392" s="455"/>
      <c r="WFA392" s="104"/>
      <c r="WFB392" s="104"/>
      <c r="WFC392" s="109"/>
      <c r="WFD392" s="104"/>
      <c r="WFE392" s="104"/>
      <c r="WFF392" s="119"/>
      <c r="WFG392" s="104"/>
      <c r="WFH392" s="455"/>
      <c r="WFI392" s="104"/>
      <c r="WFJ392" s="104"/>
      <c r="WFK392" s="109"/>
      <c r="WFL392" s="104"/>
      <c r="WFM392" s="104"/>
      <c r="WFN392" s="119"/>
      <c r="WFO392" s="104"/>
      <c r="WFP392" s="455"/>
      <c r="WFQ392" s="104"/>
      <c r="WFR392" s="104"/>
      <c r="WFS392" s="109"/>
      <c r="WFT392" s="104"/>
      <c r="WFU392" s="104"/>
      <c r="WFV392" s="119"/>
      <c r="WFW392" s="104"/>
      <c r="WFX392" s="455"/>
      <c r="WFY392" s="104"/>
      <c r="WFZ392" s="104"/>
      <c r="WGA392" s="109"/>
      <c r="WGB392" s="104"/>
      <c r="WGC392" s="104"/>
      <c r="WGD392" s="119"/>
      <c r="WGE392" s="104"/>
      <c r="WGF392" s="455"/>
      <c r="WGG392" s="104"/>
      <c r="WGH392" s="104"/>
      <c r="WGI392" s="109"/>
      <c r="WGJ392" s="104"/>
      <c r="WGK392" s="104"/>
      <c r="WGL392" s="119"/>
      <c r="WGM392" s="104"/>
      <c r="WGN392" s="455"/>
      <c r="WGO392" s="104"/>
      <c r="WGP392" s="104"/>
      <c r="WGQ392" s="109"/>
      <c r="WGR392" s="104"/>
      <c r="WGS392" s="104"/>
      <c r="WGT392" s="119"/>
      <c r="WGU392" s="104"/>
      <c r="WGV392" s="455"/>
      <c r="WGW392" s="104"/>
      <c r="WGX392" s="104"/>
      <c r="WGY392" s="109"/>
      <c r="WGZ392" s="104"/>
      <c r="WHA392" s="104"/>
      <c r="WHB392" s="119"/>
      <c r="WHC392" s="104"/>
      <c r="WHD392" s="455"/>
      <c r="WHE392" s="104"/>
      <c r="WHF392" s="104"/>
      <c r="WHG392" s="109"/>
      <c r="WHH392" s="104"/>
      <c r="WHI392" s="104"/>
      <c r="WHJ392" s="119"/>
      <c r="WHK392" s="104"/>
      <c r="WHL392" s="455"/>
      <c r="WHM392" s="104"/>
      <c r="WHN392" s="104"/>
      <c r="WHO392" s="109"/>
      <c r="WHP392" s="104"/>
      <c r="WHQ392" s="104"/>
      <c r="WHR392" s="119"/>
      <c r="WHS392" s="104"/>
      <c r="WHT392" s="455"/>
      <c r="WHU392" s="104"/>
      <c r="WHV392" s="104"/>
      <c r="WHW392" s="109"/>
      <c r="WHX392" s="104"/>
      <c r="WHY392" s="104"/>
      <c r="WHZ392" s="119"/>
      <c r="WIA392" s="104"/>
      <c r="WIB392" s="455"/>
      <c r="WIC392" s="104"/>
      <c r="WID392" s="104"/>
      <c r="WIE392" s="109"/>
      <c r="WIF392" s="104"/>
      <c r="WIG392" s="104"/>
      <c r="WIH392" s="119"/>
      <c r="WII392" s="104"/>
      <c r="WIJ392" s="455"/>
      <c r="WIK392" s="104"/>
      <c r="WIL392" s="104"/>
      <c r="WIM392" s="109"/>
      <c r="WIN392" s="104"/>
      <c r="WIO392" s="104"/>
      <c r="WIP392" s="119"/>
      <c r="WIQ392" s="104"/>
      <c r="WIR392" s="455"/>
      <c r="WIS392" s="104"/>
      <c r="WIT392" s="104"/>
      <c r="WIU392" s="109"/>
      <c r="WIV392" s="104"/>
      <c r="WIW392" s="104"/>
      <c r="WIX392" s="119"/>
      <c r="WIY392" s="104"/>
      <c r="WIZ392" s="455"/>
      <c r="WJA392" s="104"/>
      <c r="WJB392" s="104"/>
      <c r="WJC392" s="109"/>
      <c r="WJD392" s="104"/>
      <c r="WJE392" s="104"/>
      <c r="WJF392" s="119"/>
      <c r="WJG392" s="104"/>
      <c r="WJH392" s="455"/>
      <c r="WJI392" s="104"/>
      <c r="WJJ392" s="104"/>
      <c r="WJK392" s="109"/>
      <c r="WJL392" s="104"/>
      <c r="WJM392" s="104"/>
      <c r="WJN392" s="119"/>
      <c r="WJO392" s="104"/>
      <c r="WJP392" s="455"/>
      <c r="WJQ392" s="104"/>
      <c r="WJR392" s="104"/>
      <c r="WJS392" s="109"/>
      <c r="WJT392" s="104"/>
      <c r="WJU392" s="104"/>
      <c r="WJV392" s="119"/>
      <c r="WJW392" s="104"/>
      <c r="WJX392" s="455"/>
      <c r="WJY392" s="104"/>
      <c r="WJZ392" s="104"/>
      <c r="WKA392" s="109"/>
      <c r="WKB392" s="104"/>
      <c r="WKC392" s="104"/>
      <c r="WKD392" s="119"/>
      <c r="WKE392" s="104"/>
      <c r="WKF392" s="455"/>
      <c r="WKG392" s="104"/>
      <c r="WKH392" s="104"/>
      <c r="WKI392" s="109"/>
      <c r="WKJ392" s="104"/>
      <c r="WKK392" s="104"/>
      <c r="WKL392" s="119"/>
      <c r="WKM392" s="104"/>
      <c r="WKN392" s="455"/>
      <c r="WKO392" s="104"/>
      <c r="WKP392" s="104"/>
      <c r="WKQ392" s="109"/>
      <c r="WKR392" s="104"/>
      <c r="WKS392" s="104"/>
      <c r="WKT392" s="119"/>
      <c r="WKU392" s="104"/>
      <c r="WKV392" s="455"/>
      <c r="WKW392" s="104"/>
      <c r="WKX392" s="104"/>
      <c r="WKY392" s="109"/>
      <c r="WKZ392" s="104"/>
      <c r="WLA392" s="104"/>
      <c r="WLB392" s="119"/>
      <c r="WLC392" s="104"/>
      <c r="WLD392" s="455"/>
      <c r="WLE392" s="104"/>
      <c r="WLF392" s="104"/>
      <c r="WLG392" s="109"/>
      <c r="WLH392" s="104"/>
      <c r="WLI392" s="104"/>
      <c r="WLJ392" s="119"/>
      <c r="WLK392" s="104"/>
      <c r="WLL392" s="455"/>
      <c r="WLM392" s="104"/>
      <c r="WLN392" s="104"/>
      <c r="WLO392" s="109"/>
      <c r="WLP392" s="104"/>
      <c r="WLQ392" s="104"/>
      <c r="WLR392" s="119"/>
      <c r="WLS392" s="104"/>
      <c r="WLT392" s="455"/>
      <c r="WLU392" s="104"/>
      <c r="WLV392" s="104"/>
      <c r="WLW392" s="109"/>
      <c r="WLX392" s="104"/>
      <c r="WLY392" s="104"/>
      <c r="WLZ392" s="119"/>
      <c r="WMA392" s="104"/>
      <c r="WMB392" s="455"/>
      <c r="WMC392" s="104"/>
      <c r="WMD392" s="104"/>
      <c r="WME392" s="109"/>
      <c r="WMF392" s="104"/>
      <c r="WMG392" s="104"/>
      <c r="WMH392" s="119"/>
      <c r="WMI392" s="104"/>
      <c r="WMJ392" s="455"/>
      <c r="WMK392" s="104"/>
      <c r="WML392" s="104"/>
      <c r="WMM392" s="109"/>
      <c r="WMN392" s="104"/>
      <c r="WMO392" s="104"/>
      <c r="WMP392" s="119"/>
      <c r="WMQ392" s="104"/>
      <c r="WMR392" s="455"/>
      <c r="WMS392" s="104"/>
      <c r="WMT392" s="104"/>
      <c r="WMU392" s="109"/>
      <c r="WMV392" s="104"/>
      <c r="WMW392" s="104"/>
      <c r="WMX392" s="119"/>
      <c r="WMY392" s="104"/>
      <c r="WMZ392" s="455"/>
      <c r="WNA392" s="104"/>
      <c r="WNB392" s="104"/>
      <c r="WNC392" s="109"/>
      <c r="WND392" s="104"/>
      <c r="WNE392" s="104"/>
      <c r="WNF392" s="119"/>
      <c r="WNG392" s="104"/>
      <c r="WNH392" s="455"/>
      <c r="WNI392" s="104"/>
      <c r="WNJ392" s="104"/>
      <c r="WNK392" s="109"/>
      <c r="WNL392" s="104"/>
      <c r="WNM392" s="104"/>
      <c r="WNN392" s="119"/>
      <c r="WNO392" s="104"/>
      <c r="WNP392" s="455"/>
      <c r="WNQ392" s="104"/>
      <c r="WNR392" s="104"/>
      <c r="WNS392" s="109"/>
      <c r="WNT392" s="104"/>
      <c r="WNU392" s="104"/>
      <c r="WNV392" s="119"/>
      <c r="WNW392" s="104"/>
      <c r="WNX392" s="455"/>
      <c r="WNY392" s="104"/>
      <c r="WNZ392" s="104"/>
      <c r="WOA392" s="109"/>
      <c r="WOB392" s="104"/>
      <c r="WOC392" s="104"/>
      <c r="WOD392" s="119"/>
      <c r="WOE392" s="104"/>
      <c r="WOF392" s="455"/>
      <c r="WOG392" s="104"/>
      <c r="WOH392" s="104"/>
      <c r="WOI392" s="109"/>
      <c r="WOJ392" s="104"/>
      <c r="WOK392" s="104"/>
      <c r="WOL392" s="119"/>
      <c r="WOM392" s="104"/>
      <c r="WON392" s="455"/>
      <c r="WOO392" s="104"/>
      <c r="WOP392" s="104"/>
      <c r="WOQ392" s="109"/>
      <c r="WOR392" s="104"/>
      <c r="WOS392" s="104"/>
      <c r="WOT392" s="119"/>
      <c r="WOU392" s="104"/>
      <c r="WOV392" s="455"/>
      <c r="WOW392" s="104"/>
      <c r="WOX392" s="104"/>
      <c r="WOY392" s="109"/>
      <c r="WOZ392" s="104"/>
      <c r="WPA392" s="104"/>
      <c r="WPB392" s="119"/>
      <c r="WPC392" s="104"/>
      <c r="WPD392" s="455"/>
      <c r="WPE392" s="104"/>
      <c r="WPF392" s="104"/>
      <c r="WPG392" s="109"/>
      <c r="WPH392" s="104"/>
      <c r="WPI392" s="104"/>
      <c r="WPJ392" s="119"/>
      <c r="WPK392" s="104"/>
      <c r="WPL392" s="455"/>
      <c r="WPM392" s="104"/>
      <c r="WPN392" s="104"/>
      <c r="WPO392" s="109"/>
      <c r="WPP392" s="104"/>
      <c r="WPQ392" s="104"/>
      <c r="WPR392" s="119"/>
      <c r="WPS392" s="104"/>
      <c r="WPT392" s="455"/>
      <c r="WPU392" s="104"/>
      <c r="WPV392" s="104"/>
      <c r="WPW392" s="109"/>
      <c r="WPX392" s="104"/>
      <c r="WPY392" s="104"/>
      <c r="WPZ392" s="119"/>
      <c r="WQA392" s="104"/>
      <c r="WQB392" s="455"/>
      <c r="WQC392" s="104"/>
      <c r="WQD392" s="104"/>
      <c r="WQE392" s="109"/>
      <c r="WQF392" s="104"/>
      <c r="WQG392" s="104"/>
      <c r="WQH392" s="119"/>
      <c r="WQI392" s="104"/>
      <c r="WQJ392" s="455"/>
      <c r="WQK392" s="104"/>
      <c r="WQL392" s="104"/>
      <c r="WQM392" s="109"/>
      <c r="WQN392" s="104"/>
      <c r="WQO392" s="104"/>
      <c r="WQP392" s="119"/>
      <c r="WQQ392" s="104"/>
      <c r="WQR392" s="455"/>
      <c r="WQS392" s="104"/>
      <c r="WQT392" s="104"/>
      <c r="WQU392" s="109"/>
      <c r="WQV392" s="104"/>
      <c r="WQW392" s="104"/>
      <c r="WQX392" s="119"/>
      <c r="WQY392" s="104"/>
      <c r="WQZ392" s="455"/>
      <c r="WRA392" s="104"/>
      <c r="WRB392" s="104"/>
      <c r="WRC392" s="109"/>
      <c r="WRD392" s="104"/>
      <c r="WRE392" s="104"/>
      <c r="WRF392" s="119"/>
      <c r="WRG392" s="104"/>
      <c r="WRH392" s="455"/>
      <c r="WRI392" s="104"/>
      <c r="WRJ392" s="104"/>
      <c r="WRK392" s="109"/>
      <c r="WRL392" s="104"/>
      <c r="WRM392" s="104"/>
      <c r="WRN392" s="119"/>
      <c r="WRO392" s="104"/>
      <c r="WRP392" s="455"/>
      <c r="WRQ392" s="104"/>
      <c r="WRR392" s="104"/>
      <c r="WRS392" s="109"/>
      <c r="WRT392" s="104"/>
      <c r="WRU392" s="104"/>
      <c r="WRV392" s="119"/>
      <c r="WRW392" s="104"/>
      <c r="WRX392" s="455"/>
      <c r="WRY392" s="104"/>
      <c r="WRZ392" s="104"/>
      <c r="WSA392" s="109"/>
      <c r="WSB392" s="104"/>
      <c r="WSC392" s="104"/>
      <c r="WSD392" s="119"/>
      <c r="WSE392" s="104"/>
      <c r="WSF392" s="455"/>
      <c r="WSG392" s="104"/>
      <c r="WSH392" s="104"/>
      <c r="WSI392" s="109"/>
      <c r="WSJ392" s="104"/>
      <c r="WSK392" s="104"/>
      <c r="WSL392" s="119"/>
      <c r="WSM392" s="104"/>
      <c r="WSN392" s="455"/>
      <c r="WSO392" s="104"/>
      <c r="WSP392" s="104"/>
      <c r="WSQ392" s="109"/>
      <c r="WSR392" s="104"/>
      <c r="WSS392" s="104"/>
      <c r="WST392" s="119"/>
      <c r="WSU392" s="104"/>
      <c r="WSV392" s="455"/>
      <c r="WSW392" s="104"/>
      <c r="WSX392" s="104"/>
      <c r="WSY392" s="109"/>
      <c r="WSZ392" s="104"/>
      <c r="WTA392" s="104"/>
      <c r="WTB392" s="119"/>
      <c r="WTC392" s="104"/>
      <c r="WTD392" s="455"/>
      <c r="WTE392" s="104"/>
      <c r="WTF392" s="104"/>
      <c r="WTG392" s="109"/>
      <c r="WTH392" s="104"/>
      <c r="WTI392" s="104"/>
      <c r="WTJ392" s="119"/>
      <c r="WTK392" s="104"/>
      <c r="WTL392" s="455"/>
      <c r="WTM392" s="104"/>
      <c r="WTN392" s="104"/>
      <c r="WTO392" s="109"/>
      <c r="WTP392" s="104"/>
      <c r="WTQ392" s="104"/>
      <c r="WTR392" s="119"/>
      <c r="WTS392" s="104"/>
      <c r="WTT392" s="455"/>
      <c r="WTU392" s="104"/>
      <c r="WTV392" s="104"/>
      <c r="WTW392" s="109"/>
      <c r="WTX392" s="104"/>
      <c r="WTY392" s="104"/>
      <c r="WTZ392" s="119"/>
      <c r="WUA392" s="104"/>
      <c r="WUB392" s="455"/>
      <c r="WUC392" s="104"/>
      <c r="WUD392" s="104"/>
      <c r="WUE392" s="109"/>
      <c r="WUF392" s="104"/>
      <c r="WUG392" s="104"/>
      <c r="WUH392" s="119"/>
      <c r="WUI392" s="104"/>
      <c r="WUJ392" s="455"/>
      <c r="WUK392" s="104"/>
      <c r="WUL392" s="104"/>
      <c r="WUM392" s="109"/>
      <c r="WUN392" s="104"/>
      <c r="WUO392" s="104"/>
      <c r="WUP392" s="119"/>
      <c r="WUQ392" s="104"/>
      <c r="WUR392" s="455"/>
      <c r="WUS392" s="104"/>
      <c r="WUT392" s="104"/>
      <c r="WUU392" s="109"/>
      <c r="WUV392" s="104"/>
      <c r="WUW392" s="104"/>
      <c r="WUX392" s="119"/>
      <c r="WUY392" s="104"/>
      <c r="WUZ392" s="455"/>
      <c r="WVA392" s="104"/>
      <c r="WVB392" s="104"/>
      <c r="WVC392" s="109"/>
      <c r="WVD392" s="104"/>
      <c r="WVE392" s="104"/>
      <c r="WVF392" s="119"/>
      <c r="WVG392" s="104"/>
      <c r="WVH392" s="455"/>
      <c r="WVI392" s="104"/>
      <c r="WVJ392" s="104"/>
      <c r="WVK392" s="109"/>
      <c r="WVL392" s="104"/>
      <c r="WVM392" s="104"/>
      <c r="WVN392" s="119"/>
      <c r="WVO392" s="104"/>
      <c r="WVP392" s="455"/>
      <c r="WVQ392" s="104"/>
      <c r="WVR392" s="104"/>
      <c r="WVS392" s="109"/>
      <c r="WVT392" s="104"/>
      <c r="WVU392" s="104"/>
      <c r="WVV392" s="119"/>
      <c r="WVW392" s="104"/>
      <c r="WVX392" s="455"/>
      <c r="WVY392" s="104"/>
      <c r="WVZ392" s="104"/>
      <c r="WWA392" s="109"/>
      <c r="WWB392" s="104"/>
      <c r="WWC392" s="104"/>
      <c r="WWD392" s="119"/>
      <c r="WWE392" s="104"/>
      <c r="WWF392" s="455"/>
      <c r="WWG392" s="104"/>
      <c r="WWH392" s="104"/>
      <c r="WWI392" s="109"/>
      <c r="WWJ392" s="104"/>
      <c r="WWK392" s="104"/>
      <c r="WWL392" s="119"/>
      <c r="WWM392" s="104"/>
      <c r="WWN392" s="455"/>
      <c r="WWO392" s="104"/>
      <c r="WWP392" s="104"/>
      <c r="WWQ392" s="109"/>
      <c r="WWR392" s="104"/>
      <c r="WWS392" s="104"/>
      <c r="WWT392" s="119"/>
      <c r="WWU392" s="104"/>
      <c r="WWV392" s="455"/>
      <c r="WWW392" s="104"/>
      <c r="WWX392" s="104"/>
      <c r="WWY392" s="109"/>
      <c r="WWZ392" s="104"/>
      <c r="WXA392" s="104"/>
      <c r="WXB392" s="119"/>
      <c r="WXC392" s="104"/>
      <c r="WXD392" s="455"/>
      <c r="WXE392" s="104"/>
      <c r="WXF392" s="104"/>
      <c r="WXG392" s="109"/>
      <c r="WXH392" s="104"/>
      <c r="WXI392" s="104"/>
      <c r="WXJ392" s="119"/>
      <c r="WXK392" s="104"/>
      <c r="WXL392" s="455"/>
      <c r="WXM392" s="104"/>
      <c r="WXN392" s="104"/>
      <c r="WXO392" s="109"/>
      <c r="WXP392" s="104"/>
      <c r="WXQ392" s="104"/>
      <c r="WXR392" s="119"/>
      <c r="WXS392" s="104"/>
      <c r="WXT392" s="455"/>
      <c r="WXU392" s="104"/>
      <c r="WXV392" s="104"/>
      <c r="WXW392" s="109"/>
      <c r="WXX392" s="104"/>
      <c r="WXY392" s="104"/>
      <c r="WXZ392" s="119"/>
      <c r="WYA392" s="104"/>
      <c r="WYB392" s="455"/>
      <c r="WYC392" s="104"/>
      <c r="WYD392" s="104"/>
      <c r="WYE392" s="109"/>
      <c r="WYF392" s="104"/>
      <c r="WYG392" s="104"/>
      <c r="WYH392" s="119"/>
      <c r="WYI392" s="104"/>
      <c r="WYJ392" s="455"/>
      <c r="WYK392" s="104"/>
      <c r="WYL392" s="104"/>
      <c r="WYM392" s="109"/>
      <c r="WYN392" s="104"/>
      <c r="WYO392" s="104"/>
      <c r="WYP392" s="119"/>
      <c r="WYQ392" s="104"/>
      <c r="WYR392" s="455"/>
      <c r="WYS392" s="104"/>
      <c r="WYT392" s="104"/>
      <c r="WYU392" s="109"/>
      <c r="WYV392" s="104"/>
      <c r="WYW392" s="104"/>
      <c r="WYX392" s="119"/>
      <c r="WYY392" s="104"/>
      <c r="WYZ392" s="455"/>
      <c r="WZA392" s="104"/>
      <c r="WZB392" s="104"/>
      <c r="WZC392" s="109"/>
      <c r="WZD392" s="104"/>
      <c r="WZE392" s="104"/>
      <c r="WZF392" s="119"/>
      <c r="WZG392" s="104"/>
      <c r="WZH392" s="455"/>
      <c r="WZI392" s="104"/>
      <c r="WZJ392" s="104"/>
      <c r="WZK392" s="109"/>
      <c r="WZL392" s="104"/>
      <c r="WZM392" s="104"/>
      <c r="WZN392" s="119"/>
      <c r="WZO392" s="104"/>
      <c r="WZP392" s="455"/>
      <c r="WZQ392" s="104"/>
      <c r="WZR392" s="104"/>
      <c r="WZS392" s="109"/>
      <c r="WZT392" s="104"/>
      <c r="WZU392" s="104"/>
      <c r="WZV392" s="119"/>
      <c r="WZW392" s="104"/>
      <c r="WZX392" s="455"/>
      <c r="WZY392" s="104"/>
      <c r="WZZ392" s="104"/>
      <c r="XAA392" s="109"/>
      <c r="XAB392" s="104"/>
      <c r="XAC392" s="104"/>
      <c r="XAD392" s="119"/>
      <c r="XAE392" s="104"/>
      <c r="XAF392" s="455"/>
      <c r="XAG392" s="104"/>
      <c r="XAH392" s="104"/>
      <c r="XAI392" s="109"/>
      <c r="XAJ392" s="104"/>
      <c r="XAK392" s="104"/>
      <c r="XAL392" s="119"/>
      <c r="XAM392" s="104"/>
      <c r="XAN392" s="455"/>
      <c r="XAO392" s="104"/>
      <c r="XAP392" s="104"/>
      <c r="XAQ392" s="109"/>
      <c r="XAR392" s="104"/>
      <c r="XAS392" s="104"/>
      <c r="XAT392" s="119"/>
      <c r="XAU392" s="104"/>
      <c r="XAV392" s="455"/>
      <c r="XAW392" s="104"/>
      <c r="XAX392" s="104"/>
      <c r="XAY392" s="109"/>
      <c r="XAZ392" s="104"/>
      <c r="XBA392" s="104"/>
      <c r="XBB392" s="119"/>
      <c r="XBC392" s="104"/>
      <c r="XBD392" s="455"/>
      <c r="XBE392" s="104"/>
      <c r="XBF392" s="104"/>
      <c r="XBG392" s="109"/>
      <c r="XBH392" s="104"/>
      <c r="XBI392" s="104"/>
      <c r="XBJ392" s="119"/>
      <c r="XBK392" s="104"/>
      <c r="XBL392" s="455"/>
      <c r="XBM392" s="104"/>
      <c r="XBN392" s="104"/>
      <c r="XBO392" s="109"/>
      <c r="XBP392" s="104"/>
      <c r="XBQ392" s="104"/>
      <c r="XBR392" s="119"/>
      <c r="XBS392" s="104"/>
      <c r="XBT392" s="455"/>
      <c r="XBU392" s="104"/>
      <c r="XBV392" s="104"/>
      <c r="XBW392" s="109"/>
      <c r="XBX392" s="104"/>
      <c r="XBY392" s="104"/>
      <c r="XBZ392" s="119"/>
      <c r="XCA392" s="104"/>
      <c r="XCB392" s="455"/>
      <c r="XCC392" s="104"/>
      <c r="XCD392" s="104"/>
      <c r="XCE392" s="109"/>
      <c r="XCF392" s="104"/>
      <c r="XCG392" s="104"/>
      <c r="XCH392" s="119"/>
      <c r="XCI392" s="104"/>
      <c r="XCJ392" s="455"/>
      <c r="XCK392" s="104"/>
      <c r="XCL392" s="104"/>
      <c r="XCM392" s="109"/>
      <c r="XCN392" s="104"/>
      <c r="XCO392" s="104"/>
      <c r="XCP392" s="119"/>
      <c r="XCQ392" s="104"/>
      <c r="XCR392" s="455"/>
      <c r="XCS392" s="104"/>
      <c r="XCT392" s="104"/>
      <c r="XCU392" s="109"/>
      <c r="XCV392" s="104"/>
      <c r="XCW392" s="104"/>
      <c r="XCX392" s="119"/>
      <c r="XCY392" s="104"/>
      <c r="XCZ392" s="455"/>
      <c r="XDA392" s="104"/>
      <c r="XDB392" s="104"/>
      <c r="XDC392" s="109"/>
      <c r="XDD392" s="104"/>
      <c r="XDE392" s="104"/>
      <c r="XDF392" s="119"/>
      <c r="XDG392" s="104"/>
      <c r="XDH392" s="455"/>
      <c r="XDI392" s="104"/>
      <c r="XDJ392" s="104"/>
      <c r="XDK392" s="109"/>
      <c r="XDL392" s="104"/>
      <c r="XDM392" s="104"/>
      <c r="XDN392" s="119"/>
      <c r="XDO392" s="104"/>
      <c r="XDP392" s="455"/>
      <c r="XDQ392" s="104"/>
      <c r="XDR392" s="104"/>
      <c r="XDS392" s="109"/>
      <c r="XDT392" s="104"/>
      <c r="XDU392" s="104"/>
      <c r="XDV392" s="119"/>
      <c r="XDW392" s="104"/>
      <c r="XDX392" s="455"/>
      <c r="XDY392" s="104"/>
      <c r="XDZ392" s="104"/>
      <c r="XEA392" s="109"/>
      <c r="XEB392" s="104"/>
      <c r="XEC392" s="104"/>
      <c r="XED392" s="119"/>
      <c r="XEE392" s="104"/>
      <c r="XEF392" s="455"/>
      <c r="XEG392" s="104"/>
      <c r="XEH392" s="104"/>
      <c r="XEI392" s="109"/>
      <c r="XEJ392" s="104"/>
      <c r="XEK392" s="104"/>
      <c r="XEL392" s="119"/>
      <c r="XEM392" s="104"/>
      <c r="XEN392" s="455"/>
      <c r="XEO392" s="104"/>
      <c r="XEP392" s="104"/>
      <c r="XEQ392" s="109"/>
      <c r="XER392" s="104"/>
      <c r="XES392" s="104"/>
      <c r="XET392" s="119"/>
      <c r="XEU392" s="104"/>
      <c r="XEV392" s="455"/>
      <c r="XEW392" s="104"/>
      <c r="XEX392" s="104"/>
      <c r="XEY392" s="109"/>
      <c r="XEZ392" s="104"/>
      <c r="XFA392" s="104"/>
      <c r="XFB392" s="119"/>
      <c r="XFC392" s="104"/>
      <c r="XFD392" s="455"/>
    </row>
    <row r="393" spans="1:16384" s="352" customFormat="1">
      <c r="A393" s="117" t="s">
        <v>140</v>
      </c>
      <c r="B393" s="117" t="str">
        <v>DIFFERENTIAL EQUATIONS</v>
      </c>
      <c r="C393" s="137" t="str">
        <v>Asamoah Joshua Kiddy Kwasi</v>
      </c>
      <c r="D393" s="117" t="s">
        <v>72</v>
      </c>
      <c r="E393" s="117">
        <v>59</v>
      </c>
      <c r="F393" s="445"/>
      <c r="G393" s="117">
        <v>118</v>
      </c>
      <c r="H393" s="353"/>
      <c r="I393" s="104" t="str">
        <f>_xlfn.CONCAT(A393,",",D393)</f>
        <v>MATH 251,ED2-METE</v>
      </c>
      <c r="J393" s="104"/>
      <c r="K393" s="109"/>
      <c r="L393" s="104"/>
      <c r="M393" s="104"/>
      <c r="N393" s="119"/>
      <c r="O393" s="104"/>
      <c r="P393" s="455"/>
      <c r="Q393" s="104"/>
      <c r="R393" s="104"/>
      <c r="S393" s="109"/>
      <c r="T393" s="104"/>
      <c r="U393" s="104"/>
      <c r="V393" s="119"/>
      <c r="W393" s="104"/>
      <c r="X393" s="455"/>
      <c r="Y393" s="104"/>
      <c r="Z393" s="104"/>
      <c r="AA393" s="109"/>
      <c r="AB393" s="104"/>
      <c r="AC393" s="104"/>
      <c r="AD393" s="119"/>
      <c r="AE393" s="104"/>
      <c r="AF393" s="455"/>
      <c r="AG393" s="104"/>
      <c r="AH393" s="104"/>
      <c r="AI393" s="109"/>
      <c r="AJ393" s="104"/>
      <c r="AK393" s="104"/>
      <c r="AL393" s="119"/>
      <c r="AM393" s="104"/>
      <c r="AN393" s="455"/>
      <c r="AO393" s="104"/>
      <c r="AP393" s="104"/>
      <c r="AQ393" s="109"/>
      <c r="AR393" s="104"/>
      <c r="AS393" s="104"/>
      <c r="AT393" s="119"/>
      <c r="AU393" s="104"/>
      <c r="AV393" s="455"/>
      <c r="AW393" s="104"/>
      <c r="AX393" s="104"/>
      <c r="AY393" s="109"/>
      <c r="AZ393" s="104"/>
      <c r="BA393" s="104"/>
      <c r="BB393" s="119"/>
      <c r="BC393" s="104"/>
      <c r="BD393" s="455"/>
      <c r="BE393" s="104"/>
      <c r="BF393" s="104"/>
      <c r="BG393" s="109"/>
      <c r="BH393" s="104"/>
      <c r="BI393" s="104"/>
      <c r="BJ393" s="119"/>
      <c r="BK393" s="104"/>
      <c r="BL393" s="455"/>
      <c r="BM393" s="104"/>
      <c r="BN393" s="104"/>
      <c r="BO393" s="109"/>
      <c r="BP393" s="104"/>
      <c r="BQ393" s="104"/>
      <c r="BR393" s="119"/>
      <c r="BS393" s="104"/>
      <c r="BT393" s="455"/>
      <c r="BU393" s="104"/>
      <c r="BV393" s="104"/>
      <c r="BW393" s="109"/>
      <c r="BX393" s="104"/>
      <c r="BY393" s="104"/>
      <c r="BZ393" s="119"/>
      <c r="CA393" s="104"/>
      <c r="CB393" s="455"/>
      <c r="CC393" s="104"/>
      <c r="CD393" s="104"/>
      <c r="CE393" s="109"/>
      <c r="CF393" s="104"/>
      <c r="CG393" s="104"/>
      <c r="CH393" s="119"/>
      <c r="CI393" s="104"/>
      <c r="CJ393" s="455"/>
      <c r="CK393" s="104"/>
      <c r="CL393" s="104"/>
      <c r="CM393" s="109"/>
      <c r="CN393" s="104"/>
      <c r="CO393" s="104"/>
      <c r="CP393" s="119"/>
      <c r="CQ393" s="104"/>
      <c r="CR393" s="455"/>
      <c r="CS393" s="104"/>
      <c r="CT393" s="104"/>
      <c r="CU393" s="109"/>
      <c r="CV393" s="104"/>
      <c r="CW393" s="104"/>
      <c r="CX393" s="119"/>
      <c r="CY393" s="104"/>
      <c r="CZ393" s="455"/>
      <c r="DA393" s="104"/>
      <c r="DB393" s="104"/>
      <c r="DC393" s="109"/>
      <c r="DD393" s="104"/>
      <c r="DE393" s="104"/>
      <c r="DF393" s="119"/>
      <c r="DG393" s="104"/>
      <c r="DH393" s="455"/>
      <c r="DI393" s="104"/>
      <c r="DJ393" s="104"/>
      <c r="DK393" s="109"/>
      <c r="DL393" s="104"/>
      <c r="DM393" s="104"/>
      <c r="DN393" s="119"/>
      <c r="DO393" s="104"/>
      <c r="DP393" s="455"/>
      <c r="DQ393" s="104"/>
      <c r="DR393" s="104"/>
      <c r="DS393" s="109"/>
      <c r="DT393" s="104"/>
      <c r="DU393" s="104"/>
      <c r="DV393" s="119"/>
      <c r="DW393" s="104"/>
      <c r="DX393" s="455"/>
      <c r="DY393" s="104"/>
      <c r="DZ393" s="104"/>
      <c r="EA393" s="109"/>
      <c r="EB393" s="104"/>
      <c r="EC393" s="104"/>
      <c r="ED393" s="119"/>
      <c r="EE393" s="104"/>
      <c r="EF393" s="455"/>
      <c r="EG393" s="104"/>
      <c r="EH393" s="104"/>
      <c r="EI393" s="109"/>
      <c r="EJ393" s="104"/>
      <c r="EK393" s="104"/>
      <c r="EL393" s="119"/>
      <c r="EM393" s="104"/>
      <c r="EN393" s="455"/>
      <c r="EO393" s="104"/>
      <c r="EP393" s="104"/>
      <c r="EQ393" s="109"/>
      <c r="ER393" s="104"/>
      <c r="ES393" s="104"/>
      <c r="ET393" s="119"/>
      <c r="EU393" s="104"/>
      <c r="EV393" s="455"/>
      <c r="EW393" s="104"/>
      <c r="EX393" s="104"/>
      <c r="EY393" s="109"/>
      <c r="EZ393" s="104"/>
      <c r="FA393" s="104"/>
      <c r="FB393" s="119"/>
      <c r="FC393" s="104"/>
      <c r="FD393" s="455"/>
      <c r="FE393" s="104"/>
      <c r="FF393" s="104"/>
      <c r="FG393" s="109"/>
      <c r="FH393" s="104"/>
      <c r="FI393" s="104"/>
      <c r="FJ393" s="119"/>
      <c r="FK393" s="104"/>
      <c r="FL393" s="455"/>
      <c r="FM393" s="104"/>
      <c r="FN393" s="104"/>
      <c r="FO393" s="109"/>
      <c r="FP393" s="104"/>
      <c r="FQ393" s="104"/>
      <c r="FR393" s="119"/>
      <c r="FS393" s="104"/>
      <c r="FT393" s="455"/>
      <c r="FU393" s="104"/>
      <c r="FV393" s="104"/>
      <c r="FW393" s="109"/>
      <c r="FX393" s="104"/>
      <c r="FY393" s="104"/>
      <c r="FZ393" s="119"/>
      <c r="GA393" s="104"/>
      <c r="GB393" s="455"/>
      <c r="GC393" s="104"/>
      <c r="GD393" s="104"/>
      <c r="GE393" s="109"/>
      <c r="GF393" s="104"/>
      <c r="GG393" s="104"/>
      <c r="GH393" s="119"/>
      <c r="GI393" s="104"/>
      <c r="GJ393" s="455"/>
      <c r="GK393" s="104"/>
      <c r="GL393" s="104"/>
      <c r="GM393" s="109"/>
      <c r="GN393" s="104"/>
      <c r="GO393" s="104"/>
      <c r="GP393" s="119"/>
      <c r="GQ393" s="104"/>
      <c r="GR393" s="455"/>
      <c r="GS393" s="104"/>
      <c r="GT393" s="104"/>
      <c r="GU393" s="109"/>
      <c r="GV393" s="104"/>
      <c r="GW393" s="104"/>
      <c r="GX393" s="119"/>
      <c r="GY393" s="104"/>
      <c r="GZ393" s="455"/>
      <c r="HA393" s="104"/>
      <c r="HB393" s="104"/>
      <c r="HC393" s="109"/>
      <c r="HD393" s="104"/>
      <c r="HE393" s="104"/>
      <c r="HF393" s="119"/>
      <c r="HG393" s="104"/>
      <c r="HH393" s="455"/>
      <c r="HI393" s="104"/>
      <c r="HJ393" s="104"/>
      <c r="HK393" s="109"/>
      <c r="HL393" s="104"/>
      <c r="HM393" s="104"/>
      <c r="HN393" s="119"/>
      <c r="HO393" s="104"/>
      <c r="HP393" s="455"/>
      <c r="HQ393" s="104"/>
      <c r="HR393" s="104"/>
      <c r="HS393" s="109"/>
      <c r="HT393" s="104"/>
      <c r="HU393" s="104"/>
      <c r="HV393" s="119"/>
      <c r="HW393" s="104"/>
      <c r="HX393" s="455"/>
      <c r="HY393" s="104"/>
      <c r="HZ393" s="104"/>
      <c r="IA393" s="109"/>
      <c r="IB393" s="104"/>
      <c r="IC393" s="104"/>
      <c r="ID393" s="119"/>
      <c r="IE393" s="104"/>
      <c r="IF393" s="455"/>
      <c r="IG393" s="104"/>
      <c r="IH393" s="104"/>
      <c r="II393" s="109"/>
      <c r="IJ393" s="104"/>
      <c r="IK393" s="104"/>
      <c r="IL393" s="119"/>
      <c r="IM393" s="104"/>
      <c r="IN393" s="455"/>
      <c r="IO393" s="104"/>
      <c r="IP393" s="104"/>
      <c r="IQ393" s="109"/>
      <c r="IR393" s="104"/>
      <c r="IS393" s="104"/>
      <c r="IT393" s="119"/>
      <c r="IU393" s="104"/>
      <c r="IV393" s="455"/>
      <c r="IW393" s="104"/>
      <c r="IX393" s="104"/>
      <c r="IY393" s="109"/>
      <c r="IZ393" s="104"/>
      <c r="JA393" s="104"/>
      <c r="JB393" s="119"/>
      <c r="JC393" s="104"/>
      <c r="JD393" s="455"/>
      <c r="JE393" s="104"/>
      <c r="JF393" s="104"/>
      <c r="JG393" s="109"/>
      <c r="JH393" s="104"/>
      <c r="JI393" s="104"/>
      <c r="JJ393" s="119"/>
      <c r="JK393" s="104"/>
      <c r="JL393" s="455"/>
      <c r="JM393" s="104"/>
      <c r="JN393" s="104"/>
      <c r="JO393" s="109"/>
      <c r="JP393" s="104"/>
      <c r="JQ393" s="104"/>
      <c r="JR393" s="119"/>
      <c r="JS393" s="104"/>
      <c r="JT393" s="455"/>
      <c r="JU393" s="104"/>
      <c r="JV393" s="104"/>
      <c r="JW393" s="109"/>
      <c r="JX393" s="104"/>
      <c r="JY393" s="104"/>
      <c r="JZ393" s="119"/>
      <c r="KA393" s="104"/>
      <c r="KB393" s="455"/>
      <c r="KC393" s="104"/>
      <c r="KD393" s="104"/>
      <c r="KE393" s="109"/>
      <c r="KF393" s="104"/>
      <c r="KG393" s="104"/>
      <c r="KH393" s="119"/>
      <c r="KI393" s="104"/>
      <c r="KJ393" s="455"/>
      <c r="KK393" s="104"/>
      <c r="KL393" s="104"/>
      <c r="KM393" s="109"/>
      <c r="KN393" s="104"/>
      <c r="KO393" s="104"/>
      <c r="KP393" s="119"/>
      <c r="KQ393" s="104"/>
      <c r="KR393" s="455"/>
      <c r="KS393" s="104"/>
      <c r="KT393" s="104"/>
      <c r="KU393" s="109"/>
      <c r="KV393" s="104"/>
      <c r="KW393" s="104"/>
      <c r="KX393" s="119"/>
      <c r="KY393" s="104"/>
      <c r="KZ393" s="455"/>
      <c r="LA393" s="104"/>
      <c r="LB393" s="104"/>
      <c r="LC393" s="109"/>
      <c r="LD393" s="104"/>
      <c r="LE393" s="104"/>
      <c r="LF393" s="119"/>
      <c r="LG393" s="104"/>
      <c r="LH393" s="455"/>
      <c r="LI393" s="104"/>
      <c r="LJ393" s="104"/>
      <c r="LK393" s="109"/>
      <c r="LL393" s="104"/>
      <c r="LM393" s="104"/>
      <c r="LN393" s="119"/>
      <c r="LO393" s="104"/>
      <c r="LP393" s="455"/>
      <c r="LQ393" s="104"/>
      <c r="LR393" s="104"/>
      <c r="LS393" s="109"/>
      <c r="LT393" s="104"/>
      <c r="LU393" s="104"/>
      <c r="LV393" s="119"/>
      <c r="LW393" s="104"/>
      <c r="LX393" s="455"/>
      <c r="LY393" s="104"/>
      <c r="LZ393" s="104"/>
      <c r="MA393" s="109"/>
      <c r="MB393" s="104"/>
      <c r="MC393" s="104"/>
      <c r="MD393" s="119"/>
      <c r="ME393" s="104"/>
      <c r="MF393" s="455"/>
      <c r="MG393" s="104"/>
      <c r="MH393" s="104"/>
      <c r="MI393" s="109"/>
      <c r="MJ393" s="104"/>
      <c r="MK393" s="104"/>
      <c r="ML393" s="119"/>
      <c r="MM393" s="104"/>
      <c r="MN393" s="455"/>
      <c r="MO393" s="104"/>
      <c r="MP393" s="104"/>
      <c r="MQ393" s="109"/>
      <c r="MR393" s="104"/>
      <c r="MS393" s="104"/>
      <c r="MT393" s="119"/>
      <c r="MU393" s="104"/>
      <c r="MV393" s="455"/>
      <c r="MW393" s="104"/>
      <c r="MX393" s="104"/>
      <c r="MY393" s="109"/>
      <c r="MZ393" s="104"/>
      <c r="NA393" s="104"/>
      <c r="NB393" s="119"/>
      <c r="NC393" s="104"/>
      <c r="ND393" s="455"/>
      <c r="NE393" s="104"/>
      <c r="NF393" s="104"/>
      <c r="NG393" s="109"/>
      <c r="NH393" s="104"/>
      <c r="NI393" s="104"/>
      <c r="NJ393" s="119"/>
      <c r="NK393" s="104"/>
      <c r="NL393" s="455"/>
      <c r="NM393" s="104"/>
      <c r="NN393" s="104"/>
      <c r="NO393" s="109"/>
      <c r="NP393" s="104"/>
      <c r="NQ393" s="104"/>
      <c r="NR393" s="119"/>
      <c r="NS393" s="104"/>
      <c r="NT393" s="455"/>
      <c r="NU393" s="104"/>
      <c r="NV393" s="104"/>
      <c r="NW393" s="109"/>
      <c r="NX393" s="104"/>
      <c r="NY393" s="104"/>
      <c r="NZ393" s="119"/>
      <c r="OA393" s="104"/>
      <c r="OB393" s="455"/>
      <c r="OC393" s="104"/>
      <c r="OD393" s="104"/>
      <c r="OE393" s="109"/>
      <c r="OF393" s="104"/>
      <c r="OG393" s="104"/>
      <c r="OH393" s="119"/>
      <c r="OI393" s="104"/>
      <c r="OJ393" s="455"/>
      <c r="OK393" s="104"/>
      <c r="OL393" s="104"/>
      <c r="OM393" s="109"/>
      <c r="ON393" s="104"/>
      <c r="OO393" s="104"/>
      <c r="OP393" s="119"/>
      <c r="OQ393" s="104"/>
      <c r="OR393" s="455"/>
      <c r="OS393" s="104"/>
      <c r="OT393" s="104"/>
      <c r="OU393" s="109"/>
      <c r="OV393" s="104"/>
      <c r="OW393" s="104"/>
      <c r="OX393" s="119"/>
      <c r="OY393" s="104"/>
      <c r="OZ393" s="455"/>
      <c r="PA393" s="104"/>
      <c r="PB393" s="104"/>
      <c r="PC393" s="109"/>
      <c r="PD393" s="104"/>
      <c r="PE393" s="104"/>
      <c r="PF393" s="119"/>
      <c r="PG393" s="104"/>
      <c r="PH393" s="455"/>
      <c r="PI393" s="104"/>
      <c r="PJ393" s="104"/>
      <c r="PK393" s="109"/>
      <c r="PL393" s="104"/>
      <c r="PM393" s="104"/>
      <c r="PN393" s="119"/>
      <c r="PO393" s="104"/>
      <c r="PP393" s="455"/>
      <c r="PQ393" s="104"/>
      <c r="PR393" s="104"/>
      <c r="PS393" s="109"/>
      <c r="PT393" s="104"/>
      <c r="PU393" s="104"/>
      <c r="PV393" s="119"/>
      <c r="PW393" s="104"/>
      <c r="PX393" s="455"/>
      <c r="PY393" s="104"/>
      <c r="PZ393" s="104"/>
      <c r="QA393" s="109"/>
      <c r="QB393" s="104"/>
      <c r="QC393" s="104"/>
      <c r="QD393" s="119"/>
      <c r="QE393" s="104"/>
      <c r="QF393" s="455"/>
      <c r="QG393" s="104"/>
      <c r="QH393" s="104"/>
      <c r="QI393" s="109"/>
      <c r="QJ393" s="104"/>
      <c r="QK393" s="104"/>
      <c r="QL393" s="119"/>
      <c r="QM393" s="104"/>
      <c r="QN393" s="455"/>
      <c r="QO393" s="104"/>
      <c r="QP393" s="104"/>
      <c r="QQ393" s="109"/>
      <c r="QR393" s="104"/>
      <c r="QS393" s="104"/>
      <c r="QT393" s="119"/>
      <c r="QU393" s="104"/>
      <c r="QV393" s="455"/>
      <c r="QW393" s="104"/>
      <c r="QX393" s="104"/>
      <c r="QY393" s="109"/>
      <c r="QZ393" s="104"/>
      <c r="RA393" s="104"/>
      <c r="RB393" s="119"/>
      <c r="RC393" s="104"/>
      <c r="RD393" s="455"/>
      <c r="RE393" s="104"/>
      <c r="RF393" s="104"/>
      <c r="RG393" s="109"/>
      <c r="RH393" s="104"/>
      <c r="RI393" s="104"/>
      <c r="RJ393" s="119"/>
      <c r="RK393" s="104"/>
      <c r="RL393" s="455"/>
      <c r="RM393" s="104"/>
      <c r="RN393" s="104"/>
      <c r="RO393" s="109"/>
      <c r="RP393" s="104"/>
      <c r="RQ393" s="104"/>
      <c r="RR393" s="119"/>
      <c r="RS393" s="104"/>
      <c r="RT393" s="455"/>
      <c r="RU393" s="104"/>
      <c r="RV393" s="104"/>
      <c r="RW393" s="109"/>
      <c r="RX393" s="104"/>
      <c r="RY393" s="104"/>
      <c r="RZ393" s="119"/>
      <c r="SA393" s="104"/>
      <c r="SB393" s="455"/>
      <c r="SC393" s="104"/>
      <c r="SD393" s="104"/>
      <c r="SE393" s="109"/>
      <c r="SF393" s="104"/>
      <c r="SG393" s="104"/>
      <c r="SH393" s="119"/>
      <c r="SI393" s="104"/>
      <c r="SJ393" s="455"/>
      <c r="SK393" s="104"/>
      <c r="SL393" s="104"/>
      <c r="SM393" s="109"/>
      <c r="SN393" s="104"/>
      <c r="SO393" s="104"/>
      <c r="SP393" s="119"/>
      <c r="SQ393" s="104"/>
      <c r="SR393" s="455"/>
      <c r="SS393" s="104"/>
      <c r="ST393" s="104"/>
      <c r="SU393" s="109"/>
      <c r="SV393" s="104"/>
      <c r="SW393" s="104"/>
      <c r="SX393" s="119"/>
      <c r="SY393" s="104"/>
      <c r="SZ393" s="455"/>
      <c r="TA393" s="104"/>
      <c r="TB393" s="104"/>
      <c r="TC393" s="109"/>
      <c r="TD393" s="104"/>
      <c r="TE393" s="104"/>
      <c r="TF393" s="119"/>
      <c r="TG393" s="104"/>
      <c r="TH393" s="455"/>
      <c r="TI393" s="104"/>
      <c r="TJ393" s="104"/>
      <c r="TK393" s="109"/>
      <c r="TL393" s="104"/>
      <c r="TM393" s="104"/>
      <c r="TN393" s="119"/>
      <c r="TO393" s="104"/>
      <c r="TP393" s="455"/>
      <c r="TQ393" s="104"/>
      <c r="TR393" s="104"/>
      <c r="TS393" s="109"/>
      <c r="TT393" s="104"/>
      <c r="TU393" s="104"/>
      <c r="TV393" s="119"/>
      <c r="TW393" s="104"/>
      <c r="TX393" s="455"/>
      <c r="TY393" s="104"/>
      <c r="TZ393" s="104"/>
      <c r="UA393" s="109"/>
      <c r="UB393" s="104"/>
      <c r="UC393" s="104"/>
      <c r="UD393" s="119"/>
      <c r="UE393" s="104"/>
      <c r="UF393" s="455"/>
      <c r="UG393" s="104"/>
      <c r="UH393" s="104"/>
      <c r="UI393" s="109"/>
      <c r="UJ393" s="104"/>
      <c r="UK393" s="104"/>
      <c r="UL393" s="119"/>
      <c r="UM393" s="104"/>
      <c r="UN393" s="455"/>
      <c r="UO393" s="104"/>
      <c r="UP393" s="104"/>
      <c r="UQ393" s="109"/>
      <c r="UR393" s="104"/>
      <c r="US393" s="104"/>
      <c r="UT393" s="119"/>
      <c r="UU393" s="104"/>
      <c r="UV393" s="455"/>
      <c r="UW393" s="104"/>
      <c r="UX393" s="104"/>
      <c r="UY393" s="109"/>
      <c r="UZ393" s="104"/>
      <c r="VA393" s="104"/>
      <c r="VB393" s="119"/>
      <c r="VC393" s="104"/>
      <c r="VD393" s="455"/>
      <c r="VE393" s="104"/>
      <c r="VF393" s="104"/>
      <c r="VG393" s="109"/>
      <c r="VH393" s="104"/>
      <c r="VI393" s="104"/>
      <c r="VJ393" s="119"/>
      <c r="VK393" s="104"/>
      <c r="VL393" s="455"/>
      <c r="VM393" s="104"/>
      <c r="VN393" s="104"/>
      <c r="VO393" s="109"/>
      <c r="VP393" s="104"/>
      <c r="VQ393" s="104"/>
      <c r="VR393" s="119"/>
      <c r="VS393" s="104"/>
      <c r="VT393" s="455"/>
      <c r="VU393" s="104"/>
      <c r="VV393" s="104"/>
      <c r="VW393" s="109"/>
      <c r="VX393" s="104"/>
      <c r="VY393" s="104"/>
      <c r="VZ393" s="119"/>
      <c r="WA393" s="104"/>
      <c r="WB393" s="455"/>
      <c r="WC393" s="104"/>
      <c r="WD393" s="104"/>
      <c r="WE393" s="109"/>
      <c r="WF393" s="104"/>
      <c r="WG393" s="104"/>
      <c r="WH393" s="119"/>
      <c r="WI393" s="104"/>
      <c r="WJ393" s="455"/>
      <c r="WK393" s="104"/>
      <c r="WL393" s="104"/>
      <c r="WM393" s="109"/>
      <c r="WN393" s="104"/>
      <c r="WO393" s="104"/>
      <c r="WP393" s="119"/>
      <c r="WQ393" s="104"/>
      <c r="WR393" s="455"/>
      <c r="WS393" s="104"/>
      <c r="WT393" s="104"/>
      <c r="WU393" s="109"/>
      <c r="WV393" s="104"/>
      <c r="WW393" s="104"/>
      <c r="WX393" s="119"/>
      <c r="WY393" s="104"/>
      <c r="WZ393" s="455"/>
      <c r="XA393" s="104"/>
      <c r="XB393" s="104"/>
      <c r="XC393" s="109"/>
      <c r="XD393" s="104"/>
      <c r="XE393" s="104"/>
      <c r="XF393" s="119"/>
      <c r="XG393" s="104"/>
      <c r="XH393" s="455"/>
      <c r="XI393" s="104"/>
      <c r="XJ393" s="104"/>
      <c r="XK393" s="109"/>
      <c r="XL393" s="104"/>
      <c r="XM393" s="104"/>
      <c r="XN393" s="119"/>
      <c r="XO393" s="104"/>
      <c r="XP393" s="455"/>
      <c r="XQ393" s="104"/>
      <c r="XR393" s="104"/>
      <c r="XS393" s="109"/>
      <c r="XT393" s="104"/>
      <c r="XU393" s="104"/>
      <c r="XV393" s="119"/>
      <c r="XW393" s="104"/>
      <c r="XX393" s="455"/>
      <c r="XY393" s="104"/>
      <c r="XZ393" s="104"/>
      <c r="YA393" s="109"/>
      <c r="YB393" s="104"/>
      <c r="YC393" s="104"/>
      <c r="YD393" s="119"/>
      <c r="YE393" s="104"/>
      <c r="YF393" s="455"/>
      <c r="YG393" s="104"/>
      <c r="YH393" s="104"/>
      <c r="YI393" s="109"/>
      <c r="YJ393" s="104"/>
      <c r="YK393" s="104"/>
      <c r="YL393" s="119"/>
      <c r="YM393" s="104"/>
      <c r="YN393" s="455"/>
      <c r="YO393" s="104"/>
      <c r="YP393" s="104"/>
      <c r="YQ393" s="109"/>
      <c r="YR393" s="104"/>
      <c r="YS393" s="104"/>
      <c r="YT393" s="119"/>
      <c r="YU393" s="104"/>
      <c r="YV393" s="455"/>
      <c r="YW393" s="104"/>
      <c r="YX393" s="104"/>
      <c r="YY393" s="109"/>
      <c r="YZ393" s="104"/>
      <c r="ZA393" s="104"/>
      <c r="ZB393" s="119"/>
      <c r="ZC393" s="104"/>
      <c r="ZD393" s="455"/>
      <c r="ZE393" s="104"/>
      <c r="ZF393" s="104"/>
      <c r="ZG393" s="109"/>
      <c r="ZH393" s="104"/>
      <c r="ZI393" s="104"/>
      <c r="ZJ393" s="119"/>
      <c r="ZK393" s="104"/>
      <c r="ZL393" s="455"/>
      <c r="ZM393" s="104"/>
      <c r="ZN393" s="104"/>
      <c r="ZO393" s="109"/>
      <c r="ZP393" s="104"/>
      <c r="ZQ393" s="104"/>
      <c r="ZR393" s="119"/>
      <c r="ZS393" s="104"/>
      <c r="ZT393" s="455"/>
      <c r="ZU393" s="104"/>
      <c r="ZV393" s="104"/>
      <c r="ZW393" s="109"/>
      <c r="ZX393" s="104"/>
      <c r="ZY393" s="104"/>
      <c r="ZZ393" s="119"/>
      <c r="AAA393" s="104"/>
      <c r="AAB393" s="455"/>
      <c r="AAC393" s="104"/>
      <c r="AAD393" s="104"/>
      <c r="AAE393" s="109"/>
      <c r="AAF393" s="104"/>
      <c r="AAG393" s="104"/>
      <c r="AAH393" s="119"/>
      <c r="AAI393" s="104"/>
      <c r="AAJ393" s="455"/>
      <c r="AAK393" s="104"/>
      <c r="AAL393" s="104"/>
      <c r="AAM393" s="109"/>
      <c r="AAN393" s="104"/>
      <c r="AAO393" s="104"/>
      <c r="AAP393" s="119"/>
      <c r="AAQ393" s="104"/>
      <c r="AAR393" s="455"/>
      <c r="AAS393" s="104"/>
      <c r="AAT393" s="104"/>
      <c r="AAU393" s="109"/>
      <c r="AAV393" s="104"/>
      <c r="AAW393" s="104"/>
      <c r="AAX393" s="119"/>
      <c r="AAY393" s="104"/>
      <c r="AAZ393" s="455"/>
      <c r="ABA393" s="104"/>
      <c r="ABB393" s="104"/>
      <c r="ABC393" s="109"/>
      <c r="ABD393" s="104"/>
      <c r="ABE393" s="104"/>
      <c r="ABF393" s="119"/>
      <c r="ABG393" s="104"/>
      <c r="ABH393" s="455"/>
      <c r="ABI393" s="104"/>
      <c r="ABJ393" s="104"/>
      <c r="ABK393" s="109"/>
      <c r="ABL393" s="104"/>
      <c r="ABM393" s="104"/>
      <c r="ABN393" s="119"/>
      <c r="ABO393" s="104"/>
      <c r="ABP393" s="455"/>
      <c r="ABQ393" s="104"/>
      <c r="ABR393" s="104"/>
      <c r="ABS393" s="109"/>
      <c r="ABT393" s="104"/>
      <c r="ABU393" s="104"/>
      <c r="ABV393" s="119"/>
      <c r="ABW393" s="104"/>
      <c r="ABX393" s="455"/>
      <c r="ABY393" s="104"/>
      <c r="ABZ393" s="104"/>
      <c r="ACA393" s="109"/>
      <c r="ACB393" s="104"/>
      <c r="ACC393" s="104"/>
      <c r="ACD393" s="119"/>
      <c r="ACE393" s="104"/>
      <c r="ACF393" s="455"/>
      <c r="ACG393" s="104"/>
      <c r="ACH393" s="104"/>
      <c r="ACI393" s="109"/>
      <c r="ACJ393" s="104"/>
      <c r="ACK393" s="104"/>
      <c r="ACL393" s="119"/>
      <c r="ACM393" s="104"/>
      <c r="ACN393" s="455"/>
      <c r="ACO393" s="104"/>
      <c r="ACP393" s="104"/>
      <c r="ACQ393" s="109"/>
      <c r="ACR393" s="104"/>
      <c r="ACS393" s="104"/>
      <c r="ACT393" s="119"/>
      <c r="ACU393" s="104"/>
      <c r="ACV393" s="455"/>
      <c r="ACW393" s="104"/>
      <c r="ACX393" s="104"/>
      <c r="ACY393" s="109"/>
      <c r="ACZ393" s="104"/>
      <c r="ADA393" s="104"/>
      <c r="ADB393" s="119"/>
      <c r="ADC393" s="104"/>
      <c r="ADD393" s="455"/>
      <c r="ADE393" s="104"/>
      <c r="ADF393" s="104"/>
      <c r="ADG393" s="109"/>
      <c r="ADH393" s="104"/>
      <c r="ADI393" s="104"/>
      <c r="ADJ393" s="119"/>
      <c r="ADK393" s="104"/>
      <c r="ADL393" s="455"/>
      <c r="ADM393" s="104"/>
      <c r="ADN393" s="104"/>
      <c r="ADO393" s="109"/>
      <c r="ADP393" s="104"/>
      <c r="ADQ393" s="104"/>
      <c r="ADR393" s="119"/>
      <c r="ADS393" s="104"/>
      <c r="ADT393" s="455"/>
      <c r="ADU393" s="104"/>
      <c r="ADV393" s="104"/>
      <c r="ADW393" s="109"/>
      <c r="ADX393" s="104"/>
      <c r="ADY393" s="104"/>
      <c r="ADZ393" s="119"/>
      <c r="AEA393" s="104"/>
      <c r="AEB393" s="455"/>
      <c r="AEC393" s="104"/>
      <c r="AED393" s="104"/>
      <c r="AEE393" s="109"/>
      <c r="AEF393" s="104"/>
      <c r="AEG393" s="104"/>
      <c r="AEH393" s="119"/>
      <c r="AEI393" s="104"/>
      <c r="AEJ393" s="455"/>
      <c r="AEK393" s="104"/>
      <c r="AEL393" s="104"/>
      <c r="AEM393" s="109"/>
      <c r="AEN393" s="104"/>
      <c r="AEO393" s="104"/>
      <c r="AEP393" s="119"/>
      <c r="AEQ393" s="104"/>
      <c r="AER393" s="455"/>
      <c r="AES393" s="104"/>
      <c r="AET393" s="104"/>
      <c r="AEU393" s="109"/>
      <c r="AEV393" s="104"/>
      <c r="AEW393" s="104"/>
      <c r="AEX393" s="119"/>
      <c r="AEY393" s="104"/>
      <c r="AEZ393" s="455"/>
      <c r="AFA393" s="104"/>
      <c r="AFB393" s="104"/>
      <c r="AFC393" s="109"/>
      <c r="AFD393" s="104"/>
      <c r="AFE393" s="104"/>
      <c r="AFF393" s="119"/>
      <c r="AFG393" s="104"/>
      <c r="AFH393" s="455"/>
      <c r="AFI393" s="104"/>
      <c r="AFJ393" s="104"/>
      <c r="AFK393" s="109"/>
      <c r="AFL393" s="104"/>
      <c r="AFM393" s="104"/>
      <c r="AFN393" s="119"/>
      <c r="AFO393" s="104"/>
      <c r="AFP393" s="455"/>
      <c r="AFQ393" s="104"/>
      <c r="AFR393" s="104"/>
      <c r="AFS393" s="109"/>
      <c r="AFT393" s="104"/>
      <c r="AFU393" s="104"/>
      <c r="AFV393" s="119"/>
      <c r="AFW393" s="104"/>
      <c r="AFX393" s="455"/>
      <c r="AFY393" s="104"/>
      <c r="AFZ393" s="104"/>
      <c r="AGA393" s="109"/>
      <c r="AGB393" s="104"/>
      <c r="AGC393" s="104"/>
      <c r="AGD393" s="119"/>
      <c r="AGE393" s="104"/>
      <c r="AGF393" s="455"/>
      <c r="AGG393" s="104"/>
      <c r="AGH393" s="104"/>
      <c r="AGI393" s="109"/>
      <c r="AGJ393" s="104"/>
      <c r="AGK393" s="104"/>
      <c r="AGL393" s="119"/>
      <c r="AGM393" s="104"/>
      <c r="AGN393" s="455"/>
      <c r="AGO393" s="104"/>
      <c r="AGP393" s="104"/>
      <c r="AGQ393" s="109"/>
      <c r="AGR393" s="104"/>
      <c r="AGS393" s="104"/>
      <c r="AGT393" s="119"/>
      <c r="AGU393" s="104"/>
      <c r="AGV393" s="455"/>
      <c r="AGW393" s="104"/>
      <c r="AGX393" s="104"/>
      <c r="AGY393" s="109"/>
      <c r="AGZ393" s="104"/>
      <c r="AHA393" s="104"/>
      <c r="AHB393" s="119"/>
      <c r="AHC393" s="104"/>
      <c r="AHD393" s="455"/>
      <c r="AHE393" s="104"/>
      <c r="AHF393" s="104"/>
      <c r="AHG393" s="109"/>
      <c r="AHH393" s="104"/>
      <c r="AHI393" s="104"/>
      <c r="AHJ393" s="119"/>
      <c r="AHK393" s="104"/>
      <c r="AHL393" s="455"/>
      <c r="AHM393" s="104"/>
      <c r="AHN393" s="104"/>
      <c r="AHO393" s="109"/>
      <c r="AHP393" s="104"/>
      <c r="AHQ393" s="104"/>
      <c r="AHR393" s="119"/>
      <c r="AHS393" s="104"/>
      <c r="AHT393" s="455"/>
      <c r="AHU393" s="104"/>
      <c r="AHV393" s="104"/>
      <c r="AHW393" s="109"/>
      <c r="AHX393" s="104"/>
      <c r="AHY393" s="104"/>
      <c r="AHZ393" s="119"/>
      <c r="AIA393" s="104"/>
      <c r="AIB393" s="455"/>
      <c r="AIC393" s="104"/>
      <c r="AID393" s="104"/>
      <c r="AIE393" s="109"/>
      <c r="AIF393" s="104"/>
      <c r="AIG393" s="104"/>
      <c r="AIH393" s="119"/>
      <c r="AII393" s="104"/>
      <c r="AIJ393" s="455"/>
      <c r="AIK393" s="104"/>
      <c r="AIL393" s="104"/>
      <c r="AIM393" s="109"/>
      <c r="AIN393" s="104"/>
      <c r="AIO393" s="104"/>
      <c r="AIP393" s="119"/>
      <c r="AIQ393" s="104"/>
      <c r="AIR393" s="455"/>
      <c r="AIS393" s="104"/>
      <c r="AIT393" s="104"/>
      <c r="AIU393" s="109"/>
      <c r="AIV393" s="104"/>
      <c r="AIW393" s="104"/>
      <c r="AIX393" s="119"/>
      <c r="AIY393" s="104"/>
      <c r="AIZ393" s="455"/>
      <c r="AJA393" s="104"/>
      <c r="AJB393" s="104"/>
      <c r="AJC393" s="109"/>
      <c r="AJD393" s="104"/>
      <c r="AJE393" s="104"/>
      <c r="AJF393" s="119"/>
      <c r="AJG393" s="104"/>
      <c r="AJH393" s="455"/>
      <c r="AJI393" s="104"/>
      <c r="AJJ393" s="104"/>
      <c r="AJK393" s="109"/>
      <c r="AJL393" s="104"/>
      <c r="AJM393" s="104"/>
      <c r="AJN393" s="119"/>
      <c r="AJO393" s="104"/>
      <c r="AJP393" s="455"/>
      <c r="AJQ393" s="104"/>
      <c r="AJR393" s="104"/>
      <c r="AJS393" s="109"/>
      <c r="AJT393" s="104"/>
      <c r="AJU393" s="104"/>
      <c r="AJV393" s="119"/>
      <c r="AJW393" s="104"/>
      <c r="AJX393" s="455"/>
      <c r="AJY393" s="104"/>
      <c r="AJZ393" s="104"/>
      <c r="AKA393" s="109"/>
      <c r="AKB393" s="104"/>
      <c r="AKC393" s="104"/>
      <c r="AKD393" s="119"/>
      <c r="AKE393" s="104"/>
      <c r="AKF393" s="455"/>
      <c r="AKG393" s="104"/>
      <c r="AKH393" s="104"/>
      <c r="AKI393" s="109"/>
      <c r="AKJ393" s="104"/>
      <c r="AKK393" s="104"/>
      <c r="AKL393" s="119"/>
      <c r="AKM393" s="104"/>
      <c r="AKN393" s="455"/>
      <c r="AKO393" s="104"/>
      <c r="AKP393" s="104"/>
      <c r="AKQ393" s="109"/>
      <c r="AKR393" s="104"/>
      <c r="AKS393" s="104"/>
      <c r="AKT393" s="119"/>
      <c r="AKU393" s="104"/>
      <c r="AKV393" s="455"/>
      <c r="AKW393" s="104"/>
      <c r="AKX393" s="104"/>
      <c r="AKY393" s="109"/>
      <c r="AKZ393" s="104"/>
      <c r="ALA393" s="104"/>
      <c r="ALB393" s="119"/>
      <c r="ALC393" s="104"/>
      <c r="ALD393" s="455"/>
      <c r="ALE393" s="104"/>
      <c r="ALF393" s="104"/>
      <c r="ALG393" s="109"/>
      <c r="ALH393" s="104"/>
      <c r="ALI393" s="104"/>
      <c r="ALJ393" s="119"/>
      <c r="ALK393" s="104"/>
      <c r="ALL393" s="455"/>
      <c r="ALM393" s="104"/>
      <c r="ALN393" s="104"/>
      <c r="ALO393" s="109"/>
      <c r="ALP393" s="104"/>
      <c r="ALQ393" s="104"/>
      <c r="ALR393" s="119"/>
      <c r="ALS393" s="104"/>
      <c r="ALT393" s="455"/>
      <c r="ALU393" s="104"/>
      <c r="ALV393" s="104"/>
      <c r="ALW393" s="109"/>
      <c r="ALX393" s="104"/>
      <c r="ALY393" s="104"/>
      <c r="ALZ393" s="119"/>
      <c r="AMA393" s="104"/>
      <c r="AMB393" s="455"/>
      <c r="AMC393" s="104"/>
      <c r="AMD393" s="104"/>
      <c r="AME393" s="109"/>
      <c r="AMF393" s="104"/>
      <c r="AMG393" s="104"/>
      <c r="AMH393" s="119"/>
      <c r="AMI393" s="104"/>
      <c r="AMJ393" s="455"/>
      <c r="AMK393" s="104"/>
      <c r="AML393" s="104"/>
      <c r="AMM393" s="109"/>
      <c r="AMN393" s="104"/>
      <c r="AMO393" s="104"/>
      <c r="AMP393" s="119"/>
      <c r="AMQ393" s="104"/>
      <c r="AMR393" s="455"/>
      <c r="AMS393" s="104"/>
      <c r="AMT393" s="104"/>
      <c r="AMU393" s="109"/>
      <c r="AMV393" s="104"/>
      <c r="AMW393" s="104"/>
      <c r="AMX393" s="119"/>
      <c r="AMY393" s="104"/>
      <c r="AMZ393" s="455"/>
      <c r="ANA393" s="104"/>
      <c r="ANB393" s="104"/>
      <c r="ANC393" s="109"/>
      <c r="AND393" s="104"/>
      <c r="ANE393" s="104"/>
      <c r="ANF393" s="119"/>
      <c r="ANG393" s="104"/>
      <c r="ANH393" s="455"/>
      <c r="ANI393" s="104"/>
      <c r="ANJ393" s="104"/>
      <c r="ANK393" s="109"/>
      <c r="ANL393" s="104"/>
      <c r="ANM393" s="104"/>
      <c r="ANN393" s="119"/>
      <c r="ANO393" s="104"/>
      <c r="ANP393" s="455"/>
      <c r="ANQ393" s="104"/>
      <c r="ANR393" s="104"/>
      <c r="ANS393" s="109"/>
      <c r="ANT393" s="104"/>
      <c r="ANU393" s="104"/>
      <c r="ANV393" s="119"/>
      <c r="ANW393" s="104"/>
      <c r="ANX393" s="455"/>
      <c r="ANY393" s="104"/>
      <c r="ANZ393" s="104"/>
      <c r="AOA393" s="109"/>
      <c r="AOB393" s="104"/>
      <c r="AOC393" s="104"/>
      <c r="AOD393" s="119"/>
      <c r="AOE393" s="104"/>
      <c r="AOF393" s="455"/>
      <c r="AOG393" s="104"/>
      <c r="AOH393" s="104"/>
      <c r="AOI393" s="109"/>
      <c r="AOJ393" s="104"/>
      <c r="AOK393" s="104"/>
      <c r="AOL393" s="119"/>
      <c r="AOM393" s="104"/>
      <c r="AON393" s="455"/>
      <c r="AOO393" s="104"/>
      <c r="AOP393" s="104"/>
      <c r="AOQ393" s="109"/>
      <c r="AOR393" s="104"/>
      <c r="AOS393" s="104"/>
      <c r="AOT393" s="119"/>
      <c r="AOU393" s="104"/>
      <c r="AOV393" s="455"/>
      <c r="AOW393" s="104"/>
      <c r="AOX393" s="104"/>
      <c r="AOY393" s="109"/>
      <c r="AOZ393" s="104"/>
      <c r="APA393" s="104"/>
      <c r="APB393" s="119"/>
      <c r="APC393" s="104"/>
      <c r="APD393" s="455"/>
      <c r="APE393" s="104"/>
      <c r="APF393" s="104"/>
      <c r="APG393" s="109"/>
      <c r="APH393" s="104"/>
      <c r="API393" s="104"/>
      <c r="APJ393" s="119"/>
      <c r="APK393" s="104"/>
      <c r="APL393" s="455"/>
      <c r="APM393" s="104"/>
      <c r="APN393" s="104"/>
      <c r="APO393" s="109"/>
      <c r="APP393" s="104"/>
      <c r="APQ393" s="104"/>
      <c r="APR393" s="119"/>
      <c r="APS393" s="104"/>
      <c r="APT393" s="455"/>
      <c r="APU393" s="104"/>
      <c r="APV393" s="104"/>
      <c r="APW393" s="109"/>
      <c r="APX393" s="104"/>
      <c r="APY393" s="104"/>
      <c r="APZ393" s="119"/>
      <c r="AQA393" s="104"/>
      <c r="AQB393" s="455"/>
      <c r="AQC393" s="104"/>
      <c r="AQD393" s="104"/>
      <c r="AQE393" s="109"/>
      <c r="AQF393" s="104"/>
      <c r="AQG393" s="104"/>
      <c r="AQH393" s="119"/>
      <c r="AQI393" s="104"/>
      <c r="AQJ393" s="455"/>
      <c r="AQK393" s="104"/>
      <c r="AQL393" s="104"/>
      <c r="AQM393" s="109"/>
      <c r="AQN393" s="104"/>
      <c r="AQO393" s="104"/>
      <c r="AQP393" s="119"/>
      <c r="AQQ393" s="104"/>
      <c r="AQR393" s="455"/>
      <c r="AQS393" s="104"/>
      <c r="AQT393" s="104"/>
      <c r="AQU393" s="109"/>
      <c r="AQV393" s="104"/>
      <c r="AQW393" s="104"/>
      <c r="AQX393" s="119"/>
      <c r="AQY393" s="104"/>
      <c r="AQZ393" s="455"/>
      <c r="ARA393" s="104"/>
      <c r="ARB393" s="104"/>
      <c r="ARC393" s="109"/>
      <c r="ARD393" s="104"/>
      <c r="ARE393" s="104"/>
      <c r="ARF393" s="119"/>
      <c r="ARG393" s="104"/>
      <c r="ARH393" s="455"/>
      <c r="ARI393" s="104"/>
      <c r="ARJ393" s="104"/>
      <c r="ARK393" s="109"/>
      <c r="ARL393" s="104"/>
      <c r="ARM393" s="104"/>
      <c r="ARN393" s="119"/>
      <c r="ARO393" s="104"/>
      <c r="ARP393" s="455"/>
      <c r="ARQ393" s="104"/>
      <c r="ARR393" s="104"/>
      <c r="ARS393" s="109"/>
      <c r="ART393" s="104"/>
      <c r="ARU393" s="104"/>
      <c r="ARV393" s="119"/>
      <c r="ARW393" s="104"/>
      <c r="ARX393" s="455"/>
      <c r="ARY393" s="104"/>
      <c r="ARZ393" s="104"/>
      <c r="ASA393" s="109"/>
      <c r="ASB393" s="104"/>
      <c r="ASC393" s="104"/>
      <c r="ASD393" s="119"/>
      <c r="ASE393" s="104"/>
      <c r="ASF393" s="455"/>
      <c r="ASG393" s="104"/>
      <c r="ASH393" s="104"/>
      <c r="ASI393" s="109"/>
      <c r="ASJ393" s="104"/>
      <c r="ASK393" s="104"/>
      <c r="ASL393" s="119"/>
      <c r="ASM393" s="104"/>
      <c r="ASN393" s="455"/>
      <c r="ASO393" s="104"/>
      <c r="ASP393" s="104"/>
      <c r="ASQ393" s="109"/>
      <c r="ASR393" s="104"/>
      <c r="ASS393" s="104"/>
      <c r="AST393" s="119"/>
      <c r="ASU393" s="104"/>
      <c r="ASV393" s="455"/>
      <c r="ASW393" s="104"/>
      <c r="ASX393" s="104"/>
      <c r="ASY393" s="109"/>
      <c r="ASZ393" s="104"/>
      <c r="ATA393" s="104"/>
      <c r="ATB393" s="119"/>
      <c r="ATC393" s="104"/>
      <c r="ATD393" s="455"/>
      <c r="ATE393" s="104"/>
      <c r="ATF393" s="104"/>
      <c r="ATG393" s="109"/>
      <c r="ATH393" s="104"/>
      <c r="ATI393" s="104"/>
      <c r="ATJ393" s="119"/>
      <c r="ATK393" s="104"/>
      <c r="ATL393" s="455"/>
      <c r="ATM393" s="104"/>
      <c r="ATN393" s="104"/>
      <c r="ATO393" s="109"/>
      <c r="ATP393" s="104"/>
      <c r="ATQ393" s="104"/>
      <c r="ATR393" s="119"/>
      <c r="ATS393" s="104"/>
      <c r="ATT393" s="455"/>
      <c r="ATU393" s="104"/>
      <c r="ATV393" s="104"/>
      <c r="ATW393" s="109"/>
      <c r="ATX393" s="104"/>
      <c r="ATY393" s="104"/>
      <c r="ATZ393" s="119"/>
      <c r="AUA393" s="104"/>
      <c r="AUB393" s="455"/>
      <c r="AUC393" s="104"/>
      <c r="AUD393" s="104"/>
      <c r="AUE393" s="109"/>
      <c r="AUF393" s="104"/>
      <c r="AUG393" s="104"/>
      <c r="AUH393" s="119"/>
      <c r="AUI393" s="104"/>
      <c r="AUJ393" s="455"/>
      <c r="AUK393" s="104"/>
      <c r="AUL393" s="104"/>
      <c r="AUM393" s="109"/>
      <c r="AUN393" s="104"/>
      <c r="AUO393" s="104"/>
      <c r="AUP393" s="119"/>
      <c r="AUQ393" s="104"/>
      <c r="AUR393" s="455"/>
      <c r="AUS393" s="104"/>
      <c r="AUT393" s="104"/>
      <c r="AUU393" s="109"/>
      <c r="AUV393" s="104"/>
      <c r="AUW393" s="104"/>
      <c r="AUX393" s="119"/>
      <c r="AUY393" s="104"/>
      <c r="AUZ393" s="455"/>
      <c r="AVA393" s="104"/>
      <c r="AVB393" s="104"/>
      <c r="AVC393" s="109"/>
      <c r="AVD393" s="104"/>
      <c r="AVE393" s="104"/>
      <c r="AVF393" s="119"/>
      <c r="AVG393" s="104"/>
      <c r="AVH393" s="455"/>
      <c r="AVI393" s="104"/>
      <c r="AVJ393" s="104"/>
      <c r="AVK393" s="109"/>
      <c r="AVL393" s="104"/>
      <c r="AVM393" s="104"/>
      <c r="AVN393" s="119"/>
      <c r="AVO393" s="104"/>
      <c r="AVP393" s="455"/>
      <c r="AVQ393" s="104"/>
      <c r="AVR393" s="104"/>
      <c r="AVS393" s="109"/>
      <c r="AVT393" s="104"/>
      <c r="AVU393" s="104"/>
      <c r="AVV393" s="119"/>
      <c r="AVW393" s="104"/>
      <c r="AVX393" s="455"/>
      <c r="AVY393" s="104"/>
      <c r="AVZ393" s="104"/>
      <c r="AWA393" s="109"/>
      <c r="AWB393" s="104"/>
      <c r="AWC393" s="104"/>
      <c r="AWD393" s="119"/>
      <c r="AWE393" s="104"/>
      <c r="AWF393" s="455"/>
      <c r="AWG393" s="104"/>
      <c r="AWH393" s="104"/>
      <c r="AWI393" s="109"/>
      <c r="AWJ393" s="104"/>
      <c r="AWK393" s="104"/>
      <c r="AWL393" s="119"/>
      <c r="AWM393" s="104"/>
      <c r="AWN393" s="455"/>
      <c r="AWO393" s="104"/>
      <c r="AWP393" s="104"/>
      <c r="AWQ393" s="109"/>
      <c r="AWR393" s="104"/>
      <c r="AWS393" s="104"/>
      <c r="AWT393" s="119"/>
      <c r="AWU393" s="104"/>
      <c r="AWV393" s="455"/>
      <c r="AWW393" s="104"/>
      <c r="AWX393" s="104"/>
      <c r="AWY393" s="109"/>
      <c r="AWZ393" s="104"/>
      <c r="AXA393" s="104"/>
      <c r="AXB393" s="119"/>
      <c r="AXC393" s="104"/>
      <c r="AXD393" s="455"/>
      <c r="AXE393" s="104"/>
      <c r="AXF393" s="104"/>
      <c r="AXG393" s="109"/>
      <c r="AXH393" s="104"/>
      <c r="AXI393" s="104"/>
      <c r="AXJ393" s="119"/>
      <c r="AXK393" s="104"/>
      <c r="AXL393" s="455"/>
      <c r="AXM393" s="104"/>
      <c r="AXN393" s="104"/>
      <c r="AXO393" s="109"/>
      <c r="AXP393" s="104"/>
      <c r="AXQ393" s="104"/>
      <c r="AXR393" s="119"/>
      <c r="AXS393" s="104"/>
      <c r="AXT393" s="455"/>
      <c r="AXU393" s="104"/>
      <c r="AXV393" s="104"/>
      <c r="AXW393" s="109"/>
      <c r="AXX393" s="104"/>
      <c r="AXY393" s="104"/>
      <c r="AXZ393" s="119"/>
      <c r="AYA393" s="104"/>
      <c r="AYB393" s="455"/>
      <c r="AYC393" s="104"/>
      <c r="AYD393" s="104"/>
      <c r="AYE393" s="109"/>
      <c r="AYF393" s="104"/>
      <c r="AYG393" s="104"/>
      <c r="AYH393" s="119"/>
      <c r="AYI393" s="104"/>
      <c r="AYJ393" s="455"/>
      <c r="AYK393" s="104"/>
      <c r="AYL393" s="104"/>
      <c r="AYM393" s="109"/>
      <c r="AYN393" s="104"/>
      <c r="AYO393" s="104"/>
      <c r="AYP393" s="119"/>
      <c r="AYQ393" s="104"/>
      <c r="AYR393" s="455"/>
      <c r="AYS393" s="104"/>
      <c r="AYT393" s="104"/>
      <c r="AYU393" s="109"/>
      <c r="AYV393" s="104"/>
      <c r="AYW393" s="104"/>
      <c r="AYX393" s="119"/>
      <c r="AYY393" s="104"/>
      <c r="AYZ393" s="455"/>
      <c r="AZA393" s="104"/>
      <c r="AZB393" s="104"/>
      <c r="AZC393" s="109"/>
      <c r="AZD393" s="104"/>
      <c r="AZE393" s="104"/>
      <c r="AZF393" s="119"/>
      <c r="AZG393" s="104"/>
      <c r="AZH393" s="455"/>
      <c r="AZI393" s="104"/>
      <c r="AZJ393" s="104"/>
      <c r="AZK393" s="109"/>
      <c r="AZL393" s="104"/>
      <c r="AZM393" s="104"/>
      <c r="AZN393" s="119"/>
      <c r="AZO393" s="104"/>
      <c r="AZP393" s="455"/>
      <c r="AZQ393" s="104"/>
      <c r="AZR393" s="104"/>
      <c r="AZS393" s="109"/>
      <c r="AZT393" s="104"/>
      <c r="AZU393" s="104"/>
      <c r="AZV393" s="119"/>
      <c r="AZW393" s="104"/>
      <c r="AZX393" s="455"/>
      <c r="AZY393" s="104"/>
      <c r="AZZ393" s="104"/>
      <c r="BAA393" s="109"/>
      <c r="BAB393" s="104"/>
      <c r="BAC393" s="104"/>
      <c r="BAD393" s="119"/>
      <c r="BAE393" s="104"/>
      <c r="BAF393" s="455"/>
      <c r="BAG393" s="104"/>
      <c r="BAH393" s="104"/>
      <c r="BAI393" s="109"/>
      <c r="BAJ393" s="104"/>
      <c r="BAK393" s="104"/>
      <c r="BAL393" s="119"/>
      <c r="BAM393" s="104"/>
      <c r="BAN393" s="455"/>
      <c r="BAO393" s="104"/>
      <c r="BAP393" s="104"/>
      <c r="BAQ393" s="109"/>
      <c r="BAR393" s="104"/>
      <c r="BAS393" s="104"/>
      <c r="BAT393" s="119"/>
      <c r="BAU393" s="104"/>
      <c r="BAV393" s="455"/>
      <c r="BAW393" s="104"/>
      <c r="BAX393" s="104"/>
      <c r="BAY393" s="109"/>
      <c r="BAZ393" s="104"/>
      <c r="BBA393" s="104"/>
      <c r="BBB393" s="119"/>
      <c r="BBC393" s="104"/>
      <c r="BBD393" s="455"/>
      <c r="BBE393" s="104"/>
      <c r="BBF393" s="104"/>
      <c r="BBG393" s="109"/>
      <c r="BBH393" s="104"/>
      <c r="BBI393" s="104"/>
      <c r="BBJ393" s="119"/>
      <c r="BBK393" s="104"/>
      <c r="BBL393" s="455"/>
      <c r="BBM393" s="104"/>
      <c r="BBN393" s="104"/>
      <c r="BBO393" s="109"/>
      <c r="BBP393" s="104"/>
      <c r="BBQ393" s="104"/>
      <c r="BBR393" s="119"/>
      <c r="BBS393" s="104"/>
      <c r="BBT393" s="455"/>
      <c r="BBU393" s="104"/>
      <c r="BBV393" s="104"/>
      <c r="BBW393" s="109"/>
      <c r="BBX393" s="104"/>
      <c r="BBY393" s="104"/>
      <c r="BBZ393" s="119"/>
      <c r="BCA393" s="104"/>
      <c r="BCB393" s="455"/>
      <c r="BCC393" s="104"/>
      <c r="BCD393" s="104"/>
      <c r="BCE393" s="109"/>
      <c r="BCF393" s="104"/>
      <c r="BCG393" s="104"/>
      <c r="BCH393" s="119"/>
      <c r="BCI393" s="104"/>
      <c r="BCJ393" s="455"/>
      <c r="BCK393" s="104"/>
      <c r="BCL393" s="104"/>
      <c r="BCM393" s="109"/>
      <c r="BCN393" s="104"/>
      <c r="BCO393" s="104"/>
      <c r="BCP393" s="119"/>
      <c r="BCQ393" s="104"/>
      <c r="BCR393" s="455"/>
      <c r="BCS393" s="104"/>
      <c r="BCT393" s="104"/>
      <c r="BCU393" s="109"/>
      <c r="BCV393" s="104"/>
      <c r="BCW393" s="104"/>
      <c r="BCX393" s="119"/>
      <c r="BCY393" s="104"/>
      <c r="BCZ393" s="455"/>
      <c r="BDA393" s="104"/>
      <c r="BDB393" s="104"/>
      <c r="BDC393" s="109"/>
      <c r="BDD393" s="104"/>
      <c r="BDE393" s="104"/>
      <c r="BDF393" s="119"/>
      <c r="BDG393" s="104"/>
      <c r="BDH393" s="455"/>
      <c r="BDI393" s="104"/>
      <c r="BDJ393" s="104"/>
      <c r="BDK393" s="109"/>
      <c r="BDL393" s="104"/>
      <c r="BDM393" s="104"/>
      <c r="BDN393" s="119"/>
      <c r="BDO393" s="104"/>
      <c r="BDP393" s="455"/>
      <c r="BDQ393" s="104"/>
      <c r="BDR393" s="104"/>
      <c r="BDS393" s="109"/>
      <c r="BDT393" s="104"/>
      <c r="BDU393" s="104"/>
      <c r="BDV393" s="119"/>
      <c r="BDW393" s="104"/>
      <c r="BDX393" s="455"/>
      <c r="BDY393" s="104"/>
      <c r="BDZ393" s="104"/>
      <c r="BEA393" s="109"/>
      <c r="BEB393" s="104"/>
      <c r="BEC393" s="104"/>
      <c r="BED393" s="119"/>
      <c r="BEE393" s="104"/>
      <c r="BEF393" s="455"/>
      <c r="BEG393" s="104"/>
      <c r="BEH393" s="104"/>
      <c r="BEI393" s="109"/>
      <c r="BEJ393" s="104"/>
      <c r="BEK393" s="104"/>
      <c r="BEL393" s="119"/>
      <c r="BEM393" s="104"/>
      <c r="BEN393" s="455"/>
      <c r="BEO393" s="104"/>
      <c r="BEP393" s="104"/>
      <c r="BEQ393" s="109"/>
      <c r="BER393" s="104"/>
      <c r="BES393" s="104"/>
      <c r="BET393" s="119"/>
      <c r="BEU393" s="104"/>
      <c r="BEV393" s="455"/>
      <c r="BEW393" s="104"/>
      <c r="BEX393" s="104"/>
      <c r="BEY393" s="109"/>
      <c r="BEZ393" s="104"/>
      <c r="BFA393" s="104"/>
      <c r="BFB393" s="119"/>
      <c r="BFC393" s="104"/>
      <c r="BFD393" s="455"/>
      <c r="BFE393" s="104"/>
      <c r="BFF393" s="104"/>
      <c r="BFG393" s="109"/>
      <c r="BFH393" s="104"/>
      <c r="BFI393" s="104"/>
      <c r="BFJ393" s="119"/>
      <c r="BFK393" s="104"/>
      <c r="BFL393" s="455"/>
      <c r="BFM393" s="104"/>
      <c r="BFN393" s="104"/>
      <c r="BFO393" s="109"/>
      <c r="BFP393" s="104"/>
      <c r="BFQ393" s="104"/>
      <c r="BFR393" s="119"/>
      <c r="BFS393" s="104"/>
      <c r="BFT393" s="455"/>
      <c r="BFU393" s="104"/>
      <c r="BFV393" s="104"/>
      <c r="BFW393" s="109"/>
      <c r="BFX393" s="104"/>
      <c r="BFY393" s="104"/>
      <c r="BFZ393" s="119"/>
      <c r="BGA393" s="104"/>
      <c r="BGB393" s="455"/>
      <c r="BGC393" s="104"/>
      <c r="BGD393" s="104"/>
      <c r="BGE393" s="109"/>
      <c r="BGF393" s="104"/>
      <c r="BGG393" s="104"/>
      <c r="BGH393" s="119"/>
      <c r="BGI393" s="104"/>
      <c r="BGJ393" s="455"/>
      <c r="BGK393" s="104"/>
      <c r="BGL393" s="104"/>
      <c r="BGM393" s="109"/>
      <c r="BGN393" s="104"/>
      <c r="BGO393" s="104"/>
      <c r="BGP393" s="119"/>
      <c r="BGQ393" s="104"/>
      <c r="BGR393" s="455"/>
      <c r="BGS393" s="104"/>
      <c r="BGT393" s="104"/>
      <c r="BGU393" s="109"/>
      <c r="BGV393" s="104"/>
      <c r="BGW393" s="104"/>
      <c r="BGX393" s="119"/>
      <c r="BGY393" s="104"/>
      <c r="BGZ393" s="455"/>
      <c r="BHA393" s="104"/>
      <c r="BHB393" s="104"/>
      <c r="BHC393" s="109"/>
      <c r="BHD393" s="104"/>
      <c r="BHE393" s="104"/>
      <c r="BHF393" s="119"/>
      <c r="BHG393" s="104"/>
      <c r="BHH393" s="455"/>
      <c r="BHI393" s="104"/>
      <c r="BHJ393" s="104"/>
      <c r="BHK393" s="109"/>
      <c r="BHL393" s="104"/>
      <c r="BHM393" s="104"/>
      <c r="BHN393" s="119"/>
      <c r="BHO393" s="104"/>
      <c r="BHP393" s="455"/>
      <c r="BHQ393" s="104"/>
      <c r="BHR393" s="104"/>
      <c r="BHS393" s="109"/>
      <c r="BHT393" s="104"/>
      <c r="BHU393" s="104"/>
      <c r="BHV393" s="119"/>
      <c r="BHW393" s="104"/>
      <c r="BHX393" s="455"/>
      <c r="BHY393" s="104"/>
      <c r="BHZ393" s="104"/>
      <c r="BIA393" s="109"/>
      <c r="BIB393" s="104"/>
      <c r="BIC393" s="104"/>
      <c r="BID393" s="119"/>
      <c r="BIE393" s="104"/>
      <c r="BIF393" s="455"/>
      <c r="BIG393" s="104"/>
      <c r="BIH393" s="104"/>
      <c r="BII393" s="109"/>
      <c r="BIJ393" s="104"/>
      <c r="BIK393" s="104"/>
      <c r="BIL393" s="119"/>
      <c r="BIM393" s="104"/>
      <c r="BIN393" s="455"/>
      <c r="BIO393" s="104"/>
      <c r="BIP393" s="104"/>
      <c r="BIQ393" s="109"/>
      <c r="BIR393" s="104"/>
      <c r="BIS393" s="104"/>
      <c r="BIT393" s="119"/>
      <c r="BIU393" s="104"/>
      <c r="BIV393" s="455"/>
      <c r="BIW393" s="104"/>
      <c r="BIX393" s="104"/>
      <c r="BIY393" s="109"/>
      <c r="BIZ393" s="104"/>
      <c r="BJA393" s="104"/>
      <c r="BJB393" s="119"/>
      <c r="BJC393" s="104"/>
      <c r="BJD393" s="455"/>
      <c r="BJE393" s="104"/>
      <c r="BJF393" s="104"/>
      <c r="BJG393" s="109"/>
      <c r="BJH393" s="104"/>
      <c r="BJI393" s="104"/>
      <c r="BJJ393" s="119"/>
      <c r="BJK393" s="104"/>
      <c r="BJL393" s="455"/>
      <c r="BJM393" s="104"/>
      <c r="BJN393" s="104"/>
      <c r="BJO393" s="109"/>
      <c r="BJP393" s="104"/>
      <c r="BJQ393" s="104"/>
      <c r="BJR393" s="119"/>
      <c r="BJS393" s="104"/>
      <c r="BJT393" s="455"/>
      <c r="BJU393" s="104"/>
      <c r="BJV393" s="104"/>
      <c r="BJW393" s="109"/>
      <c r="BJX393" s="104"/>
      <c r="BJY393" s="104"/>
      <c r="BJZ393" s="119"/>
      <c r="BKA393" s="104"/>
      <c r="BKB393" s="455"/>
      <c r="BKC393" s="104"/>
      <c r="BKD393" s="104"/>
      <c r="BKE393" s="109"/>
      <c r="BKF393" s="104"/>
      <c r="BKG393" s="104"/>
      <c r="BKH393" s="119"/>
      <c r="BKI393" s="104"/>
      <c r="BKJ393" s="455"/>
      <c r="BKK393" s="104"/>
      <c r="BKL393" s="104"/>
      <c r="BKM393" s="109"/>
      <c r="BKN393" s="104"/>
      <c r="BKO393" s="104"/>
      <c r="BKP393" s="119"/>
      <c r="BKQ393" s="104"/>
      <c r="BKR393" s="455"/>
      <c r="BKS393" s="104"/>
      <c r="BKT393" s="104"/>
      <c r="BKU393" s="109"/>
      <c r="BKV393" s="104"/>
      <c r="BKW393" s="104"/>
      <c r="BKX393" s="119"/>
      <c r="BKY393" s="104"/>
      <c r="BKZ393" s="455"/>
      <c r="BLA393" s="104"/>
      <c r="BLB393" s="104"/>
      <c r="BLC393" s="109"/>
      <c r="BLD393" s="104"/>
      <c r="BLE393" s="104"/>
      <c r="BLF393" s="119"/>
      <c r="BLG393" s="104"/>
      <c r="BLH393" s="455"/>
      <c r="BLI393" s="104"/>
      <c r="BLJ393" s="104"/>
      <c r="BLK393" s="109"/>
      <c r="BLL393" s="104"/>
      <c r="BLM393" s="104"/>
      <c r="BLN393" s="119"/>
      <c r="BLO393" s="104"/>
      <c r="BLP393" s="455"/>
      <c r="BLQ393" s="104"/>
      <c r="BLR393" s="104"/>
      <c r="BLS393" s="109"/>
      <c r="BLT393" s="104"/>
      <c r="BLU393" s="104"/>
      <c r="BLV393" s="119"/>
      <c r="BLW393" s="104"/>
      <c r="BLX393" s="455"/>
      <c r="BLY393" s="104"/>
      <c r="BLZ393" s="104"/>
      <c r="BMA393" s="109"/>
      <c r="BMB393" s="104"/>
      <c r="BMC393" s="104"/>
      <c r="BMD393" s="119"/>
      <c r="BME393" s="104"/>
      <c r="BMF393" s="455"/>
      <c r="BMG393" s="104"/>
      <c r="BMH393" s="104"/>
      <c r="BMI393" s="109"/>
      <c r="BMJ393" s="104"/>
      <c r="BMK393" s="104"/>
      <c r="BML393" s="119"/>
      <c r="BMM393" s="104"/>
      <c r="BMN393" s="455"/>
      <c r="BMO393" s="104"/>
      <c r="BMP393" s="104"/>
      <c r="BMQ393" s="109"/>
      <c r="BMR393" s="104"/>
      <c r="BMS393" s="104"/>
      <c r="BMT393" s="119"/>
      <c r="BMU393" s="104"/>
      <c r="BMV393" s="455"/>
      <c r="BMW393" s="104"/>
      <c r="BMX393" s="104"/>
      <c r="BMY393" s="109"/>
      <c r="BMZ393" s="104"/>
      <c r="BNA393" s="104"/>
      <c r="BNB393" s="119"/>
      <c r="BNC393" s="104"/>
      <c r="BND393" s="455"/>
      <c r="BNE393" s="104"/>
      <c r="BNF393" s="104"/>
      <c r="BNG393" s="109"/>
      <c r="BNH393" s="104"/>
      <c r="BNI393" s="104"/>
      <c r="BNJ393" s="119"/>
      <c r="BNK393" s="104"/>
      <c r="BNL393" s="455"/>
      <c r="BNM393" s="104"/>
      <c r="BNN393" s="104"/>
      <c r="BNO393" s="109"/>
      <c r="BNP393" s="104"/>
      <c r="BNQ393" s="104"/>
      <c r="BNR393" s="119"/>
      <c r="BNS393" s="104"/>
      <c r="BNT393" s="455"/>
      <c r="BNU393" s="104"/>
      <c r="BNV393" s="104"/>
      <c r="BNW393" s="109"/>
      <c r="BNX393" s="104"/>
      <c r="BNY393" s="104"/>
      <c r="BNZ393" s="119"/>
      <c r="BOA393" s="104"/>
      <c r="BOB393" s="455"/>
      <c r="BOC393" s="104"/>
      <c r="BOD393" s="104"/>
      <c r="BOE393" s="109"/>
      <c r="BOF393" s="104"/>
      <c r="BOG393" s="104"/>
      <c r="BOH393" s="119"/>
      <c r="BOI393" s="104"/>
      <c r="BOJ393" s="455"/>
      <c r="BOK393" s="104"/>
      <c r="BOL393" s="104"/>
      <c r="BOM393" s="109"/>
      <c r="BON393" s="104"/>
      <c r="BOO393" s="104"/>
      <c r="BOP393" s="119"/>
      <c r="BOQ393" s="104"/>
      <c r="BOR393" s="455"/>
      <c r="BOS393" s="104"/>
      <c r="BOT393" s="104"/>
      <c r="BOU393" s="109"/>
      <c r="BOV393" s="104"/>
      <c r="BOW393" s="104"/>
      <c r="BOX393" s="119"/>
      <c r="BOY393" s="104"/>
      <c r="BOZ393" s="455"/>
      <c r="BPA393" s="104"/>
      <c r="BPB393" s="104"/>
      <c r="BPC393" s="109"/>
      <c r="BPD393" s="104"/>
      <c r="BPE393" s="104"/>
      <c r="BPF393" s="119"/>
      <c r="BPG393" s="104"/>
      <c r="BPH393" s="455"/>
      <c r="BPI393" s="104"/>
      <c r="BPJ393" s="104"/>
      <c r="BPK393" s="109"/>
      <c r="BPL393" s="104"/>
      <c r="BPM393" s="104"/>
      <c r="BPN393" s="119"/>
      <c r="BPO393" s="104"/>
      <c r="BPP393" s="455"/>
      <c r="BPQ393" s="104"/>
      <c r="BPR393" s="104"/>
      <c r="BPS393" s="109"/>
      <c r="BPT393" s="104"/>
      <c r="BPU393" s="104"/>
      <c r="BPV393" s="119"/>
      <c r="BPW393" s="104"/>
      <c r="BPX393" s="455"/>
      <c r="BPY393" s="104"/>
      <c r="BPZ393" s="104"/>
      <c r="BQA393" s="109"/>
      <c r="BQB393" s="104"/>
      <c r="BQC393" s="104"/>
      <c r="BQD393" s="119"/>
      <c r="BQE393" s="104"/>
      <c r="BQF393" s="455"/>
      <c r="BQG393" s="104"/>
      <c r="BQH393" s="104"/>
      <c r="BQI393" s="109"/>
      <c r="BQJ393" s="104"/>
      <c r="BQK393" s="104"/>
      <c r="BQL393" s="119"/>
      <c r="BQM393" s="104"/>
      <c r="BQN393" s="455"/>
      <c r="BQO393" s="104"/>
      <c r="BQP393" s="104"/>
      <c r="BQQ393" s="109"/>
      <c r="BQR393" s="104"/>
      <c r="BQS393" s="104"/>
      <c r="BQT393" s="119"/>
      <c r="BQU393" s="104"/>
      <c r="BQV393" s="455"/>
      <c r="BQW393" s="104"/>
      <c r="BQX393" s="104"/>
      <c r="BQY393" s="109"/>
      <c r="BQZ393" s="104"/>
      <c r="BRA393" s="104"/>
      <c r="BRB393" s="119"/>
      <c r="BRC393" s="104"/>
      <c r="BRD393" s="455"/>
      <c r="BRE393" s="104"/>
      <c r="BRF393" s="104"/>
      <c r="BRG393" s="109"/>
      <c r="BRH393" s="104"/>
      <c r="BRI393" s="104"/>
      <c r="BRJ393" s="119"/>
      <c r="BRK393" s="104"/>
      <c r="BRL393" s="455"/>
      <c r="BRM393" s="104"/>
      <c r="BRN393" s="104"/>
      <c r="BRO393" s="109"/>
      <c r="BRP393" s="104"/>
      <c r="BRQ393" s="104"/>
      <c r="BRR393" s="119"/>
      <c r="BRS393" s="104"/>
      <c r="BRT393" s="455"/>
      <c r="BRU393" s="104"/>
      <c r="BRV393" s="104"/>
      <c r="BRW393" s="109"/>
      <c r="BRX393" s="104"/>
      <c r="BRY393" s="104"/>
      <c r="BRZ393" s="119"/>
      <c r="BSA393" s="104"/>
      <c r="BSB393" s="455"/>
      <c r="BSC393" s="104"/>
      <c r="BSD393" s="104"/>
      <c r="BSE393" s="109"/>
      <c r="BSF393" s="104"/>
      <c r="BSG393" s="104"/>
      <c r="BSH393" s="119"/>
      <c r="BSI393" s="104"/>
      <c r="BSJ393" s="455"/>
      <c r="BSK393" s="104"/>
      <c r="BSL393" s="104"/>
      <c r="BSM393" s="109"/>
      <c r="BSN393" s="104"/>
      <c r="BSO393" s="104"/>
      <c r="BSP393" s="119"/>
      <c r="BSQ393" s="104"/>
      <c r="BSR393" s="455"/>
      <c r="BSS393" s="104"/>
      <c r="BST393" s="104"/>
      <c r="BSU393" s="109"/>
      <c r="BSV393" s="104"/>
      <c r="BSW393" s="104"/>
      <c r="BSX393" s="119"/>
      <c r="BSY393" s="104"/>
      <c r="BSZ393" s="455"/>
      <c r="BTA393" s="104"/>
      <c r="BTB393" s="104"/>
      <c r="BTC393" s="109"/>
      <c r="BTD393" s="104"/>
      <c r="BTE393" s="104"/>
      <c r="BTF393" s="119"/>
      <c r="BTG393" s="104"/>
      <c r="BTH393" s="455"/>
      <c r="BTI393" s="104"/>
      <c r="BTJ393" s="104"/>
      <c r="BTK393" s="109"/>
      <c r="BTL393" s="104"/>
      <c r="BTM393" s="104"/>
      <c r="BTN393" s="119"/>
      <c r="BTO393" s="104"/>
      <c r="BTP393" s="455"/>
      <c r="BTQ393" s="104"/>
      <c r="BTR393" s="104"/>
      <c r="BTS393" s="109"/>
      <c r="BTT393" s="104"/>
      <c r="BTU393" s="104"/>
      <c r="BTV393" s="119"/>
      <c r="BTW393" s="104"/>
      <c r="BTX393" s="455"/>
      <c r="BTY393" s="104"/>
      <c r="BTZ393" s="104"/>
      <c r="BUA393" s="109"/>
      <c r="BUB393" s="104"/>
      <c r="BUC393" s="104"/>
      <c r="BUD393" s="119"/>
      <c r="BUE393" s="104"/>
      <c r="BUF393" s="455"/>
      <c r="BUG393" s="104"/>
      <c r="BUH393" s="104"/>
      <c r="BUI393" s="109"/>
      <c r="BUJ393" s="104"/>
      <c r="BUK393" s="104"/>
      <c r="BUL393" s="119"/>
      <c r="BUM393" s="104"/>
      <c r="BUN393" s="455"/>
      <c r="BUO393" s="104"/>
      <c r="BUP393" s="104"/>
      <c r="BUQ393" s="109"/>
      <c r="BUR393" s="104"/>
      <c r="BUS393" s="104"/>
      <c r="BUT393" s="119"/>
      <c r="BUU393" s="104"/>
      <c r="BUV393" s="455"/>
      <c r="BUW393" s="104"/>
      <c r="BUX393" s="104"/>
      <c r="BUY393" s="109"/>
      <c r="BUZ393" s="104"/>
      <c r="BVA393" s="104"/>
      <c r="BVB393" s="119"/>
      <c r="BVC393" s="104"/>
      <c r="BVD393" s="455"/>
      <c r="BVE393" s="104"/>
      <c r="BVF393" s="104"/>
      <c r="BVG393" s="109"/>
      <c r="BVH393" s="104"/>
      <c r="BVI393" s="104"/>
      <c r="BVJ393" s="119"/>
      <c r="BVK393" s="104"/>
      <c r="BVL393" s="455"/>
      <c r="BVM393" s="104"/>
      <c r="BVN393" s="104"/>
      <c r="BVO393" s="109"/>
      <c r="BVP393" s="104"/>
      <c r="BVQ393" s="104"/>
      <c r="BVR393" s="119"/>
      <c r="BVS393" s="104"/>
      <c r="BVT393" s="455"/>
      <c r="BVU393" s="104"/>
      <c r="BVV393" s="104"/>
      <c r="BVW393" s="109"/>
      <c r="BVX393" s="104"/>
      <c r="BVY393" s="104"/>
      <c r="BVZ393" s="119"/>
      <c r="BWA393" s="104"/>
      <c r="BWB393" s="455"/>
      <c r="BWC393" s="104"/>
      <c r="BWD393" s="104"/>
      <c r="BWE393" s="109"/>
      <c r="BWF393" s="104"/>
      <c r="BWG393" s="104"/>
      <c r="BWH393" s="119"/>
      <c r="BWI393" s="104"/>
      <c r="BWJ393" s="455"/>
      <c r="BWK393" s="104"/>
      <c r="BWL393" s="104"/>
      <c r="BWM393" s="109"/>
      <c r="BWN393" s="104"/>
      <c r="BWO393" s="104"/>
      <c r="BWP393" s="119"/>
      <c r="BWQ393" s="104"/>
      <c r="BWR393" s="455"/>
      <c r="BWS393" s="104"/>
      <c r="BWT393" s="104"/>
      <c r="BWU393" s="109"/>
      <c r="BWV393" s="104"/>
      <c r="BWW393" s="104"/>
      <c r="BWX393" s="119"/>
      <c r="BWY393" s="104"/>
      <c r="BWZ393" s="455"/>
      <c r="BXA393" s="104"/>
      <c r="BXB393" s="104"/>
      <c r="BXC393" s="109"/>
      <c r="BXD393" s="104"/>
      <c r="BXE393" s="104"/>
      <c r="BXF393" s="119"/>
      <c r="BXG393" s="104"/>
      <c r="BXH393" s="455"/>
      <c r="BXI393" s="104"/>
      <c r="BXJ393" s="104"/>
      <c r="BXK393" s="109"/>
      <c r="BXL393" s="104"/>
      <c r="BXM393" s="104"/>
      <c r="BXN393" s="119"/>
      <c r="BXO393" s="104"/>
      <c r="BXP393" s="455"/>
      <c r="BXQ393" s="104"/>
      <c r="BXR393" s="104"/>
      <c r="BXS393" s="109"/>
      <c r="BXT393" s="104"/>
      <c r="BXU393" s="104"/>
      <c r="BXV393" s="119"/>
      <c r="BXW393" s="104"/>
      <c r="BXX393" s="455"/>
      <c r="BXY393" s="104"/>
      <c r="BXZ393" s="104"/>
      <c r="BYA393" s="109"/>
      <c r="BYB393" s="104"/>
      <c r="BYC393" s="104"/>
      <c r="BYD393" s="119"/>
      <c r="BYE393" s="104"/>
      <c r="BYF393" s="455"/>
      <c r="BYG393" s="104"/>
      <c r="BYH393" s="104"/>
      <c r="BYI393" s="109"/>
      <c r="BYJ393" s="104"/>
      <c r="BYK393" s="104"/>
      <c r="BYL393" s="119"/>
      <c r="BYM393" s="104"/>
      <c r="BYN393" s="455"/>
      <c r="BYO393" s="104"/>
      <c r="BYP393" s="104"/>
      <c r="BYQ393" s="109"/>
      <c r="BYR393" s="104"/>
      <c r="BYS393" s="104"/>
      <c r="BYT393" s="119"/>
      <c r="BYU393" s="104"/>
      <c r="BYV393" s="455"/>
      <c r="BYW393" s="104"/>
      <c r="BYX393" s="104"/>
      <c r="BYY393" s="109"/>
      <c r="BYZ393" s="104"/>
      <c r="BZA393" s="104"/>
      <c r="BZB393" s="119"/>
      <c r="BZC393" s="104"/>
      <c r="BZD393" s="455"/>
      <c r="BZE393" s="104"/>
      <c r="BZF393" s="104"/>
      <c r="BZG393" s="109"/>
      <c r="BZH393" s="104"/>
      <c r="BZI393" s="104"/>
      <c r="BZJ393" s="119"/>
      <c r="BZK393" s="104"/>
      <c r="BZL393" s="455"/>
      <c r="BZM393" s="104"/>
      <c r="BZN393" s="104"/>
      <c r="BZO393" s="109"/>
      <c r="BZP393" s="104"/>
      <c r="BZQ393" s="104"/>
      <c r="BZR393" s="119"/>
      <c r="BZS393" s="104"/>
      <c r="BZT393" s="455"/>
      <c r="BZU393" s="104"/>
      <c r="BZV393" s="104"/>
      <c r="BZW393" s="109"/>
      <c r="BZX393" s="104"/>
      <c r="BZY393" s="104"/>
      <c r="BZZ393" s="119"/>
      <c r="CAA393" s="104"/>
      <c r="CAB393" s="455"/>
      <c r="CAC393" s="104"/>
      <c r="CAD393" s="104"/>
      <c r="CAE393" s="109"/>
      <c r="CAF393" s="104"/>
      <c r="CAG393" s="104"/>
      <c r="CAH393" s="119"/>
      <c r="CAI393" s="104"/>
      <c r="CAJ393" s="455"/>
      <c r="CAK393" s="104"/>
      <c r="CAL393" s="104"/>
      <c r="CAM393" s="109"/>
      <c r="CAN393" s="104"/>
      <c r="CAO393" s="104"/>
      <c r="CAP393" s="119"/>
      <c r="CAQ393" s="104"/>
      <c r="CAR393" s="455"/>
      <c r="CAS393" s="104"/>
      <c r="CAT393" s="104"/>
      <c r="CAU393" s="109"/>
      <c r="CAV393" s="104"/>
      <c r="CAW393" s="104"/>
      <c r="CAX393" s="119"/>
      <c r="CAY393" s="104"/>
      <c r="CAZ393" s="455"/>
      <c r="CBA393" s="104"/>
      <c r="CBB393" s="104"/>
      <c r="CBC393" s="109"/>
      <c r="CBD393" s="104"/>
      <c r="CBE393" s="104"/>
      <c r="CBF393" s="119"/>
      <c r="CBG393" s="104"/>
      <c r="CBH393" s="455"/>
      <c r="CBI393" s="104"/>
      <c r="CBJ393" s="104"/>
      <c r="CBK393" s="109"/>
      <c r="CBL393" s="104"/>
      <c r="CBM393" s="104"/>
      <c r="CBN393" s="119"/>
      <c r="CBO393" s="104"/>
      <c r="CBP393" s="455"/>
      <c r="CBQ393" s="104"/>
      <c r="CBR393" s="104"/>
      <c r="CBS393" s="109"/>
      <c r="CBT393" s="104"/>
      <c r="CBU393" s="104"/>
      <c r="CBV393" s="119"/>
      <c r="CBW393" s="104"/>
      <c r="CBX393" s="455"/>
      <c r="CBY393" s="104"/>
      <c r="CBZ393" s="104"/>
      <c r="CCA393" s="109"/>
      <c r="CCB393" s="104"/>
      <c r="CCC393" s="104"/>
      <c r="CCD393" s="119"/>
      <c r="CCE393" s="104"/>
      <c r="CCF393" s="455"/>
      <c r="CCG393" s="104"/>
      <c r="CCH393" s="104"/>
      <c r="CCI393" s="109"/>
      <c r="CCJ393" s="104"/>
      <c r="CCK393" s="104"/>
      <c r="CCL393" s="119"/>
      <c r="CCM393" s="104"/>
      <c r="CCN393" s="455"/>
      <c r="CCO393" s="104"/>
      <c r="CCP393" s="104"/>
      <c r="CCQ393" s="109"/>
      <c r="CCR393" s="104"/>
      <c r="CCS393" s="104"/>
      <c r="CCT393" s="119"/>
      <c r="CCU393" s="104"/>
      <c r="CCV393" s="455"/>
      <c r="CCW393" s="104"/>
      <c r="CCX393" s="104"/>
      <c r="CCY393" s="109"/>
      <c r="CCZ393" s="104"/>
      <c r="CDA393" s="104"/>
      <c r="CDB393" s="119"/>
      <c r="CDC393" s="104"/>
      <c r="CDD393" s="455"/>
      <c r="CDE393" s="104"/>
      <c r="CDF393" s="104"/>
      <c r="CDG393" s="109"/>
      <c r="CDH393" s="104"/>
      <c r="CDI393" s="104"/>
      <c r="CDJ393" s="119"/>
      <c r="CDK393" s="104"/>
      <c r="CDL393" s="455"/>
      <c r="CDM393" s="104"/>
      <c r="CDN393" s="104"/>
      <c r="CDO393" s="109"/>
      <c r="CDP393" s="104"/>
      <c r="CDQ393" s="104"/>
      <c r="CDR393" s="119"/>
      <c r="CDS393" s="104"/>
      <c r="CDT393" s="455"/>
      <c r="CDU393" s="104"/>
      <c r="CDV393" s="104"/>
      <c r="CDW393" s="109"/>
      <c r="CDX393" s="104"/>
      <c r="CDY393" s="104"/>
      <c r="CDZ393" s="119"/>
      <c r="CEA393" s="104"/>
      <c r="CEB393" s="455"/>
      <c r="CEC393" s="104"/>
      <c r="CED393" s="104"/>
      <c r="CEE393" s="109"/>
      <c r="CEF393" s="104"/>
      <c r="CEG393" s="104"/>
      <c r="CEH393" s="119"/>
      <c r="CEI393" s="104"/>
      <c r="CEJ393" s="455"/>
      <c r="CEK393" s="104"/>
      <c r="CEL393" s="104"/>
      <c r="CEM393" s="109"/>
      <c r="CEN393" s="104"/>
      <c r="CEO393" s="104"/>
      <c r="CEP393" s="119"/>
      <c r="CEQ393" s="104"/>
      <c r="CER393" s="455"/>
      <c r="CES393" s="104"/>
      <c r="CET393" s="104"/>
      <c r="CEU393" s="109"/>
      <c r="CEV393" s="104"/>
      <c r="CEW393" s="104"/>
      <c r="CEX393" s="119"/>
      <c r="CEY393" s="104"/>
      <c r="CEZ393" s="455"/>
      <c r="CFA393" s="104"/>
      <c r="CFB393" s="104"/>
      <c r="CFC393" s="109"/>
      <c r="CFD393" s="104"/>
      <c r="CFE393" s="104"/>
      <c r="CFF393" s="119"/>
      <c r="CFG393" s="104"/>
      <c r="CFH393" s="455"/>
      <c r="CFI393" s="104"/>
      <c r="CFJ393" s="104"/>
      <c r="CFK393" s="109"/>
      <c r="CFL393" s="104"/>
      <c r="CFM393" s="104"/>
      <c r="CFN393" s="119"/>
      <c r="CFO393" s="104"/>
      <c r="CFP393" s="455"/>
      <c r="CFQ393" s="104"/>
      <c r="CFR393" s="104"/>
      <c r="CFS393" s="109"/>
      <c r="CFT393" s="104"/>
      <c r="CFU393" s="104"/>
      <c r="CFV393" s="119"/>
      <c r="CFW393" s="104"/>
      <c r="CFX393" s="455"/>
      <c r="CFY393" s="104"/>
      <c r="CFZ393" s="104"/>
      <c r="CGA393" s="109"/>
      <c r="CGB393" s="104"/>
      <c r="CGC393" s="104"/>
      <c r="CGD393" s="119"/>
      <c r="CGE393" s="104"/>
      <c r="CGF393" s="455"/>
      <c r="CGG393" s="104"/>
      <c r="CGH393" s="104"/>
      <c r="CGI393" s="109"/>
      <c r="CGJ393" s="104"/>
      <c r="CGK393" s="104"/>
      <c r="CGL393" s="119"/>
      <c r="CGM393" s="104"/>
      <c r="CGN393" s="455"/>
      <c r="CGO393" s="104"/>
      <c r="CGP393" s="104"/>
      <c r="CGQ393" s="109"/>
      <c r="CGR393" s="104"/>
      <c r="CGS393" s="104"/>
      <c r="CGT393" s="119"/>
      <c r="CGU393" s="104"/>
      <c r="CGV393" s="455"/>
      <c r="CGW393" s="104"/>
      <c r="CGX393" s="104"/>
      <c r="CGY393" s="109"/>
      <c r="CGZ393" s="104"/>
      <c r="CHA393" s="104"/>
      <c r="CHB393" s="119"/>
      <c r="CHC393" s="104"/>
      <c r="CHD393" s="455"/>
      <c r="CHE393" s="104"/>
      <c r="CHF393" s="104"/>
      <c r="CHG393" s="109"/>
      <c r="CHH393" s="104"/>
      <c r="CHI393" s="104"/>
      <c r="CHJ393" s="119"/>
      <c r="CHK393" s="104"/>
      <c r="CHL393" s="455"/>
      <c r="CHM393" s="104"/>
      <c r="CHN393" s="104"/>
      <c r="CHO393" s="109"/>
      <c r="CHP393" s="104"/>
      <c r="CHQ393" s="104"/>
      <c r="CHR393" s="119"/>
      <c r="CHS393" s="104"/>
      <c r="CHT393" s="455"/>
      <c r="CHU393" s="104"/>
      <c r="CHV393" s="104"/>
      <c r="CHW393" s="109"/>
      <c r="CHX393" s="104"/>
      <c r="CHY393" s="104"/>
      <c r="CHZ393" s="119"/>
      <c r="CIA393" s="104"/>
      <c r="CIB393" s="455"/>
      <c r="CIC393" s="104"/>
      <c r="CID393" s="104"/>
      <c r="CIE393" s="109"/>
      <c r="CIF393" s="104"/>
      <c r="CIG393" s="104"/>
      <c r="CIH393" s="119"/>
      <c r="CII393" s="104"/>
      <c r="CIJ393" s="455"/>
      <c r="CIK393" s="104"/>
      <c r="CIL393" s="104"/>
      <c r="CIM393" s="109"/>
      <c r="CIN393" s="104"/>
      <c r="CIO393" s="104"/>
      <c r="CIP393" s="119"/>
      <c r="CIQ393" s="104"/>
      <c r="CIR393" s="455"/>
      <c r="CIS393" s="104"/>
      <c r="CIT393" s="104"/>
      <c r="CIU393" s="109"/>
      <c r="CIV393" s="104"/>
      <c r="CIW393" s="104"/>
      <c r="CIX393" s="119"/>
      <c r="CIY393" s="104"/>
      <c r="CIZ393" s="455"/>
      <c r="CJA393" s="104"/>
      <c r="CJB393" s="104"/>
      <c r="CJC393" s="109"/>
      <c r="CJD393" s="104"/>
      <c r="CJE393" s="104"/>
      <c r="CJF393" s="119"/>
      <c r="CJG393" s="104"/>
      <c r="CJH393" s="455"/>
      <c r="CJI393" s="104"/>
      <c r="CJJ393" s="104"/>
      <c r="CJK393" s="109"/>
      <c r="CJL393" s="104"/>
      <c r="CJM393" s="104"/>
      <c r="CJN393" s="119"/>
      <c r="CJO393" s="104"/>
      <c r="CJP393" s="455"/>
      <c r="CJQ393" s="104"/>
      <c r="CJR393" s="104"/>
      <c r="CJS393" s="109"/>
      <c r="CJT393" s="104"/>
      <c r="CJU393" s="104"/>
      <c r="CJV393" s="119"/>
      <c r="CJW393" s="104"/>
      <c r="CJX393" s="455"/>
      <c r="CJY393" s="104"/>
      <c r="CJZ393" s="104"/>
      <c r="CKA393" s="109"/>
      <c r="CKB393" s="104"/>
      <c r="CKC393" s="104"/>
      <c r="CKD393" s="119"/>
      <c r="CKE393" s="104"/>
      <c r="CKF393" s="455"/>
      <c r="CKG393" s="104"/>
      <c r="CKH393" s="104"/>
      <c r="CKI393" s="109"/>
      <c r="CKJ393" s="104"/>
      <c r="CKK393" s="104"/>
      <c r="CKL393" s="119"/>
      <c r="CKM393" s="104"/>
      <c r="CKN393" s="455"/>
      <c r="CKO393" s="104"/>
      <c r="CKP393" s="104"/>
      <c r="CKQ393" s="109"/>
      <c r="CKR393" s="104"/>
      <c r="CKS393" s="104"/>
      <c r="CKT393" s="119"/>
      <c r="CKU393" s="104"/>
      <c r="CKV393" s="455"/>
      <c r="CKW393" s="104"/>
      <c r="CKX393" s="104"/>
      <c r="CKY393" s="109"/>
      <c r="CKZ393" s="104"/>
      <c r="CLA393" s="104"/>
      <c r="CLB393" s="119"/>
      <c r="CLC393" s="104"/>
      <c r="CLD393" s="455"/>
      <c r="CLE393" s="104"/>
      <c r="CLF393" s="104"/>
      <c r="CLG393" s="109"/>
      <c r="CLH393" s="104"/>
      <c r="CLI393" s="104"/>
      <c r="CLJ393" s="119"/>
      <c r="CLK393" s="104"/>
      <c r="CLL393" s="455"/>
      <c r="CLM393" s="104"/>
      <c r="CLN393" s="104"/>
      <c r="CLO393" s="109"/>
      <c r="CLP393" s="104"/>
      <c r="CLQ393" s="104"/>
      <c r="CLR393" s="119"/>
      <c r="CLS393" s="104"/>
      <c r="CLT393" s="455"/>
      <c r="CLU393" s="104"/>
      <c r="CLV393" s="104"/>
      <c r="CLW393" s="109"/>
      <c r="CLX393" s="104"/>
      <c r="CLY393" s="104"/>
      <c r="CLZ393" s="119"/>
      <c r="CMA393" s="104"/>
      <c r="CMB393" s="455"/>
      <c r="CMC393" s="104"/>
      <c r="CMD393" s="104"/>
      <c r="CME393" s="109"/>
      <c r="CMF393" s="104"/>
      <c r="CMG393" s="104"/>
      <c r="CMH393" s="119"/>
      <c r="CMI393" s="104"/>
      <c r="CMJ393" s="455"/>
      <c r="CMK393" s="104"/>
      <c r="CML393" s="104"/>
      <c r="CMM393" s="109"/>
      <c r="CMN393" s="104"/>
      <c r="CMO393" s="104"/>
      <c r="CMP393" s="119"/>
      <c r="CMQ393" s="104"/>
      <c r="CMR393" s="455"/>
      <c r="CMS393" s="104"/>
      <c r="CMT393" s="104"/>
      <c r="CMU393" s="109"/>
      <c r="CMV393" s="104"/>
      <c r="CMW393" s="104"/>
      <c r="CMX393" s="119"/>
      <c r="CMY393" s="104"/>
      <c r="CMZ393" s="455"/>
      <c r="CNA393" s="104"/>
      <c r="CNB393" s="104"/>
      <c r="CNC393" s="109"/>
      <c r="CND393" s="104"/>
      <c r="CNE393" s="104"/>
      <c r="CNF393" s="119"/>
      <c r="CNG393" s="104"/>
      <c r="CNH393" s="455"/>
      <c r="CNI393" s="104"/>
      <c r="CNJ393" s="104"/>
      <c r="CNK393" s="109"/>
      <c r="CNL393" s="104"/>
      <c r="CNM393" s="104"/>
      <c r="CNN393" s="119"/>
      <c r="CNO393" s="104"/>
      <c r="CNP393" s="455"/>
      <c r="CNQ393" s="104"/>
      <c r="CNR393" s="104"/>
      <c r="CNS393" s="109"/>
      <c r="CNT393" s="104"/>
      <c r="CNU393" s="104"/>
      <c r="CNV393" s="119"/>
      <c r="CNW393" s="104"/>
      <c r="CNX393" s="455"/>
      <c r="CNY393" s="104"/>
      <c r="CNZ393" s="104"/>
      <c r="COA393" s="109"/>
      <c r="COB393" s="104"/>
      <c r="COC393" s="104"/>
      <c r="COD393" s="119"/>
      <c r="COE393" s="104"/>
      <c r="COF393" s="455"/>
      <c r="COG393" s="104"/>
      <c r="COH393" s="104"/>
      <c r="COI393" s="109"/>
      <c r="COJ393" s="104"/>
      <c r="COK393" s="104"/>
      <c r="COL393" s="119"/>
      <c r="COM393" s="104"/>
      <c r="CON393" s="455"/>
      <c r="COO393" s="104"/>
      <c r="COP393" s="104"/>
      <c r="COQ393" s="109"/>
      <c r="COR393" s="104"/>
      <c r="COS393" s="104"/>
      <c r="COT393" s="119"/>
      <c r="COU393" s="104"/>
      <c r="COV393" s="455"/>
      <c r="COW393" s="104"/>
      <c r="COX393" s="104"/>
      <c r="COY393" s="109"/>
      <c r="COZ393" s="104"/>
      <c r="CPA393" s="104"/>
      <c r="CPB393" s="119"/>
      <c r="CPC393" s="104"/>
      <c r="CPD393" s="455"/>
      <c r="CPE393" s="104"/>
      <c r="CPF393" s="104"/>
      <c r="CPG393" s="109"/>
      <c r="CPH393" s="104"/>
      <c r="CPI393" s="104"/>
      <c r="CPJ393" s="119"/>
      <c r="CPK393" s="104"/>
      <c r="CPL393" s="455"/>
      <c r="CPM393" s="104"/>
      <c r="CPN393" s="104"/>
      <c r="CPO393" s="109"/>
      <c r="CPP393" s="104"/>
      <c r="CPQ393" s="104"/>
      <c r="CPR393" s="119"/>
      <c r="CPS393" s="104"/>
      <c r="CPT393" s="455"/>
      <c r="CPU393" s="104"/>
      <c r="CPV393" s="104"/>
      <c r="CPW393" s="109"/>
      <c r="CPX393" s="104"/>
      <c r="CPY393" s="104"/>
      <c r="CPZ393" s="119"/>
      <c r="CQA393" s="104"/>
      <c r="CQB393" s="455"/>
      <c r="CQC393" s="104"/>
      <c r="CQD393" s="104"/>
      <c r="CQE393" s="109"/>
      <c r="CQF393" s="104"/>
      <c r="CQG393" s="104"/>
      <c r="CQH393" s="119"/>
      <c r="CQI393" s="104"/>
      <c r="CQJ393" s="455"/>
      <c r="CQK393" s="104"/>
      <c r="CQL393" s="104"/>
      <c r="CQM393" s="109"/>
      <c r="CQN393" s="104"/>
      <c r="CQO393" s="104"/>
      <c r="CQP393" s="119"/>
      <c r="CQQ393" s="104"/>
      <c r="CQR393" s="455"/>
      <c r="CQS393" s="104"/>
      <c r="CQT393" s="104"/>
      <c r="CQU393" s="109"/>
      <c r="CQV393" s="104"/>
      <c r="CQW393" s="104"/>
      <c r="CQX393" s="119"/>
      <c r="CQY393" s="104"/>
      <c r="CQZ393" s="455"/>
      <c r="CRA393" s="104"/>
      <c r="CRB393" s="104"/>
      <c r="CRC393" s="109"/>
      <c r="CRD393" s="104"/>
      <c r="CRE393" s="104"/>
      <c r="CRF393" s="119"/>
      <c r="CRG393" s="104"/>
      <c r="CRH393" s="455"/>
      <c r="CRI393" s="104"/>
      <c r="CRJ393" s="104"/>
      <c r="CRK393" s="109"/>
      <c r="CRL393" s="104"/>
      <c r="CRM393" s="104"/>
      <c r="CRN393" s="119"/>
      <c r="CRO393" s="104"/>
      <c r="CRP393" s="455"/>
      <c r="CRQ393" s="104"/>
      <c r="CRR393" s="104"/>
      <c r="CRS393" s="109"/>
      <c r="CRT393" s="104"/>
      <c r="CRU393" s="104"/>
      <c r="CRV393" s="119"/>
      <c r="CRW393" s="104"/>
      <c r="CRX393" s="455"/>
      <c r="CRY393" s="104"/>
      <c r="CRZ393" s="104"/>
      <c r="CSA393" s="109"/>
      <c r="CSB393" s="104"/>
      <c r="CSC393" s="104"/>
      <c r="CSD393" s="119"/>
      <c r="CSE393" s="104"/>
      <c r="CSF393" s="455"/>
      <c r="CSG393" s="104"/>
      <c r="CSH393" s="104"/>
      <c r="CSI393" s="109"/>
      <c r="CSJ393" s="104"/>
      <c r="CSK393" s="104"/>
      <c r="CSL393" s="119"/>
      <c r="CSM393" s="104"/>
      <c r="CSN393" s="455"/>
      <c r="CSO393" s="104"/>
      <c r="CSP393" s="104"/>
      <c r="CSQ393" s="109"/>
      <c r="CSR393" s="104"/>
      <c r="CSS393" s="104"/>
      <c r="CST393" s="119"/>
      <c r="CSU393" s="104"/>
      <c r="CSV393" s="455"/>
      <c r="CSW393" s="104"/>
      <c r="CSX393" s="104"/>
      <c r="CSY393" s="109"/>
      <c r="CSZ393" s="104"/>
      <c r="CTA393" s="104"/>
      <c r="CTB393" s="119"/>
      <c r="CTC393" s="104"/>
      <c r="CTD393" s="455"/>
      <c r="CTE393" s="104"/>
      <c r="CTF393" s="104"/>
      <c r="CTG393" s="109"/>
      <c r="CTH393" s="104"/>
      <c r="CTI393" s="104"/>
      <c r="CTJ393" s="119"/>
      <c r="CTK393" s="104"/>
      <c r="CTL393" s="455"/>
      <c r="CTM393" s="104"/>
      <c r="CTN393" s="104"/>
      <c r="CTO393" s="109"/>
      <c r="CTP393" s="104"/>
      <c r="CTQ393" s="104"/>
      <c r="CTR393" s="119"/>
      <c r="CTS393" s="104"/>
      <c r="CTT393" s="455"/>
      <c r="CTU393" s="104"/>
      <c r="CTV393" s="104"/>
      <c r="CTW393" s="109"/>
      <c r="CTX393" s="104"/>
      <c r="CTY393" s="104"/>
      <c r="CTZ393" s="119"/>
      <c r="CUA393" s="104"/>
      <c r="CUB393" s="455"/>
      <c r="CUC393" s="104"/>
      <c r="CUD393" s="104"/>
      <c r="CUE393" s="109"/>
      <c r="CUF393" s="104"/>
      <c r="CUG393" s="104"/>
      <c r="CUH393" s="119"/>
      <c r="CUI393" s="104"/>
      <c r="CUJ393" s="455"/>
      <c r="CUK393" s="104"/>
      <c r="CUL393" s="104"/>
      <c r="CUM393" s="109"/>
      <c r="CUN393" s="104"/>
      <c r="CUO393" s="104"/>
      <c r="CUP393" s="119"/>
      <c r="CUQ393" s="104"/>
      <c r="CUR393" s="455"/>
      <c r="CUS393" s="104"/>
      <c r="CUT393" s="104"/>
      <c r="CUU393" s="109"/>
      <c r="CUV393" s="104"/>
      <c r="CUW393" s="104"/>
      <c r="CUX393" s="119"/>
      <c r="CUY393" s="104"/>
      <c r="CUZ393" s="455"/>
      <c r="CVA393" s="104"/>
      <c r="CVB393" s="104"/>
      <c r="CVC393" s="109"/>
      <c r="CVD393" s="104"/>
      <c r="CVE393" s="104"/>
      <c r="CVF393" s="119"/>
      <c r="CVG393" s="104"/>
      <c r="CVH393" s="455"/>
      <c r="CVI393" s="104"/>
      <c r="CVJ393" s="104"/>
      <c r="CVK393" s="109"/>
      <c r="CVL393" s="104"/>
      <c r="CVM393" s="104"/>
      <c r="CVN393" s="119"/>
      <c r="CVO393" s="104"/>
      <c r="CVP393" s="455"/>
      <c r="CVQ393" s="104"/>
      <c r="CVR393" s="104"/>
      <c r="CVS393" s="109"/>
      <c r="CVT393" s="104"/>
      <c r="CVU393" s="104"/>
      <c r="CVV393" s="119"/>
      <c r="CVW393" s="104"/>
      <c r="CVX393" s="455"/>
      <c r="CVY393" s="104"/>
      <c r="CVZ393" s="104"/>
      <c r="CWA393" s="109"/>
      <c r="CWB393" s="104"/>
      <c r="CWC393" s="104"/>
      <c r="CWD393" s="119"/>
      <c r="CWE393" s="104"/>
      <c r="CWF393" s="455"/>
      <c r="CWG393" s="104"/>
      <c r="CWH393" s="104"/>
      <c r="CWI393" s="109"/>
      <c r="CWJ393" s="104"/>
      <c r="CWK393" s="104"/>
      <c r="CWL393" s="119"/>
      <c r="CWM393" s="104"/>
      <c r="CWN393" s="455"/>
      <c r="CWO393" s="104"/>
      <c r="CWP393" s="104"/>
      <c r="CWQ393" s="109"/>
      <c r="CWR393" s="104"/>
      <c r="CWS393" s="104"/>
      <c r="CWT393" s="119"/>
      <c r="CWU393" s="104"/>
      <c r="CWV393" s="455"/>
      <c r="CWW393" s="104"/>
      <c r="CWX393" s="104"/>
      <c r="CWY393" s="109"/>
      <c r="CWZ393" s="104"/>
      <c r="CXA393" s="104"/>
      <c r="CXB393" s="119"/>
      <c r="CXC393" s="104"/>
      <c r="CXD393" s="455"/>
      <c r="CXE393" s="104"/>
      <c r="CXF393" s="104"/>
      <c r="CXG393" s="109"/>
      <c r="CXH393" s="104"/>
      <c r="CXI393" s="104"/>
      <c r="CXJ393" s="119"/>
      <c r="CXK393" s="104"/>
      <c r="CXL393" s="455"/>
      <c r="CXM393" s="104"/>
      <c r="CXN393" s="104"/>
      <c r="CXO393" s="109"/>
      <c r="CXP393" s="104"/>
      <c r="CXQ393" s="104"/>
      <c r="CXR393" s="119"/>
      <c r="CXS393" s="104"/>
      <c r="CXT393" s="455"/>
      <c r="CXU393" s="104"/>
      <c r="CXV393" s="104"/>
      <c r="CXW393" s="109"/>
      <c r="CXX393" s="104"/>
      <c r="CXY393" s="104"/>
      <c r="CXZ393" s="119"/>
      <c r="CYA393" s="104"/>
      <c r="CYB393" s="455"/>
      <c r="CYC393" s="104"/>
      <c r="CYD393" s="104"/>
      <c r="CYE393" s="109"/>
      <c r="CYF393" s="104"/>
      <c r="CYG393" s="104"/>
      <c r="CYH393" s="119"/>
      <c r="CYI393" s="104"/>
      <c r="CYJ393" s="455"/>
      <c r="CYK393" s="104"/>
      <c r="CYL393" s="104"/>
      <c r="CYM393" s="109"/>
      <c r="CYN393" s="104"/>
      <c r="CYO393" s="104"/>
      <c r="CYP393" s="119"/>
      <c r="CYQ393" s="104"/>
      <c r="CYR393" s="455"/>
      <c r="CYS393" s="104"/>
      <c r="CYT393" s="104"/>
      <c r="CYU393" s="109"/>
      <c r="CYV393" s="104"/>
      <c r="CYW393" s="104"/>
      <c r="CYX393" s="119"/>
      <c r="CYY393" s="104"/>
      <c r="CYZ393" s="455"/>
      <c r="CZA393" s="104"/>
      <c r="CZB393" s="104"/>
      <c r="CZC393" s="109"/>
      <c r="CZD393" s="104"/>
      <c r="CZE393" s="104"/>
      <c r="CZF393" s="119"/>
      <c r="CZG393" s="104"/>
      <c r="CZH393" s="455"/>
      <c r="CZI393" s="104"/>
      <c r="CZJ393" s="104"/>
      <c r="CZK393" s="109"/>
      <c r="CZL393" s="104"/>
      <c r="CZM393" s="104"/>
      <c r="CZN393" s="119"/>
      <c r="CZO393" s="104"/>
      <c r="CZP393" s="455"/>
      <c r="CZQ393" s="104"/>
      <c r="CZR393" s="104"/>
      <c r="CZS393" s="109"/>
      <c r="CZT393" s="104"/>
      <c r="CZU393" s="104"/>
      <c r="CZV393" s="119"/>
      <c r="CZW393" s="104"/>
      <c r="CZX393" s="455"/>
      <c r="CZY393" s="104"/>
      <c r="CZZ393" s="104"/>
      <c r="DAA393" s="109"/>
      <c r="DAB393" s="104"/>
      <c r="DAC393" s="104"/>
      <c r="DAD393" s="119"/>
      <c r="DAE393" s="104"/>
      <c r="DAF393" s="455"/>
      <c r="DAG393" s="104"/>
      <c r="DAH393" s="104"/>
      <c r="DAI393" s="109"/>
      <c r="DAJ393" s="104"/>
      <c r="DAK393" s="104"/>
      <c r="DAL393" s="119"/>
      <c r="DAM393" s="104"/>
      <c r="DAN393" s="455"/>
      <c r="DAO393" s="104"/>
      <c r="DAP393" s="104"/>
      <c r="DAQ393" s="109"/>
      <c r="DAR393" s="104"/>
      <c r="DAS393" s="104"/>
      <c r="DAT393" s="119"/>
      <c r="DAU393" s="104"/>
      <c r="DAV393" s="455"/>
      <c r="DAW393" s="104"/>
      <c r="DAX393" s="104"/>
      <c r="DAY393" s="109"/>
      <c r="DAZ393" s="104"/>
      <c r="DBA393" s="104"/>
      <c r="DBB393" s="119"/>
      <c r="DBC393" s="104"/>
      <c r="DBD393" s="455"/>
      <c r="DBE393" s="104"/>
      <c r="DBF393" s="104"/>
      <c r="DBG393" s="109"/>
      <c r="DBH393" s="104"/>
      <c r="DBI393" s="104"/>
      <c r="DBJ393" s="119"/>
      <c r="DBK393" s="104"/>
      <c r="DBL393" s="455"/>
      <c r="DBM393" s="104"/>
      <c r="DBN393" s="104"/>
      <c r="DBO393" s="109"/>
      <c r="DBP393" s="104"/>
      <c r="DBQ393" s="104"/>
      <c r="DBR393" s="119"/>
      <c r="DBS393" s="104"/>
      <c r="DBT393" s="455"/>
      <c r="DBU393" s="104"/>
      <c r="DBV393" s="104"/>
      <c r="DBW393" s="109"/>
      <c r="DBX393" s="104"/>
      <c r="DBY393" s="104"/>
      <c r="DBZ393" s="119"/>
      <c r="DCA393" s="104"/>
      <c r="DCB393" s="455"/>
      <c r="DCC393" s="104"/>
      <c r="DCD393" s="104"/>
      <c r="DCE393" s="109"/>
      <c r="DCF393" s="104"/>
      <c r="DCG393" s="104"/>
      <c r="DCH393" s="119"/>
      <c r="DCI393" s="104"/>
      <c r="DCJ393" s="455"/>
      <c r="DCK393" s="104"/>
      <c r="DCL393" s="104"/>
      <c r="DCM393" s="109"/>
      <c r="DCN393" s="104"/>
      <c r="DCO393" s="104"/>
      <c r="DCP393" s="119"/>
      <c r="DCQ393" s="104"/>
      <c r="DCR393" s="455"/>
      <c r="DCS393" s="104"/>
      <c r="DCT393" s="104"/>
      <c r="DCU393" s="109"/>
      <c r="DCV393" s="104"/>
      <c r="DCW393" s="104"/>
      <c r="DCX393" s="119"/>
      <c r="DCY393" s="104"/>
      <c r="DCZ393" s="455"/>
      <c r="DDA393" s="104"/>
      <c r="DDB393" s="104"/>
      <c r="DDC393" s="109"/>
      <c r="DDD393" s="104"/>
      <c r="DDE393" s="104"/>
      <c r="DDF393" s="119"/>
      <c r="DDG393" s="104"/>
      <c r="DDH393" s="455"/>
      <c r="DDI393" s="104"/>
      <c r="DDJ393" s="104"/>
      <c r="DDK393" s="109"/>
      <c r="DDL393" s="104"/>
      <c r="DDM393" s="104"/>
      <c r="DDN393" s="119"/>
      <c r="DDO393" s="104"/>
      <c r="DDP393" s="455"/>
      <c r="DDQ393" s="104"/>
      <c r="DDR393" s="104"/>
      <c r="DDS393" s="109"/>
      <c r="DDT393" s="104"/>
      <c r="DDU393" s="104"/>
      <c r="DDV393" s="119"/>
      <c r="DDW393" s="104"/>
      <c r="DDX393" s="455"/>
      <c r="DDY393" s="104"/>
      <c r="DDZ393" s="104"/>
      <c r="DEA393" s="109"/>
      <c r="DEB393" s="104"/>
      <c r="DEC393" s="104"/>
      <c r="DED393" s="119"/>
      <c r="DEE393" s="104"/>
      <c r="DEF393" s="455"/>
      <c r="DEG393" s="104"/>
      <c r="DEH393" s="104"/>
      <c r="DEI393" s="109"/>
      <c r="DEJ393" s="104"/>
      <c r="DEK393" s="104"/>
      <c r="DEL393" s="119"/>
      <c r="DEM393" s="104"/>
      <c r="DEN393" s="455"/>
      <c r="DEO393" s="104"/>
      <c r="DEP393" s="104"/>
      <c r="DEQ393" s="109"/>
      <c r="DER393" s="104"/>
      <c r="DES393" s="104"/>
      <c r="DET393" s="119"/>
      <c r="DEU393" s="104"/>
      <c r="DEV393" s="455"/>
      <c r="DEW393" s="104"/>
      <c r="DEX393" s="104"/>
      <c r="DEY393" s="109"/>
      <c r="DEZ393" s="104"/>
      <c r="DFA393" s="104"/>
      <c r="DFB393" s="119"/>
      <c r="DFC393" s="104"/>
      <c r="DFD393" s="455"/>
      <c r="DFE393" s="104"/>
      <c r="DFF393" s="104"/>
      <c r="DFG393" s="109"/>
      <c r="DFH393" s="104"/>
      <c r="DFI393" s="104"/>
      <c r="DFJ393" s="119"/>
      <c r="DFK393" s="104"/>
      <c r="DFL393" s="455"/>
      <c r="DFM393" s="104"/>
      <c r="DFN393" s="104"/>
      <c r="DFO393" s="109"/>
      <c r="DFP393" s="104"/>
      <c r="DFQ393" s="104"/>
      <c r="DFR393" s="119"/>
      <c r="DFS393" s="104"/>
      <c r="DFT393" s="455"/>
      <c r="DFU393" s="104"/>
      <c r="DFV393" s="104"/>
      <c r="DFW393" s="109"/>
      <c r="DFX393" s="104"/>
      <c r="DFY393" s="104"/>
      <c r="DFZ393" s="119"/>
      <c r="DGA393" s="104"/>
      <c r="DGB393" s="455"/>
      <c r="DGC393" s="104"/>
      <c r="DGD393" s="104"/>
      <c r="DGE393" s="109"/>
      <c r="DGF393" s="104"/>
      <c r="DGG393" s="104"/>
      <c r="DGH393" s="119"/>
      <c r="DGI393" s="104"/>
      <c r="DGJ393" s="455"/>
      <c r="DGK393" s="104"/>
      <c r="DGL393" s="104"/>
      <c r="DGM393" s="109"/>
      <c r="DGN393" s="104"/>
      <c r="DGO393" s="104"/>
      <c r="DGP393" s="119"/>
      <c r="DGQ393" s="104"/>
      <c r="DGR393" s="455"/>
      <c r="DGS393" s="104"/>
      <c r="DGT393" s="104"/>
      <c r="DGU393" s="109"/>
      <c r="DGV393" s="104"/>
      <c r="DGW393" s="104"/>
      <c r="DGX393" s="119"/>
      <c r="DGY393" s="104"/>
      <c r="DGZ393" s="455"/>
      <c r="DHA393" s="104"/>
      <c r="DHB393" s="104"/>
      <c r="DHC393" s="109"/>
      <c r="DHD393" s="104"/>
      <c r="DHE393" s="104"/>
      <c r="DHF393" s="119"/>
      <c r="DHG393" s="104"/>
      <c r="DHH393" s="455"/>
      <c r="DHI393" s="104"/>
      <c r="DHJ393" s="104"/>
      <c r="DHK393" s="109"/>
      <c r="DHL393" s="104"/>
      <c r="DHM393" s="104"/>
      <c r="DHN393" s="119"/>
      <c r="DHO393" s="104"/>
      <c r="DHP393" s="455"/>
      <c r="DHQ393" s="104"/>
      <c r="DHR393" s="104"/>
      <c r="DHS393" s="109"/>
      <c r="DHT393" s="104"/>
      <c r="DHU393" s="104"/>
      <c r="DHV393" s="119"/>
      <c r="DHW393" s="104"/>
      <c r="DHX393" s="455"/>
      <c r="DHY393" s="104"/>
      <c r="DHZ393" s="104"/>
      <c r="DIA393" s="109"/>
      <c r="DIB393" s="104"/>
      <c r="DIC393" s="104"/>
      <c r="DID393" s="119"/>
      <c r="DIE393" s="104"/>
      <c r="DIF393" s="455"/>
      <c r="DIG393" s="104"/>
      <c r="DIH393" s="104"/>
      <c r="DII393" s="109"/>
      <c r="DIJ393" s="104"/>
      <c r="DIK393" s="104"/>
      <c r="DIL393" s="119"/>
      <c r="DIM393" s="104"/>
      <c r="DIN393" s="455"/>
      <c r="DIO393" s="104"/>
      <c r="DIP393" s="104"/>
      <c r="DIQ393" s="109"/>
      <c r="DIR393" s="104"/>
      <c r="DIS393" s="104"/>
      <c r="DIT393" s="119"/>
      <c r="DIU393" s="104"/>
      <c r="DIV393" s="455"/>
      <c r="DIW393" s="104"/>
      <c r="DIX393" s="104"/>
      <c r="DIY393" s="109"/>
      <c r="DIZ393" s="104"/>
      <c r="DJA393" s="104"/>
      <c r="DJB393" s="119"/>
      <c r="DJC393" s="104"/>
      <c r="DJD393" s="455"/>
      <c r="DJE393" s="104"/>
      <c r="DJF393" s="104"/>
      <c r="DJG393" s="109"/>
      <c r="DJH393" s="104"/>
      <c r="DJI393" s="104"/>
      <c r="DJJ393" s="119"/>
      <c r="DJK393" s="104"/>
      <c r="DJL393" s="455"/>
      <c r="DJM393" s="104"/>
      <c r="DJN393" s="104"/>
      <c r="DJO393" s="109"/>
      <c r="DJP393" s="104"/>
      <c r="DJQ393" s="104"/>
      <c r="DJR393" s="119"/>
      <c r="DJS393" s="104"/>
      <c r="DJT393" s="455"/>
      <c r="DJU393" s="104"/>
      <c r="DJV393" s="104"/>
      <c r="DJW393" s="109"/>
      <c r="DJX393" s="104"/>
      <c r="DJY393" s="104"/>
      <c r="DJZ393" s="119"/>
      <c r="DKA393" s="104"/>
      <c r="DKB393" s="455"/>
      <c r="DKC393" s="104"/>
      <c r="DKD393" s="104"/>
      <c r="DKE393" s="109"/>
      <c r="DKF393" s="104"/>
      <c r="DKG393" s="104"/>
      <c r="DKH393" s="119"/>
      <c r="DKI393" s="104"/>
      <c r="DKJ393" s="455"/>
      <c r="DKK393" s="104"/>
      <c r="DKL393" s="104"/>
      <c r="DKM393" s="109"/>
      <c r="DKN393" s="104"/>
      <c r="DKO393" s="104"/>
      <c r="DKP393" s="119"/>
      <c r="DKQ393" s="104"/>
      <c r="DKR393" s="455"/>
      <c r="DKS393" s="104"/>
      <c r="DKT393" s="104"/>
      <c r="DKU393" s="109"/>
      <c r="DKV393" s="104"/>
      <c r="DKW393" s="104"/>
      <c r="DKX393" s="119"/>
      <c r="DKY393" s="104"/>
      <c r="DKZ393" s="455"/>
      <c r="DLA393" s="104"/>
      <c r="DLB393" s="104"/>
      <c r="DLC393" s="109"/>
      <c r="DLD393" s="104"/>
      <c r="DLE393" s="104"/>
      <c r="DLF393" s="119"/>
      <c r="DLG393" s="104"/>
      <c r="DLH393" s="455"/>
      <c r="DLI393" s="104"/>
      <c r="DLJ393" s="104"/>
      <c r="DLK393" s="109"/>
      <c r="DLL393" s="104"/>
      <c r="DLM393" s="104"/>
      <c r="DLN393" s="119"/>
      <c r="DLO393" s="104"/>
      <c r="DLP393" s="455"/>
      <c r="DLQ393" s="104"/>
      <c r="DLR393" s="104"/>
      <c r="DLS393" s="109"/>
      <c r="DLT393" s="104"/>
      <c r="DLU393" s="104"/>
      <c r="DLV393" s="119"/>
      <c r="DLW393" s="104"/>
      <c r="DLX393" s="455"/>
      <c r="DLY393" s="104"/>
      <c r="DLZ393" s="104"/>
      <c r="DMA393" s="109"/>
      <c r="DMB393" s="104"/>
      <c r="DMC393" s="104"/>
      <c r="DMD393" s="119"/>
      <c r="DME393" s="104"/>
      <c r="DMF393" s="455"/>
      <c r="DMG393" s="104"/>
      <c r="DMH393" s="104"/>
      <c r="DMI393" s="109"/>
      <c r="DMJ393" s="104"/>
      <c r="DMK393" s="104"/>
      <c r="DML393" s="119"/>
      <c r="DMM393" s="104"/>
      <c r="DMN393" s="455"/>
      <c r="DMO393" s="104"/>
      <c r="DMP393" s="104"/>
      <c r="DMQ393" s="109"/>
      <c r="DMR393" s="104"/>
      <c r="DMS393" s="104"/>
      <c r="DMT393" s="119"/>
      <c r="DMU393" s="104"/>
      <c r="DMV393" s="455"/>
      <c r="DMW393" s="104"/>
      <c r="DMX393" s="104"/>
      <c r="DMY393" s="109"/>
      <c r="DMZ393" s="104"/>
      <c r="DNA393" s="104"/>
      <c r="DNB393" s="119"/>
      <c r="DNC393" s="104"/>
      <c r="DND393" s="455"/>
      <c r="DNE393" s="104"/>
      <c r="DNF393" s="104"/>
      <c r="DNG393" s="109"/>
      <c r="DNH393" s="104"/>
      <c r="DNI393" s="104"/>
      <c r="DNJ393" s="119"/>
      <c r="DNK393" s="104"/>
      <c r="DNL393" s="455"/>
      <c r="DNM393" s="104"/>
      <c r="DNN393" s="104"/>
      <c r="DNO393" s="109"/>
      <c r="DNP393" s="104"/>
      <c r="DNQ393" s="104"/>
      <c r="DNR393" s="119"/>
      <c r="DNS393" s="104"/>
      <c r="DNT393" s="455"/>
      <c r="DNU393" s="104"/>
      <c r="DNV393" s="104"/>
      <c r="DNW393" s="109"/>
      <c r="DNX393" s="104"/>
      <c r="DNY393" s="104"/>
      <c r="DNZ393" s="119"/>
      <c r="DOA393" s="104"/>
      <c r="DOB393" s="455"/>
      <c r="DOC393" s="104"/>
      <c r="DOD393" s="104"/>
      <c r="DOE393" s="109"/>
      <c r="DOF393" s="104"/>
      <c r="DOG393" s="104"/>
      <c r="DOH393" s="119"/>
      <c r="DOI393" s="104"/>
      <c r="DOJ393" s="455"/>
      <c r="DOK393" s="104"/>
      <c r="DOL393" s="104"/>
      <c r="DOM393" s="109"/>
      <c r="DON393" s="104"/>
      <c r="DOO393" s="104"/>
      <c r="DOP393" s="119"/>
      <c r="DOQ393" s="104"/>
      <c r="DOR393" s="455"/>
      <c r="DOS393" s="104"/>
      <c r="DOT393" s="104"/>
      <c r="DOU393" s="109"/>
      <c r="DOV393" s="104"/>
      <c r="DOW393" s="104"/>
      <c r="DOX393" s="119"/>
      <c r="DOY393" s="104"/>
      <c r="DOZ393" s="455"/>
      <c r="DPA393" s="104"/>
      <c r="DPB393" s="104"/>
      <c r="DPC393" s="109"/>
      <c r="DPD393" s="104"/>
      <c r="DPE393" s="104"/>
      <c r="DPF393" s="119"/>
      <c r="DPG393" s="104"/>
      <c r="DPH393" s="455"/>
      <c r="DPI393" s="104"/>
      <c r="DPJ393" s="104"/>
      <c r="DPK393" s="109"/>
      <c r="DPL393" s="104"/>
      <c r="DPM393" s="104"/>
      <c r="DPN393" s="119"/>
      <c r="DPO393" s="104"/>
      <c r="DPP393" s="455"/>
      <c r="DPQ393" s="104"/>
      <c r="DPR393" s="104"/>
      <c r="DPS393" s="109"/>
      <c r="DPT393" s="104"/>
      <c r="DPU393" s="104"/>
      <c r="DPV393" s="119"/>
      <c r="DPW393" s="104"/>
      <c r="DPX393" s="455"/>
      <c r="DPY393" s="104"/>
      <c r="DPZ393" s="104"/>
      <c r="DQA393" s="109"/>
      <c r="DQB393" s="104"/>
      <c r="DQC393" s="104"/>
      <c r="DQD393" s="119"/>
      <c r="DQE393" s="104"/>
      <c r="DQF393" s="455"/>
      <c r="DQG393" s="104"/>
      <c r="DQH393" s="104"/>
      <c r="DQI393" s="109"/>
      <c r="DQJ393" s="104"/>
      <c r="DQK393" s="104"/>
      <c r="DQL393" s="119"/>
      <c r="DQM393" s="104"/>
      <c r="DQN393" s="455"/>
      <c r="DQO393" s="104"/>
      <c r="DQP393" s="104"/>
      <c r="DQQ393" s="109"/>
      <c r="DQR393" s="104"/>
      <c r="DQS393" s="104"/>
      <c r="DQT393" s="119"/>
      <c r="DQU393" s="104"/>
      <c r="DQV393" s="455"/>
      <c r="DQW393" s="104"/>
      <c r="DQX393" s="104"/>
      <c r="DQY393" s="109"/>
      <c r="DQZ393" s="104"/>
      <c r="DRA393" s="104"/>
      <c r="DRB393" s="119"/>
      <c r="DRC393" s="104"/>
      <c r="DRD393" s="455"/>
      <c r="DRE393" s="104"/>
      <c r="DRF393" s="104"/>
      <c r="DRG393" s="109"/>
      <c r="DRH393" s="104"/>
      <c r="DRI393" s="104"/>
      <c r="DRJ393" s="119"/>
      <c r="DRK393" s="104"/>
      <c r="DRL393" s="455"/>
      <c r="DRM393" s="104"/>
      <c r="DRN393" s="104"/>
      <c r="DRO393" s="109"/>
      <c r="DRP393" s="104"/>
      <c r="DRQ393" s="104"/>
      <c r="DRR393" s="119"/>
      <c r="DRS393" s="104"/>
      <c r="DRT393" s="455"/>
      <c r="DRU393" s="104"/>
      <c r="DRV393" s="104"/>
      <c r="DRW393" s="109"/>
      <c r="DRX393" s="104"/>
      <c r="DRY393" s="104"/>
      <c r="DRZ393" s="119"/>
      <c r="DSA393" s="104"/>
      <c r="DSB393" s="455"/>
      <c r="DSC393" s="104"/>
      <c r="DSD393" s="104"/>
      <c r="DSE393" s="109"/>
      <c r="DSF393" s="104"/>
      <c r="DSG393" s="104"/>
      <c r="DSH393" s="119"/>
      <c r="DSI393" s="104"/>
      <c r="DSJ393" s="455"/>
      <c r="DSK393" s="104"/>
      <c r="DSL393" s="104"/>
      <c r="DSM393" s="109"/>
      <c r="DSN393" s="104"/>
      <c r="DSO393" s="104"/>
      <c r="DSP393" s="119"/>
      <c r="DSQ393" s="104"/>
      <c r="DSR393" s="455"/>
      <c r="DSS393" s="104"/>
      <c r="DST393" s="104"/>
      <c r="DSU393" s="109"/>
      <c r="DSV393" s="104"/>
      <c r="DSW393" s="104"/>
      <c r="DSX393" s="119"/>
      <c r="DSY393" s="104"/>
      <c r="DSZ393" s="455"/>
      <c r="DTA393" s="104"/>
      <c r="DTB393" s="104"/>
      <c r="DTC393" s="109"/>
      <c r="DTD393" s="104"/>
      <c r="DTE393" s="104"/>
      <c r="DTF393" s="119"/>
      <c r="DTG393" s="104"/>
      <c r="DTH393" s="455"/>
      <c r="DTI393" s="104"/>
      <c r="DTJ393" s="104"/>
      <c r="DTK393" s="109"/>
      <c r="DTL393" s="104"/>
      <c r="DTM393" s="104"/>
      <c r="DTN393" s="119"/>
      <c r="DTO393" s="104"/>
      <c r="DTP393" s="455"/>
      <c r="DTQ393" s="104"/>
      <c r="DTR393" s="104"/>
      <c r="DTS393" s="109"/>
      <c r="DTT393" s="104"/>
      <c r="DTU393" s="104"/>
      <c r="DTV393" s="119"/>
      <c r="DTW393" s="104"/>
      <c r="DTX393" s="455"/>
      <c r="DTY393" s="104"/>
      <c r="DTZ393" s="104"/>
      <c r="DUA393" s="109"/>
      <c r="DUB393" s="104"/>
      <c r="DUC393" s="104"/>
      <c r="DUD393" s="119"/>
      <c r="DUE393" s="104"/>
      <c r="DUF393" s="455"/>
      <c r="DUG393" s="104"/>
      <c r="DUH393" s="104"/>
      <c r="DUI393" s="109"/>
      <c r="DUJ393" s="104"/>
      <c r="DUK393" s="104"/>
      <c r="DUL393" s="119"/>
      <c r="DUM393" s="104"/>
      <c r="DUN393" s="455"/>
      <c r="DUO393" s="104"/>
      <c r="DUP393" s="104"/>
      <c r="DUQ393" s="109"/>
      <c r="DUR393" s="104"/>
      <c r="DUS393" s="104"/>
      <c r="DUT393" s="119"/>
      <c r="DUU393" s="104"/>
      <c r="DUV393" s="455"/>
      <c r="DUW393" s="104"/>
      <c r="DUX393" s="104"/>
      <c r="DUY393" s="109"/>
      <c r="DUZ393" s="104"/>
      <c r="DVA393" s="104"/>
      <c r="DVB393" s="119"/>
      <c r="DVC393" s="104"/>
      <c r="DVD393" s="455"/>
      <c r="DVE393" s="104"/>
      <c r="DVF393" s="104"/>
      <c r="DVG393" s="109"/>
      <c r="DVH393" s="104"/>
      <c r="DVI393" s="104"/>
      <c r="DVJ393" s="119"/>
      <c r="DVK393" s="104"/>
      <c r="DVL393" s="455"/>
      <c r="DVM393" s="104"/>
      <c r="DVN393" s="104"/>
      <c r="DVO393" s="109"/>
      <c r="DVP393" s="104"/>
      <c r="DVQ393" s="104"/>
      <c r="DVR393" s="119"/>
      <c r="DVS393" s="104"/>
      <c r="DVT393" s="455"/>
      <c r="DVU393" s="104"/>
      <c r="DVV393" s="104"/>
      <c r="DVW393" s="109"/>
      <c r="DVX393" s="104"/>
      <c r="DVY393" s="104"/>
      <c r="DVZ393" s="119"/>
      <c r="DWA393" s="104"/>
      <c r="DWB393" s="455"/>
      <c r="DWC393" s="104"/>
      <c r="DWD393" s="104"/>
      <c r="DWE393" s="109"/>
      <c r="DWF393" s="104"/>
      <c r="DWG393" s="104"/>
      <c r="DWH393" s="119"/>
      <c r="DWI393" s="104"/>
      <c r="DWJ393" s="455"/>
      <c r="DWK393" s="104"/>
      <c r="DWL393" s="104"/>
      <c r="DWM393" s="109"/>
      <c r="DWN393" s="104"/>
      <c r="DWO393" s="104"/>
      <c r="DWP393" s="119"/>
      <c r="DWQ393" s="104"/>
      <c r="DWR393" s="455"/>
      <c r="DWS393" s="104"/>
      <c r="DWT393" s="104"/>
      <c r="DWU393" s="109"/>
      <c r="DWV393" s="104"/>
      <c r="DWW393" s="104"/>
      <c r="DWX393" s="119"/>
      <c r="DWY393" s="104"/>
      <c r="DWZ393" s="455"/>
      <c r="DXA393" s="104"/>
      <c r="DXB393" s="104"/>
      <c r="DXC393" s="109"/>
      <c r="DXD393" s="104"/>
      <c r="DXE393" s="104"/>
      <c r="DXF393" s="119"/>
      <c r="DXG393" s="104"/>
      <c r="DXH393" s="455"/>
      <c r="DXI393" s="104"/>
      <c r="DXJ393" s="104"/>
      <c r="DXK393" s="109"/>
      <c r="DXL393" s="104"/>
      <c r="DXM393" s="104"/>
      <c r="DXN393" s="119"/>
      <c r="DXO393" s="104"/>
      <c r="DXP393" s="455"/>
      <c r="DXQ393" s="104"/>
      <c r="DXR393" s="104"/>
      <c r="DXS393" s="109"/>
      <c r="DXT393" s="104"/>
      <c r="DXU393" s="104"/>
      <c r="DXV393" s="119"/>
      <c r="DXW393" s="104"/>
      <c r="DXX393" s="455"/>
      <c r="DXY393" s="104"/>
      <c r="DXZ393" s="104"/>
      <c r="DYA393" s="109"/>
      <c r="DYB393" s="104"/>
      <c r="DYC393" s="104"/>
      <c r="DYD393" s="119"/>
      <c r="DYE393" s="104"/>
      <c r="DYF393" s="455"/>
      <c r="DYG393" s="104"/>
      <c r="DYH393" s="104"/>
      <c r="DYI393" s="109"/>
      <c r="DYJ393" s="104"/>
      <c r="DYK393" s="104"/>
      <c r="DYL393" s="119"/>
      <c r="DYM393" s="104"/>
      <c r="DYN393" s="455"/>
      <c r="DYO393" s="104"/>
      <c r="DYP393" s="104"/>
      <c r="DYQ393" s="109"/>
      <c r="DYR393" s="104"/>
      <c r="DYS393" s="104"/>
      <c r="DYT393" s="119"/>
      <c r="DYU393" s="104"/>
      <c r="DYV393" s="455"/>
      <c r="DYW393" s="104"/>
      <c r="DYX393" s="104"/>
      <c r="DYY393" s="109"/>
      <c r="DYZ393" s="104"/>
      <c r="DZA393" s="104"/>
      <c r="DZB393" s="119"/>
      <c r="DZC393" s="104"/>
      <c r="DZD393" s="455"/>
      <c r="DZE393" s="104"/>
      <c r="DZF393" s="104"/>
      <c r="DZG393" s="109"/>
      <c r="DZH393" s="104"/>
      <c r="DZI393" s="104"/>
      <c r="DZJ393" s="119"/>
      <c r="DZK393" s="104"/>
      <c r="DZL393" s="455"/>
      <c r="DZM393" s="104"/>
      <c r="DZN393" s="104"/>
      <c r="DZO393" s="109"/>
      <c r="DZP393" s="104"/>
      <c r="DZQ393" s="104"/>
      <c r="DZR393" s="119"/>
      <c r="DZS393" s="104"/>
      <c r="DZT393" s="455"/>
      <c r="DZU393" s="104"/>
      <c r="DZV393" s="104"/>
      <c r="DZW393" s="109"/>
      <c r="DZX393" s="104"/>
      <c r="DZY393" s="104"/>
      <c r="DZZ393" s="119"/>
      <c r="EAA393" s="104"/>
      <c r="EAB393" s="455"/>
      <c r="EAC393" s="104"/>
      <c r="EAD393" s="104"/>
      <c r="EAE393" s="109"/>
      <c r="EAF393" s="104"/>
      <c r="EAG393" s="104"/>
      <c r="EAH393" s="119"/>
      <c r="EAI393" s="104"/>
      <c r="EAJ393" s="455"/>
      <c r="EAK393" s="104"/>
      <c r="EAL393" s="104"/>
      <c r="EAM393" s="109"/>
      <c r="EAN393" s="104"/>
      <c r="EAO393" s="104"/>
      <c r="EAP393" s="119"/>
      <c r="EAQ393" s="104"/>
      <c r="EAR393" s="455"/>
      <c r="EAS393" s="104"/>
      <c r="EAT393" s="104"/>
      <c r="EAU393" s="109"/>
      <c r="EAV393" s="104"/>
      <c r="EAW393" s="104"/>
      <c r="EAX393" s="119"/>
      <c r="EAY393" s="104"/>
      <c r="EAZ393" s="455"/>
      <c r="EBA393" s="104"/>
      <c r="EBB393" s="104"/>
      <c r="EBC393" s="109"/>
      <c r="EBD393" s="104"/>
      <c r="EBE393" s="104"/>
      <c r="EBF393" s="119"/>
      <c r="EBG393" s="104"/>
      <c r="EBH393" s="455"/>
      <c r="EBI393" s="104"/>
      <c r="EBJ393" s="104"/>
      <c r="EBK393" s="109"/>
      <c r="EBL393" s="104"/>
      <c r="EBM393" s="104"/>
      <c r="EBN393" s="119"/>
      <c r="EBO393" s="104"/>
      <c r="EBP393" s="455"/>
      <c r="EBQ393" s="104"/>
      <c r="EBR393" s="104"/>
      <c r="EBS393" s="109"/>
      <c r="EBT393" s="104"/>
      <c r="EBU393" s="104"/>
      <c r="EBV393" s="119"/>
      <c r="EBW393" s="104"/>
      <c r="EBX393" s="455"/>
      <c r="EBY393" s="104"/>
      <c r="EBZ393" s="104"/>
      <c r="ECA393" s="109"/>
      <c r="ECB393" s="104"/>
      <c r="ECC393" s="104"/>
      <c r="ECD393" s="119"/>
      <c r="ECE393" s="104"/>
      <c r="ECF393" s="455"/>
      <c r="ECG393" s="104"/>
      <c r="ECH393" s="104"/>
      <c r="ECI393" s="109"/>
      <c r="ECJ393" s="104"/>
      <c r="ECK393" s="104"/>
      <c r="ECL393" s="119"/>
      <c r="ECM393" s="104"/>
      <c r="ECN393" s="455"/>
      <c r="ECO393" s="104"/>
      <c r="ECP393" s="104"/>
      <c r="ECQ393" s="109"/>
      <c r="ECR393" s="104"/>
      <c r="ECS393" s="104"/>
      <c r="ECT393" s="119"/>
      <c r="ECU393" s="104"/>
      <c r="ECV393" s="455"/>
      <c r="ECW393" s="104"/>
      <c r="ECX393" s="104"/>
      <c r="ECY393" s="109"/>
      <c r="ECZ393" s="104"/>
      <c r="EDA393" s="104"/>
      <c r="EDB393" s="119"/>
      <c r="EDC393" s="104"/>
      <c r="EDD393" s="455"/>
      <c r="EDE393" s="104"/>
      <c r="EDF393" s="104"/>
      <c r="EDG393" s="109"/>
      <c r="EDH393" s="104"/>
      <c r="EDI393" s="104"/>
      <c r="EDJ393" s="119"/>
      <c r="EDK393" s="104"/>
      <c r="EDL393" s="455"/>
      <c r="EDM393" s="104"/>
      <c r="EDN393" s="104"/>
      <c r="EDO393" s="109"/>
      <c r="EDP393" s="104"/>
      <c r="EDQ393" s="104"/>
      <c r="EDR393" s="119"/>
      <c r="EDS393" s="104"/>
      <c r="EDT393" s="455"/>
      <c r="EDU393" s="104"/>
      <c r="EDV393" s="104"/>
      <c r="EDW393" s="109"/>
      <c r="EDX393" s="104"/>
      <c r="EDY393" s="104"/>
      <c r="EDZ393" s="119"/>
      <c r="EEA393" s="104"/>
      <c r="EEB393" s="455"/>
      <c r="EEC393" s="104"/>
      <c r="EED393" s="104"/>
      <c r="EEE393" s="109"/>
      <c r="EEF393" s="104"/>
      <c r="EEG393" s="104"/>
      <c r="EEH393" s="119"/>
      <c r="EEI393" s="104"/>
      <c r="EEJ393" s="455"/>
      <c r="EEK393" s="104"/>
      <c r="EEL393" s="104"/>
      <c r="EEM393" s="109"/>
      <c r="EEN393" s="104"/>
      <c r="EEO393" s="104"/>
      <c r="EEP393" s="119"/>
      <c r="EEQ393" s="104"/>
      <c r="EER393" s="455"/>
      <c r="EES393" s="104"/>
      <c r="EET393" s="104"/>
      <c r="EEU393" s="109"/>
      <c r="EEV393" s="104"/>
      <c r="EEW393" s="104"/>
      <c r="EEX393" s="119"/>
      <c r="EEY393" s="104"/>
      <c r="EEZ393" s="455"/>
      <c r="EFA393" s="104"/>
      <c r="EFB393" s="104"/>
      <c r="EFC393" s="109"/>
      <c r="EFD393" s="104"/>
      <c r="EFE393" s="104"/>
      <c r="EFF393" s="119"/>
      <c r="EFG393" s="104"/>
      <c r="EFH393" s="455"/>
      <c r="EFI393" s="104"/>
      <c r="EFJ393" s="104"/>
      <c r="EFK393" s="109"/>
      <c r="EFL393" s="104"/>
      <c r="EFM393" s="104"/>
      <c r="EFN393" s="119"/>
      <c r="EFO393" s="104"/>
      <c r="EFP393" s="455"/>
      <c r="EFQ393" s="104"/>
      <c r="EFR393" s="104"/>
      <c r="EFS393" s="109"/>
      <c r="EFT393" s="104"/>
      <c r="EFU393" s="104"/>
      <c r="EFV393" s="119"/>
      <c r="EFW393" s="104"/>
      <c r="EFX393" s="455"/>
      <c r="EFY393" s="104"/>
      <c r="EFZ393" s="104"/>
      <c r="EGA393" s="109"/>
      <c r="EGB393" s="104"/>
      <c r="EGC393" s="104"/>
      <c r="EGD393" s="119"/>
      <c r="EGE393" s="104"/>
      <c r="EGF393" s="455"/>
      <c r="EGG393" s="104"/>
      <c r="EGH393" s="104"/>
      <c r="EGI393" s="109"/>
      <c r="EGJ393" s="104"/>
      <c r="EGK393" s="104"/>
      <c r="EGL393" s="119"/>
      <c r="EGM393" s="104"/>
      <c r="EGN393" s="455"/>
      <c r="EGO393" s="104"/>
      <c r="EGP393" s="104"/>
      <c r="EGQ393" s="109"/>
      <c r="EGR393" s="104"/>
      <c r="EGS393" s="104"/>
      <c r="EGT393" s="119"/>
      <c r="EGU393" s="104"/>
      <c r="EGV393" s="455"/>
      <c r="EGW393" s="104"/>
      <c r="EGX393" s="104"/>
      <c r="EGY393" s="109"/>
      <c r="EGZ393" s="104"/>
      <c r="EHA393" s="104"/>
      <c r="EHB393" s="119"/>
      <c r="EHC393" s="104"/>
      <c r="EHD393" s="455"/>
      <c r="EHE393" s="104"/>
      <c r="EHF393" s="104"/>
      <c r="EHG393" s="109"/>
      <c r="EHH393" s="104"/>
      <c r="EHI393" s="104"/>
      <c r="EHJ393" s="119"/>
      <c r="EHK393" s="104"/>
      <c r="EHL393" s="455"/>
      <c r="EHM393" s="104"/>
      <c r="EHN393" s="104"/>
      <c r="EHO393" s="109"/>
      <c r="EHP393" s="104"/>
      <c r="EHQ393" s="104"/>
      <c r="EHR393" s="119"/>
      <c r="EHS393" s="104"/>
      <c r="EHT393" s="455"/>
      <c r="EHU393" s="104"/>
      <c r="EHV393" s="104"/>
      <c r="EHW393" s="109"/>
      <c r="EHX393" s="104"/>
      <c r="EHY393" s="104"/>
      <c r="EHZ393" s="119"/>
      <c r="EIA393" s="104"/>
      <c r="EIB393" s="455"/>
      <c r="EIC393" s="104"/>
      <c r="EID393" s="104"/>
      <c r="EIE393" s="109"/>
      <c r="EIF393" s="104"/>
      <c r="EIG393" s="104"/>
      <c r="EIH393" s="119"/>
      <c r="EII393" s="104"/>
      <c r="EIJ393" s="455"/>
      <c r="EIK393" s="104"/>
      <c r="EIL393" s="104"/>
      <c r="EIM393" s="109"/>
      <c r="EIN393" s="104"/>
      <c r="EIO393" s="104"/>
      <c r="EIP393" s="119"/>
      <c r="EIQ393" s="104"/>
      <c r="EIR393" s="455"/>
      <c r="EIS393" s="104"/>
      <c r="EIT393" s="104"/>
      <c r="EIU393" s="109"/>
      <c r="EIV393" s="104"/>
      <c r="EIW393" s="104"/>
      <c r="EIX393" s="119"/>
      <c r="EIY393" s="104"/>
      <c r="EIZ393" s="455"/>
      <c r="EJA393" s="104"/>
      <c r="EJB393" s="104"/>
      <c r="EJC393" s="109"/>
      <c r="EJD393" s="104"/>
      <c r="EJE393" s="104"/>
      <c r="EJF393" s="119"/>
      <c r="EJG393" s="104"/>
      <c r="EJH393" s="455"/>
      <c r="EJI393" s="104"/>
      <c r="EJJ393" s="104"/>
      <c r="EJK393" s="109"/>
      <c r="EJL393" s="104"/>
      <c r="EJM393" s="104"/>
      <c r="EJN393" s="119"/>
      <c r="EJO393" s="104"/>
      <c r="EJP393" s="455"/>
      <c r="EJQ393" s="104"/>
      <c r="EJR393" s="104"/>
      <c r="EJS393" s="109"/>
      <c r="EJT393" s="104"/>
      <c r="EJU393" s="104"/>
      <c r="EJV393" s="119"/>
      <c r="EJW393" s="104"/>
      <c r="EJX393" s="455"/>
      <c r="EJY393" s="104"/>
      <c r="EJZ393" s="104"/>
      <c r="EKA393" s="109"/>
      <c r="EKB393" s="104"/>
      <c r="EKC393" s="104"/>
      <c r="EKD393" s="119"/>
      <c r="EKE393" s="104"/>
      <c r="EKF393" s="455"/>
      <c r="EKG393" s="104"/>
      <c r="EKH393" s="104"/>
      <c r="EKI393" s="109"/>
      <c r="EKJ393" s="104"/>
      <c r="EKK393" s="104"/>
      <c r="EKL393" s="119"/>
      <c r="EKM393" s="104"/>
      <c r="EKN393" s="455"/>
      <c r="EKO393" s="104"/>
      <c r="EKP393" s="104"/>
      <c r="EKQ393" s="109"/>
      <c r="EKR393" s="104"/>
      <c r="EKS393" s="104"/>
      <c r="EKT393" s="119"/>
      <c r="EKU393" s="104"/>
      <c r="EKV393" s="455"/>
      <c r="EKW393" s="104"/>
      <c r="EKX393" s="104"/>
      <c r="EKY393" s="109"/>
      <c r="EKZ393" s="104"/>
      <c r="ELA393" s="104"/>
      <c r="ELB393" s="119"/>
      <c r="ELC393" s="104"/>
      <c r="ELD393" s="455"/>
      <c r="ELE393" s="104"/>
      <c r="ELF393" s="104"/>
      <c r="ELG393" s="109"/>
      <c r="ELH393" s="104"/>
      <c r="ELI393" s="104"/>
      <c r="ELJ393" s="119"/>
      <c r="ELK393" s="104"/>
      <c r="ELL393" s="455"/>
      <c r="ELM393" s="104"/>
      <c r="ELN393" s="104"/>
      <c r="ELO393" s="109"/>
      <c r="ELP393" s="104"/>
      <c r="ELQ393" s="104"/>
      <c r="ELR393" s="119"/>
      <c r="ELS393" s="104"/>
      <c r="ELT393" s="455"/>
      <c r="ELU393" s="104"/>
      <c r="ELV393" s="104"/>
      <c r="ELW393" s="109"/>
      <c r="ELX393" s="104"/>
      <c r="ELY393" s="104"/>
      <c r="ELZ393" s="119"/>
      <c r="EMA393" s="104"/>
      <c r="EMB393" s="455"/>
      <c r="EMC393" s="104"/>
      <c r="EMD393" s="104"/>
      <c r="EME393" s="109"/>
      <c r="EMF393" s="104"/>
      <c r="EMG393" s="104"/>
      <c r="EMH393" s="119"/>
      <c r="EMI393" s="104"/>
      <c r="EMJ393" s="455"/>
      <c r="EMK393" s="104"/>
      <c r="EML393" s="104"/>
      <c r="EMM393" s="109"/>
      <c r="EMN393" s="104"/>
      <c r="EMO393" s="104"/>
      <c r="EMP393" s="119"/>
      <c r="EMQ393" s="104"/>
      <c r="EMR393" s="455"/>
      <c r="EMS393" s="104"/>
      <c r="EMT393" s="104"/>
      <c r="EMU393" s="109"/>
      <c r="EMV393" s="104"/>
      <c r="EMW393" s="104"/>
      <c r="EMX393" s="119"/>
      <c r="EMY393" s="104"/>
      <c r="EMZ393" s="455"/>
      <c r="ENA393" s="104"/>
      <c r="ENB393" s="104"/>
      <c r="ENC393" s="109"/>
      <c r="END393" s="104"/>
      <c r="ENE393" s="104"/>
      <c r="ENF393" s="119"/>
      <c r="ENG393" s="104"/>
      <c r="ENH393" s="455"/>
      <c r="ENI393" s="104"/>
      <c r="ENJ393" s="104"/>
      <c r="ENK393" s="109"/>
      <c r="ENL393" s="104"/>
      <c r="ENM393" s="104"/>
      <c r="ENN393" s="119"/>
      <c r="ENO393" s="104"/>
      <c r="ENP393" s="455"/>
      <c r="ENQ393" s="104"/>
      <c r="ENR393" s="104"/>
      <c r="ENS393" s="109"/>
      <c r="ENT393" s="104"/>
      <c r="ENU393" s="104"/>
      <c r="ENV393" s="119"/>
      <c r="ENW393" s="104"/>
      <c r="ENX393" s="455"/>
      <c r="ENY393" s="104"/>
      <c r="ENZ393" s="104"/>
      <c r="EOA393" s="109"/>
      <c r="EOB393" s="104"/>
      <c r="EOC393" s="104"/>
      <c r="EOD393" s="119"/>
      <c r="EOE393" s="104"/>
      <c r="EOF393" s="455"/>
      <c r="EOG393" s="104"/>
      <c r="EOH393" s="104"/>
      <c r="EOI393" s="109"/>
      <c r="EOJ393" s="104"/>
      <c r="EOK393" s="104"/>
      <c r="EOL393" s="119"/>
      <c r="EOM393" s="104"/>
      <c r="EON393" s="455"/>
      <c r="EOO393" s="104"/>
      <c r="EOP393" s="104"/>
      <c r="EOQ393" s="109"/>
      <c r="EOR393" s="104"/>
      <c r="EOS393" s="104"/>
      <c r="EOT393" s="119"/>
      <c r="EOU393" s="104"/>
      <c r="EOV393" s="455"/>
      <c r="EOW393" s="104"/>
      <c r="EOX393" s="104"/>
      <c r="EOY393" s="109"/>
      <c r="EOZ393" s="104"/>
      <c r="EPA393" s="104"/>
      <c r="EPB393" s="119"/>
      <c r="EPC393" s="104"/>
      <c r="EPD393" s="455"/>
      <c r="EPE393" s="104"/>
      <c r="EPF393" s="104"/>
      <c r="EPG393" s="109"/>
      <c r="EPH393" s="104"/>
      <c r="EPI393" s="104"/>
      <c r="EPJ393" s="119"/>
      <c r="EPK393" s="104"/>
      <c r="EPL393" s="455"/>
      <c r="EPM393" s="104"/>
      <c r="EPN393" s="104"/>
      <c r="EPO393" s="109"/>
      <c r="EPP393" s="104"/>
      <c r="EPQ393" s="104"/>
      <c r="EPR393" s="119"/>
      <c r="EPS393" s="104"/>
      <c r="EPT393" s="455"/>
      <c r="EPU393" s="104"/>
      <c r="EPV393" s="104"/>
      <c r="EPW393" s="109"/>
      <c r="EPX393" s="104"/>
      <c r="EPY393" s="104"/>
      <c r="EPZ393" s="119"/>
      <c r="EQA393" s="104"/>
      <c r="EQB393" s="455"/>
      <c r="EQC393" s="104"/>
      <c r="EQD393" s="104"/>
      <c r="EQE393" s="109"/>
      <c r="EQF393" s="104"/>
      <c r="EQG393" s="104"/>
      <c r="EQH393" s="119"/>
      <c r="EQI393" s="104"/>
      <c r="EQJ393" s="455"/>
      <c r="EQK393" s="104"/>
      <c r="EQL393" s="104"/>
      <c r="EQM393" s="109"/>
      <c r="EQN393" s="104"/>
      <c r="EQO393" s="104"/>
      <c r="EQP393" s="119"/>
      <c r="EQQ393" s="104"/>
      <c r="EQR393" s="455"/>
      <c r="EQS393" s="104"/>
      <c r="EQT393" s="104"/>
      <c r="EQU393" s="109"/>
      <c r="EQV393" s="104"/>
      <c r="EQW393" s="104"/>
      <c r="EQX393" s="119"/>
      <c r="EQY393" s="104"/>
      <c r="EQZ393" s="455"/>
      <c r="ERA393" s="104"/>
      <c r="ERB393" s="104"/>
      <c r="ERC393" s="109"/>
      <c r="ERD393" s="104"/>
      <c r="ERE393" s="104"/>
      <c r="ERF393" s="119"/>
      <c r="ERG393" s="104"/>
      <c r="ERH393" s="455"/>
      <c r="ERI393" s="104"/>
      <c r="ERJ393" s="104"/>
      <c r="ERK393" s="109"/>
      <c r="ERL393" s="104"/>
      <c r="ERM393" s="104"/>
      <c r="ERN393" s="119"/>
      <c r="ERO393" s="104"/>
      <c r="ERP393" s="455"/>
      <c r="ERQ393" s="104"/>
      <c r="ERR393" s="104"/>
      <c r="ERS393" s="109"/>
      <c r="ERT393" s="104"/>
      <c r="ERU393" s="104"/>
      <c r="ERV393" s="119"/>
      <c r="ERW393" s="104"/>
      <c r="ERX393" s="455"/>
      <c r="ERY393" s="104"/>
      <c r="ERZ393" s="104"/>
      <c r="ESA393" s="109"/>
      <c r="ESB393" s="104"/>
      <c r="ESC393" s="104"/>
      <c r="ESD393" s="119"/>
      <c r="ESE393" s="104"/>
      <c r="ESF393" s="455"/>
      <c r="ESG393" s="104"/>
      <c r="ESH393" s="104"/>
      <c r="ESI393" s="109"/>
      <c r="ESJ393" s="104"/>
      <c r="ESK393" s="104"/>
      <c r="ESL393" s="119"/>
      <c r="ESM393" s="104"/>
      <c r="ESN393" s="455"/>
      <c r="ESO393" s="104"/>
      <c r="ESP393" s="104"/>
      <c r="ESQ393" s="109"/>
      <c r="ESR393" s="104"/>
      <c r="ESS393" s="104"/>
      <c r="EST393" s="119"/>
      <c r="ESU393" s="104"/>
      <c r="ESV393" s="455"/>
      <c r="ESW393" s="104"/>
      <c r="ESX393" s="104"/>
      <c r="ESY393" s="109"/>
      <c r="ESZ393" s="104"/>
      <c r="ETA393" s="104"/>
      <c r="ETB393" s="119"/>
      <c r="ETC393" s="104"/>
      <c r="ETD393" s="455"/>
      <c r="ETE393" s="104"/>
      <c r="ETF393" s="104"/>
      <c r="ETG393" s="109"/>
      <c r="ETH393" s="104"/>
      <c r="ETI393" s="104"/>
      <c r="ETJ393" s="119"/>
      <c r="ETK393" s="104"/>
      <c r="ETL393" s="455"/>
      <c r="ETM393" s="104"/>
      <c r="ETN393" s="104"/>
      <c r="ETO393" s="109"/>
      <c r="ETP393" s="104"/>
      <c r="ETQ393" s="104"/>
      <c r="ETR393" s="119"/>
      <c r="ETS393" s="104"/>
      <c r="ETT393" s="455"/>
      <c r="ETU393" s="104"/>
      <c r="ETV393" s="104"/>
      <c r="ETW393" s="109"/>
      <c r="ETX393" s="104"/>
      <c r="ETY393" s="104"/>
      <c r="ETZ393" s="119"/>
      <c r="EUA393" s="104"/>
      <c r="EUB393" s="455"/>
      <c r="EUC393" s="104"/>
      <c r="EUD393" s="104"/>
      <c r="EUE393" s="109"/>
      <c r="EUF393" s="104"/>
      <c r="EUG393" s="104"/>
      <c r="EUH393" s="119"/>
      <c r="EUI393" s="104"/>
      <c r="EUJ393" s="455"/>
      <c r="EUK393" s="104"/>
      <c r="EUL393" s="104"/>
      <c r="EUM393" s="109"/>
      <c r="EUN393" s="104"/>
      <c r="EUO393" s="104"/>
      <c r="EUP393" s="119"/>
      <c r="EUQ393" s="104"/>
      <c r="EUR393" s="455"/>
      <c r="EUS393" s="104"/>
      <c r="EUT393" s="104"/>
      <c r="EUU393" s="109"/>
      <c r="EUV393" s="104"/>
      <c r="EUW393" s="104"/>
      <c r="EUX393" s="119"/>
      <c r="EUY393" s="104"/>
      <c r="EUZ393" s="455"/>
      <c r="EVA393" s="104"/>
      <c r="EVB393" s="104"/>
      <c r="EVC393" s="109"/>
      <c r="EVD393" s="104"/>
      <c r="EVE393" s="104"/>
      <c r="EVF393" s="119"/>
      <c r="EVG393" s="104"/>
      <c r="EVH393" s="455"/>
      <c r="EVI393" s="104"/>
      <c r="EVJ393" s="104"/>
      <c r="EVK393" s="109"/>
      <c r="EVL393" s="104"/>
      <c r="EVM393" s="104"/>
      <c r="EVN393" s="119"/>
      <c r="EVO393" s="104"/>
      <c r="EVP393" s="455"/>
      <c r="EVQ393" s="104"/>
      <c r="EVR393" s="104"/>
      <c r="EVS393" s="109"/>
      <c r="EVT393" s="104"/>
      <c r="EVU393" s="104"/>
      <c r="EVV393" s="119"/>
      <c r="EVW393" s="104"/>
      <c r="EVX393" s="455"/>
      <c r="EVY393" s="104"/>
      <c r="EVZ393" s="104"/>
      <c r="EWA393" s="109"/>
      <c r="EWB393" s="104"/>
      <c r="EWC393" s="104"/>
      <c r="EWD393" s="119"/>
      <c r="EWE393" s="104"/>
      <c r="EWF393" s="455"/>
      <c r="EWG393" s="104"/>
      <c r="EWH393" s="104"/>
      <c r="EWI393" s="109"/>
      <c r="EWJ393" s="104"/>
      <c r="EWK393" s="104"/>
      <c r="EWL393" s="119"/>
      <c r="EWM393" s="104"/>
      <c r="EWN393" s="455"/>
      <c r="EWO393" s="104"/>
      <c r="EWP393" s="104"/>
      <c r="EWQ393" s="109"/>
      <c r="EWR393" s="104"/>
      <c r="EWS393" s="104"/>
      <c r="EWT393" s="119"/>
      <c r="EWU393" s="104"/>
      <c r="EWV393" s="455"/>
      <c r="EWW393" s="104"/>
      <c r="EWX393" s="104"/>
      <c r="EWY393" s="109"/>
      <c r="EWZ393" s="104"/>
      <c r="EXA393" s="104"/>
      <c r="EXB393" s="119"/>
      <c r="EXC393" s="104"/>
      <c r="EXD393" s="455"/>
      <c r="EXE393" s="104"/>
      <c r="EXF393" s="104"/>
      <c r="EXG393" s="109"/>
      <c r="EXH393" s="104"/>
      <c r="EXI393" s="104"/>
      <c r="EXJ393" s="119"/>
      <c r="EXK393" s="104"/>
      <c r="EXL393" s="455"/>
      <c r="EXM393" s="104"/>
      <c r="EXN393" s="104"/>
      <c r="EXO393" s="109"/>
      <c r="EXP393" s="104"/>
      <c r="EXQ393" s="104"/>
      <c r="EXR393" s="119"/>
      <c r="EXS393" s="104"/>
      <c r="EXT393" s="455"/>
      <c r="EXU393" s="104"/>
      <c r="EXV393" s="104"/>
      <c r="EXW393" s="109"/>
      <c r="EXX393" s="104"/>
      <c r="EXY393" s="104"/>
      <c r="EXZ393" s="119"/>
      <c r="EYA393" s="104"/>
      <c r="EYB393" s="455"/>
      <c r="EYC393" s="104"/>
      <c r="EYD393" s="104"/>
      <c r="EYE393" s="109"/>
      <c r="EYF393" s="104"/>
      <c r="EYG393" s="104"/>
      <c r="EYH393" s="119"/>
      <c r="EYI393" s="104"/>
      <c r="EYJ393" s="455"/>
      <c r="EYK393" s="104"/>
      <c r="EYL393" s="104"/>
      <c r="EYM393" s="109"/>
      <c r="EYN393" s="104"/>
      <c r="EYO393" s="104"/>
      <c r="EYP393" s="119"/>
      <c r="EYQ393" s="104"/>
      <c r="EYR393" s="455"/>
      <c r="EYS393" s="104"/>
      <c r="EYT393" s="104"/>
      <c r="EYU393" s="109"/>
      <c r="EYV393" s="104"/>
      <c r="EYW393" s="104"/>
      <c r="EYX393" s="119"/>
      <c r="EYY393" s="104"/>
      <c r="EYZ393" s="455"/>
      <c r="EZA393" s="104"/>
      <c r="EZB393" s="104"/>
      <c r="EZC393" s="109"/>
      <c r="EZD393" s="104"/>
      <c r="EZE393" s="104"/>
      <c r="EZF393" s="119"/>
      <c r="EZG393" s="104"/>
      <c r="EZH393" s="455"/>
      <c r="EZI393" s="104"/>
      <c r="EZJ393" s="104"/>
      <c r="EZK393" s="109"/>
      <c r="EZL393" s="104"/>
      <c r="EZM393" s="104"/>
      <c r="EZN393" s="119"/>
      <c r="EZO393" s="104"/>
      <c r="EZP393" s="455"/>
      <c r="EZQ393" s="104"/>
      <c r="EZR393" s="104"/>
      <c r="EZS393" s="109"/>
      <c r="EZT393" s="104"/>
      <c r="EZU393" s="104"/>
      <c r="EZV393" s="119"/>
      <c r="EZW393" s="104"/>
      <c r="EZX393" s="455"/>
      <c r="EZY393" s="104"/>
      <c r="EZZ393" s="104"/>
      <c r="FAA393" s="109"/>
      <c r="FAB393" s="104"/>
      <c r="FAC393" s="104"/>
      <c r="FAD393" s="119"/>
      <c r="FAE393" s="104"/>
      <c r="FAF393" s="455"/>
      <c r="FAG393" s="104"/>
      <c r="FAH393" s="104"/>
      <c r="FAI393" s="109"/>
      <c r="FAJ393" s="104"/>
      <c r="FAK393" s="104"/>
      <c r="FAL393" s="119"/>
      <c r="FAM393" s="104"/>
      <c r="FAN393" s="455"/>
      <c r="FAO393" s="104"/>
      <c r="FAP393" s="104"/>
      <c r="FAQ393" s="109"/>
      <c r="FAR393" s="104"/>
      <c r="FAS393" s="104"/>
      <c r="FAT393" s="119"/>
      <c r="FAU393" s="104"/>
      <c r="FAV393" s="455"/>
      <c r="FAW393" s="104"/>
      <c r="FAX393" s="104"/>
      <c r="FAY393" s="109"/>
      <c r="FAZ393" s="104"/>
      <c r="FBA393" s="104"/>
      <c r="FBB393" s="119"/>
      <c r="FBC393" s="104"/>
      <c r="FBD393" s="455"/>
      <c r="FBE393" s="104"/>
      <c r="FBF393" s="104"/>
      <c r="FBG393" s="109"/>
      <c r="FBH393" s="104"/>
      <c r="FBI393" s="104"/>
      <c r="FBJ393" s="119"/>
      <c r="FBK393" s="104"/>
      <c r="FBL393" s="455"/>
      <c r="FBM393" s="104"/>
      <c r="FBN393" s="104"/>
      <c r="FBO393" s="109"/>
      <c r="FBP393" s="104"/>
      <c r="FBQ393" s="104"/>
      <c r="FBR393" s="119"/>
      <c r="FBS393" s="104"/>
      <c r="FBT393" s="455"/>
      <c r="FBU393" s="104"/>
      <c r="FBV393" s="104"/>
      <c r="FBW393" s="109"/>
      <c r="FBX393" s="104"/>
      <c r="FBY393" s="104"/>
      <c r="FBZ393" s="119"/>
      <c r="FCA393" s="104"/>
      <c r="FCB393" s="455"/>
      <c r="FCC393" s="104"/>
      <c r="FCD393" s="104"/>
      <c r="FCE393" s="109"/>
      <c r="FCF393" s="104"/>
      <c r="FCG393" s="104"/>
      <c r="FCH393" s="119"/>
      <c r="FCI393" s="104"/>
      <c r="FCJ393" s="455"/>
      <c r="FCK393" s="104"/>
      <c r="FCL393" s="104"/>
      <c r="FCM393" s="109"/>
      <c r="FCN393" s="104"/>
      <c r="FCO393" s="104"/>
      <c r="FCP393" s="119"/>
      <c r="FCQ393" s="104"/>
      <c r="FCR393" s="455"/>
      <c r="FCS393" s="104"/>
      <c r="FCT393" s="104"/>
      <c r="FCU393" s="109"/>
      <c r="FCV393" s="104"/>
      <c r="FCW393" s="104"/>
      <c r="FCX393" s="119"/>
      <c r="FCY393" s="104"/>
      <c r="FCZ393" s="455"/>
      <c r="FDA393" s="104"/>
      <c r="FDB393" s="104"/>
      <c r="FDC393" s="109"/>
      <c r="FDD393" s="104"/>
      <c r="FDE393" s="104"/>
      <c r="FDF393" s="119"/>
      <c r="FDG393" s="104"/>
      <c r="FDH393" s="455"/>
      <c r="FDI393" s="104"/>
      <c r="FDJ393" s="104"/>
      <c r="FDK393" s="109"/>
      <c r="FDL393" s="104"/>
      <c r="FDM393" s="104"/>
      <c r="FDN393" s="119"/>
      <c r="FDO393" s="104"/>
      <c r="FDP393" s="455"/>
      <c r="FDQ393" s="104"/>
      <c r="FDR393" s="104"/>
      <c r="FDS393" s="109"/>
      <c r="FDT393" s="104"/>
      <c r="FDU393" s="104"/>
      <c r="FDV393" s="119"/>
      <c r="FDW393" s="104"/>
      <c r="FDX393" s="455"/>
      <c r="FDY393" s="104"/>
      <c r="FDZ393" s="104"/>
      <c r="FEA393" s="109"/>
      <c r="FEB393" s="104"/>
      <c r="FEC393" s="104"/>
      <c r="FED393" s="119"/>
      <c r="FEE393" s="104"/>
      <c r="FEF393" s="455"/>
      <c r="FEG393" s="104"/>
      <c r="FEH393" s="104"/>
      <c r="FEI393" s="109"/>
      <c r="FEJ393" s="104"/>
      <c r="FEK393" s="104"/>
      <c r="FEL393" s="119"/>
      <c r="FEM393" s="104"/>
      <c r="FEN393" s="455"/>
      <c r="FEO393" s="104"/>
      <c r="FEP393" s="104"/>
      <c r="FEQ393" s="109"/>
      <c r="FER393" s="104"/>
      <c r="FES393" s="104"/>
      <c r="FET393" s="119"/>
      <c r="FEU393" s="104"/>
      <c r="FEV393" s="455"/>
      <c r="FEW393" s="104"/>
      <c r="FEX393" s="104"/>
      <c r="FEY393" s="109"/>
      <c r="FEZ393" s="104"/>
      <c r="FFA393" s="104"/>
      <c r="FFB393" s="119"/>
      <c r="FFC393" s="104"/>
      <c r="FFD393" s="455"/>
      <c r="FFE393" s="104"/>
      <c r="FFF393" s="104"/>
      <c r="FFG393" s="109"/>
      <c r="FFH393" s="104"/>
      <c r="FFI393" s="104"/>
      <c r="FFJ393" s="119"/>
      <c r="FFK393" s="104"/>
      <c r="FFL393" s="455"/>
      <c r="FFM393" s="104"/>
      <c r="FFN393" s="104"/>
      <c r="FFO393" s="109"/>
      <c r="FFP393" s="104"/>
      <c r="FFQ393" s="104"/>
      <c r="FFR393" s="119"/>
      <c r="FFS393" s="104"/>
      <c r="FFT393" s="455"/>
      <c r="FFU393" s="104"/>
      <c r="FFV393" s="104"/>
      <c r="FFW393" s="109"/>
      <c r="FFX393" s="104"/>
      <c r="FFY393" s="104"/>
      <c r="FFZ393" s="119"/>
      <c r="FGA393" s="104"/>
      <c r="FGB393" s="455"/>
      <c r="FGC393" s="104"/>
      <c r="FGD393" s="104"/>
      <c r="FGE393" s="109"/>
      <c r="FGF393" s="104"/>
      <c r="FGG393" s="104"/>
      <c r="FGH393" s="119"/>
      <c r="FGI393" s="104"/>
      <c r="FGJ393" s="455"/>
      <c r="FGK393" s="104"/>
      <c r="FGL393" s="104"/>
      <c r="FGM393" s="109"/>
      <c r="FGN393" s="104"/>
      <c r="FGO393" s="104"/>
      <c r="FGP393" s="119"/>
      <c r="FGQ393" s="104"/>
      <c r="FGR393" s="455"/>
      <c r="FGS393" s="104"/>
      <c r="FGT393" s="104"/>
      <c r="FGU393" s="109"/>
      <c r="FGV393" s="104"/>
      <c r="FGW393" s="104"/>
      <c r="FGX393" s="119"/>
      <c r="FGY393" s="104"/>
      <c r="FGZ393" s="455"/>
      <c r="FHA393" s="104"/>
      <c r="FHB393" s="104"/>
      <c r="FHC393" s="109"/>
      <c r="FHD393" s="104"/>
      <c r="FHE393" s="104"/>
      <c r="FHF393" s="119"/>
      <c r="FHG393" s="104"/>
      <c r="FHH393" s="455"/>
      <c r="FHI393" s="104"/>
      <c r="FHJ393" s="104"/>
      <c r="FHK393" s="109"/>
      <c r="FHL393" s="104"/>
      <c r="FHM393" s="104"/>
      <c r="FHN393" s="119"/>
      <c r="FHO393" s="104"/>
      <c r="FHP393" s="455"/>
      <c r="FHQ393" s="104"/>
      <c r="FHR393" s="104"/>
      <c r="FHS393" s="109"/>
      <c r="FHT393" s="104"/>
      <c r="FHU393" s="104"/>
      <c r="FHV393" s="119"/>
      <c r="FHW393" s="104"/>
      <c r="FHX393" s="455"/>
      <c r="FHY393" s="104"/>
      <c r="FHZ393" s="104"/>
      <c r="FIA393" s="109"/>
      <c r="FIB393" s="104"/>
      <c r="FIC393" s="104"/>
      <c r="FID393" s="119"/>
      <c r="FIE393" s="104"/>
      <c r="FIF393" s="455"/>
      <c r="FIG393" s="104"/>
      <c r="FIH393" s="104"/>
      <c r="FII393" s="109"/>
      <c r="FIJ393" s="104"/>
      <c r="FIK393" s="104"/>
      <c r="FIL393" s="119"/>
      <c r="FIM393" s="104"/>
      <c r="FIN393" s="455"/>
      <c r="FIO393" s="104"/>
      <c r="FIP393" s="104"/>
      <c r="FIQ393" s="109"/>
      <c r="FIR393" s="104"/>
      <c r="FIS393" s="104"/>
      <c r="FIT393" s="119"/>
      <c r="FIU393" s="104"/>
      <c r="FIV393" s="455"/>
      <c r="FIW393" s="104"/>
      <c r="FIX393" s="104"/>
      <c r="FIY393" s="109"/>
      <c r="FIZ393" s="104"/>
      <c r="FJA393" s="104"/>
      <c r="FJB393" s="119"/>
      <c r="FJC393" s="104"/>
      <c r="FJD393" s="455"/>
      <c r="FJE393" s="104"/>
      <c r="FJF393" s="104"/>
      <c r="FJG393" s="109"/>
      <c r="FJH393" s="104"/>
      <c r="FJI393" s="104"/>
      <c r="FJJ393" s="119"/>
      <c r="FJK393" s="104"/>
      <c r="FJL393" s="455"/>
      <c r="FJM393" s="104"/>
      <c r="FJN393" s="104"/>
      <c r="FJO393" s="109"/>
      <c r="FJP393" s="104"/>
      <c r="FJQ393" s="104"/>
      <c r="FJR393" s="119"/>
      <c r="FJS393" s="104"/>
      <c r="FJT393" s="455"/>
      <c r="FJU393" s="104"/>
      <c r="FJV393" s="104"/>
      <c r="FJW393" s="109"/>
      <c r="FJX393" s="104"/>
      <c r="FJY393" s="104"/>
      <c r="FJZ393" s="119"/>
      <c r="FKA393" s="104"/>
      <c r="FKB393" s="455"/>
      <c r="FKC393" s="104"/>
      <c r="FKD393" s="104"/>
      <c r="FKE393" s="109"/>
      <c r="FKF393" s="104"/>
      <c r="FKG393" s="104"/>
      <c r="FKH393" s="119"/>
      <c r="FKI393" s="104"/>
      <c r="FKJ393" s="455"/>
      <c r="FKK393" s="104"/>
      <c r="FKL393" s="104"/>
      <c r="FKM393" s="109"/>
      <c r="FKN393" s="104"/>
      <c r="FKO393" s="104"/>
      <c r="FKP393" s="119"/>
      <c r="FKQ393" s="104"/>
      <c r="FKR393" s="455"/>
      <c r="FKS393" s="104"/>
      <c r="FKT393" s="104"/>
      <c r="FKU393" s="109"/>
      <c r="FKV393" s="104"/>
      <c r="FKW393" s="104"/>
      <c r="FKX393" s="119"/>
      <c r="FKY393" s="104"/>
      <c r="FKZ393" s="455"/>
      <c r="FLA393" s="104"/>
      <c r="FLB393" s="104"/>
      <c r="FLC393" s="109"/>
      <c r="FLD393" s="104"/>
      <c r="FLE393" s="104"/>
      <c r="FLF393" s="119"/>
      <c r="FLG393" s="104"/>
      <c r="FLH393" s="455"/>
      <c r="FLI393" s="104"/>
      <c r="FLJ393" s="104"/>
      <c r="FLK393" s="109"/>
      <c r="FLL393" s="104"/>
      <c r="FLM393" s="104"/>
      <c r="FLN393" s="119"/>
      <c r="FLO393" s="104"/>
      <c r="FLP393" s="455"/>
      <c r="FLQ393" s="104"/>
      <c r="FLR393" s="104"/>
      <c r="FLS393" s="109"/>
      <c r="FLT393" s="104"/>
      <c r="FLU393" s="104"/>
      <c r="FLV393" s="119"/>
      <c r="FLW393" s="104"/>
      <c r="FLX393" s="455"/>
      <c r="FLY393" s="104"/>
      <c r="FLZ393" s="104"/>
      <c r="FMA393" s="109"/>
      <c r="FMB393" s="104"/>
      <c r="FMC393" s="104"/>
      <c r="FMD393" s="119"/>
      <c r="FME393" s="104"/>
      <c r="FMF393" s="455"/>
      <c r="FMG393" s="104"/>
      <c r="FMH393" s="104"/>
      <c r="FMI393" s="109"/>
      <c r="FMJ393" s="104"/>
      <c r="FMK393" s="104"/>
      <c r="FML393" s="119"/>
      <c r="FMM393" s="104"/>
      <c r="FMN393" s="455"/>
      <c r="FMO393" s="104"/>
      <c r="FMP393" s="104"/>
      <c r="FMQ393" s="109"/>
      <c r="FMR393" s="104"/>
      <c r="FMS393" s="104"/>
      <c r="FMT393" s="119"/>
      <c r="FMU393" s="104"/>
      <c r="FMV393" s="455"/>
      <c r="FMW393" s="104"/>
      <c r="FMX393" s="104"/>
      <c r="FMY393" s="109"/>
      <c r="FMZ393" s="104"/>
      <c r="FNA393" s="104"/>
      <c r="FNB393" s="119"/>
      <c r="FNC393" s="104"/>
      <c r="FND393" s="455"/>
      <c r="FNE393" s="104"/>
      <c r="FNF393" s="104"/>
      <c r="FNG393" s="109"/>
      <c r="FNH393" s="104"/>
      <c r="FNI393" s="104"/>
      <c r="FNJ393" s="119"/>
      <c r="FNK393" s="104"/>
      <c r="FNL393" s="455"/>
      <c r="FNM393" s="104"/>
      <c r="FNN393" s="104"/>
      <c r="FNO393" s="109"/>
      <c r="FNP393" s="104"/>
      <c r="FNQ393" s="104"/>
      <c r="FNR393" s="119"/>
      <c r="FNS393" s="104"/>
      <c r="FNT393" s="455"/>
      <c r="FNU393" s="104"/>
      <c r="FNV393" s="104"/>
      <c r="FNW393" s="109"/>
      <c r="FNX393" s="104"/>
      <c r="FNY393" s="104"/>
      <c r="FNZ393" s="119"/>
      <c r="FOA393" s="104"/>
      <c r="FOB393" s="455"/>
      <c r="FOC393" s="104"/>
      <c r="FOD393" s="104"/>
      <c r="FOE393" s="109"/>
      <c r="FOF393" s="104"/>
      <c r="FOG393" s="104"/>
      <c r="FOH393" s="119"/>
      <c r="FOI393" s="104"/>
      <c r="FOJ393" s="455"/>
      <c r="FOK393" s="104"/>
      <c r="FOL393" s="104"/>
      <c r="FOM393" s="109"/>
      <c r="FON393" s="104"/>
      <c r="FOO393" s="104"/>
      <c r="FOP393" s="119"/>
      <c r="FOQ393" s="104"/>
      <c r="FOR393" s="455"/>
      <c r="FOS393" s="104"/>
      <c r="FOT393" s="104"/>
      <c r="FOU393" s="109"/>
      <c r="FOV393" s="104"/>
      <c r="FOW393" s="104"/>
      <c r="FOX393" s="119"/>
      <c r="FOY393" s="104"/>
      <c r="FOZ393" s="455"/>
      <c r="FPA393" s="104"/>
      <c r="FPB393" s="104"/>
      <c r="FPC393" s="109"/>
      <c r="FPD393" s="104"/>
      <c r="FPE393" s="104"/>
      <c r="FPF393" s="119"/>
      <c r="FPG393" s="104"/>
      <c r="FPH393" s="455"/>
      <c r="FPI393" s="104"/>
      <c r="FPJ393" s="104"/>
      <c r="FPK393" s="109"/>
      <c r="FPL393" s="104"/>
      <c r="FPM393" s="104"/>
      <c r="FPN393" s="119"/>
      <c r="FPO393" s="104"/>
      <c r="FPP393" s="455"/>
      <c r="FPQ393" s="104"/>
      <c r="FPR393" s="104"/>
      <c r="FPS393" s="109"/>
      <c r="FPT393" s="104"/>
      <c r="FPU393" s="104"/>
      <c r="FPV393" s="119"/>
      <c r="FPW393" s="104"/>
      <c r="FPX393" s="455"/>
      <c r="FPY393" s="104"/>
      <c r="FPZ393" s="104"/>
      <c r="FQA393" s="109"/>
      <c r="FQB393" s="104"/>
      <c r="FQC393" s="104"/>
      <c r="FQD393" s="119"/>
      <c r="FQE393" s="104"/>
      <c r="FQF393" s="455"/>
      <c r="FQG393" s="104"/>
      <c r="FQH393" s="104"/>
      <c r="FQI393" s="109"/>
      <c r="FQJ393" s="104"/>
      <c r="FQK393" s="104"/>
      <c r="FQL393" s="119"/>
      <c r="FQM393" s="104"/>
      <c r="FQN393" s="455"/>
      <c r="FQO393" s="104"/>
      <c r="FQP393" s="104"/>
      <c r="FQQ393" s="109"/>
      <c r="FQR393" s="104"/>
      <c r="FQS393" s="104"/>
      <c r="FQT393" s="119"/>
      <c r="FQU393" s="104"/>
      <c r="FQV393" s="455"/>
      <c r="FQW393" s="104"/>
      <c r="FQX393" s="104"/>
      <c r="FQY393" s="109"/>
      <c r="FQZ393" s="104"/>
      <c r="FRA393" s="104"/>
      <c r="FRB393" s="119"/>
      <c r="FRC393" s="104"/>
      <c r="FRD393" s="455"/>
      <c r="FRE393" s="104"/>
      <c r="FRF393" s="104"/>
      <c r="FRG393" s="109"/>
      <c r="FRH393" s="104"/>
      <c r="FRI393" s="104"/>
      <c r="FRJ393" s="119"/>
      <c r="FRK393" s="104"/>
      <c r="FRL393" s="455"/>
      <c r="FRM393" s="104"/>
      <c r="FRN393" s="104"/>
      <c r="FRO393" s="109"/>
      <c r="FRP393" s="104"/>
      <c r="FRQ393" s="104"/>
      <c r="FRR393" s="119"/>
      <c r="FRS393" s="104"/>
      <c r="FRT393" s="455"/>
      <c r="FRU393" s="104"/>
      <c r="FRV393" s="104"/>
      <c r="FRW393" s="109"/>
      <c r="FRX393" s="104"/>
      <c r="FRY393" s="104"/>
      <c r="FRZ393" s="119"/>
      <c r="FSA393" s="104"/>
      <c r="FSB393" s="455"/>
      <c r="FSC393" s="104"/>
      <c r="FSD393" s="104"/>
      <c r="FSE393" s="109"/>
      <c r="FSF393" s="104"/>
      <c r="FSG393" s="104"/>
      <c r="FSH393" s="119"/>
      <c r="FSI393" s="104"/>
      <c r="FSJ393" s="455"/>
      <c r="FSK393" s="104"/>
      <c r="FSL393" s="104"/>
      <c r="FSM393" s="109"/>
      <c r="FSN393" s="104"/>
      <c r="FSO393" s="104"/>
      <c r="FSP393" s="119"/>
      <c r="FSQ393" s="104"/>
      <c r="FSR393" s="455"/>
      <c r="FSS393" s="104"/>
      <c r="FST393" s="104"/>
      <c r="FSU393" s="109"/>
      <c r="FSV393" s="104"/>
      <c r="FSW393" s="104"/>
      <c r="FSX393" s="119"/>
      <c r="FSY393" s="104"/>
      <c r="FSZ393" s="455"/>
      <c r="FTA393" s="104"/>
      <c r="FTB393" s="104"/>
      <c r="FTC393" s="109"/>
      <c r="FTD393" s="104"/>
      <c r="FTE393" s="104"/>
      <c r="FTF393" s="119"/>
      <c r="FTG393" s="104"/>
      <c r="FTH393" s="455"/>
      <c r="FTI393" s="104"/>
      <c r="FTJ393" s="104"/>
      <c r="FTK393" s="109"/>
      <c r="FTL393" s="104"/>
      <c r="FTM393" s="104"/>
      <c r="FTN393" s="119"/>
      <c r="FTO393" s="104"/>
      <c r="FTP393" s="455"/>
      <c r="FTQ393" s="104"/>
      <c r="FTR393" s="104"/>
      <c r="FTS393" s="109"/>
      <c r="FTT393" s="104"/>
      <c r="FTU393" s="104"/>
      <c r="FTV393" s="119"/>
      <c r="FTW393" s="104"/>
      <c r="FTX393" s="455"/>
      <c r="FTY393" s="104"/>
      <c r="FTZ393" s="104"/>
      <c r="FUA393" s="109"/>
      <c r="FUB393" s="104"/>
      <c r="FUC393" s="104"/>
      <c r="FUD393" s="119"/>
      <c r="FUE393" s="104"/>
      <c r="FUF393" s="455"/>
      <c r="FUG393" s="104"/>
      <c r="FUH393" s="104"/>
      <c r="FUI393" s="109"/>
      <c r="FUJ393" s="104"/>
      <c r="FUK393" s="104"/>
      <c r="FUL393" s="119"/>
      <c r="FUM393" s="104"/>
      <c r="FUN393" s="455"/>
      <c r="FUO393" s="104"/>
      <c r="FUP393" s="104"/>
      <c r="FUQ393" s="109"/>
      <c r="FUR393" s="104"/>
      <c r="FUS393" s="104"/>
      <c r="FUT393" s="119"/>
      <c r="FUU393" s="104"/>
      <c r="FUV393" s="455"/>
      <c r="FUW393" s="104"/>
      <c r="FUX393" s="104"/>
      <c r="FUY393" s="109"/>
      <c r="FUZ393" s="104"/>
      <c r="FVA393" s="104"/>
      <c r="FVB393" s="119"/>
      <c r="FVC393" s="104"/>
      <c r="FVD393" s="455"/>
      <c r="FVE393" s="104"/>
      <c r="FVF393" s="104"/>
      <c r="FVG393" s="109"/>
      <c r="FVH393" s="104"/>
      <c r="FVI393" s="104"/>
      <c r="FVJ393" s="119"/>
      <c r="FVK393" s="104"/>
      <c r="FVL393" s="455"/>
      <c r="FVM393" s="104"/>
      <c r="FVN393" s="104"/>
      <c r="FVO393" s="109"/>
      <c r="FVP393" s="104"/>
      <c r="FVQ393" s="104"/>
      <c r="FVR393" s="119"/>
      <c r="FVS393" s="104"/>
      <c r="FVT393" s="455"/>
      <c r="FVU393" s="104"/>
      <c r="FVV393" s="104"/>
      <c r="FVW393" s="109"/>
      <c r="FVX393" s="104"/>
      <c r="FVY393" s="104"/>
      <c r="FVZ393" s="119"/>
      <c r="FWA393" s="104"/>
      <c r="FWB393" s="455"/>
      <c r="FWC393" s="104"/>
      <c r="FWD393" s="104"/>
      <c r="FWE393" s="109"/>
      <c r="FWF393" s="104"/>
      <c r="FWG393" s="104"/>
      <c r="FWH393" s="119"/>
      <c r="FWI393" s="104"/>
      <c r="FWJ393" s="455"/>
      <c r="FWK393" s="104"/>
      <c r="FWL393" s="104"/>
      <c r="FWM393" s="109"/>
      <c r="FWN393" s="104"/>
      <c r="FWO393" s="104"/>
      <c r="FWP393" s="119"/>
      <c r="FWQ393" s="104"/>
      <c r="FWR393" s="455"/>
      <c r="FWS393" s="104"/>
      <c r="FWT393" s="104"/>
      <c r="FWU393" s="109"/>
      <c r="FWV393" s="104"/>
      <c r="FWW393" s="104"/>
      <c r="FWX393" s="119"/>
      <c r="FWY393" s="104"/>
      <c r="FWZ393" s="455"/>
      <c r="FXA393" s="104"/>
      <c r="FXB393" s="104"/>
      <c r="FXC393" s="109"/>
      <c r="FXD393" s="104"/>
      <c r="FXE393" s="104"/>
      <c r="FXF393" s="119"/>
      <c r="FXG393" s="104"/>
      <c r="FXH393" s="455"/>
      <c r="FXI393" s="104"/>
      <c r="FXJ393" s="104"/>
      <c r="FXK393" s="109"/>
      <c r="FXL393" s="104"/>
      <c r="FXM393" s="104"/>
      <c r="FXN393" s="119"/>
      <c r="FXO393" s="104"/>
      <c r="FXP393" s="455"/>
      <c r="FXQ393" s="104"/>
      <c r="FXR393" s="104"/>
      <c r="FXS393" s="109"/>
      <c r="FXT393" s="104"/>
      <c r="FXU393" s="104"/>
      <c r="FXV393" s="119"/>
      <c r="FXW393" s="104"/>
      <c r="FXX393" s="455"/>
      <c r="FXY393" s="104"/>
      <c r="FXZ393" s="104"/>
      <c r="FYA393" s="109"/>
      <c r="FYB393" s="104"/>
      <c r="FYC393" s="104"/>
      <c r="FYD393" s="119"/>
      <c r="FYE393" s="104"/>
      <c r="FYF393" s="455"/>
      <c r="FYG393" s="104"/>
      <c r="FYH393" s="104"/>
      <c r="FYI393" s="109"/>
      <c r="FYJ393" s="104"/>
      <c r="FYK393" s="104"/>
      <c r="FYL393" s="119"/>
      <c r="FYM393" s="104"/>
      <c r="FYN393" s="455"/>
      <c r="FYO393" s="104"/>
      <c r="FYP393" s="104"/>
      <c r="FYQ393" s="109"/>
      <c r="FYR393" s="104"/>
      <c r="FYS393" s="104"/>
      <c r="FYT393" s="119"/>
      <c r="FYU393" s="104"/>
      <c r="FYV393" s="455"/>
      <c r="FYW393" s="104"/>
      <c r="FYX393" s="104"/>
      <c r="FYY393" s="109"/>
      <c r="FYZ393" s="104"/>
      <c r="FZA393" s="104"/>
      <c r="FZB393" s="119"/>
      <c r="FZC393" s="104"/>
      <c r="FZD393" s="455"/>
      <c r="FZE393" s="104"/>
      <c r="FZF393" s="104"/>
      <c r="FZG393" s="109"/>
      <c r="FZH393" s="104"/>
      <c r="FZI393" s="104"/>
      <c r="FZJ393" s="119"/>
      <c r="FZK393" s="104"/>
      <c r="FZL393" s="455"/>
      <c r="FZM393" s="104"/>
      <c r="FZN393" s="104"/>
      <c r="FZO393" s="109"/>
      <c r="FZP393" s="104"/>
      <c r="FZQ393" s="104"/>
      <c r="FZR393" s="119"/>
      <c r="FZS393" s="104"/>
      <c r="FZT393" s="455"/>
      <c r="FZU393" s="104"/>
      <c r="FZV393" s="104"/>
      <c r="FZW393" s="109"/>
      <c r="FZX393" s="104"/>
      <c r="FZY393" s="104"/>
      <c r="FZZ393" s="119"/>
      <c r="GAA393" s="104"/>
      <c r="GAB393" s="455"/>
      <c r="GAC393" s="104"/>
      <c r="GAD393" s="104"/>
      <c r="GAE393" s="109"/>
      <c r="GAF393" s="104"/>
      <c r="GAG393" s="104"/>
      <c r="GAH393" s="119"/>
      <c r="GAI393" s="104"/>
      <c r="GAJ393" s="455"/>
      <c r="GAK393" s="104"/>
      <c r="GAL393" s="104"/>
      <c r="GAM393" s="109"/>
      <c r="GAN393" s="104"/>
      <c r="GAO393" s="104"/>
      <c r="GAP393" s="119"/>
      <c r="GAQ393" s="104"/>
      <c r="GAR393" s="455"/>
      <c r="GAS393" s="104"/>
      <c r="GAT393" s="104"/>
      <c r="GAU393" s="109"/>
      <c r="GAV393" s="104"/>
      <c r="GAW393" s="104"/>
      <c r="GAX393" s="119"/>
      <c r="GAY393" s="104"/>
      <c r="GAZ393" s="455"/>
      <c r="GBA393" s="104"/>
      <c r="GBB393" s="104"/>
      <c r="GBC393" s="109"/>
      <c r="GBD393" s="104"/>
      <c r="GBE393" s="104"/>
      <c r="GBF393" s="119"/>
      <c r="GBG393" s="104"/>
      <c r="GBH393" s="455"/>
      <c r="GBI393" s="104"/>
      <c r="GBJ393" s="104"/>
      <c r="GBK393" s="109"/>
      <c r="GBL393" s="104"/>
      <c r="GBM393" s="104"/>
      <c r="GBN393" s="119"/>
      <c r="GBO393" s="104"/>
      <c r="GBP393" s="455"/>
      <c r="GBQ393" s="104"/>
      <c r="GBR393" s="104"/>
      <c r="GBS393" s="109"/>
      <c r="GBT393" s="104"/>
      <c r="GBU393" s="104"/>
      <c r="GBV393" s="119"/>
      <c r="GBW393" s="104"/>
      <c r="GBX393" s="455"/>
      <c r="GBY393" s="104"/>
      <c r="GBZ393" s="104"/>
      <c r="GCA393" s="109"/>
      <c r="GCB393" s="104"/>
      <c r="GCC393" s="104"/>
      <c r="GCD393" s="119"/>
      <c r="GCE393" s="104"/>
      <c r="GCF393" s="455"/>
      <c r="GCG393" s="104"/>
      <c r="GCH393" s="104"/>
      <c r="GCI393" s="109"/>
      <c r="GCJ393" s="104"/>
      <c r="GCK393" s="104"/>
      <c r="GCL393" s="119"/>
      <c r="GCM393" s="104"/>
      <c r="GCN393" s="455"/>
      <c r="GCO393" s="104"/>
      <c r="GCP393" s="104"/>
      <c r="GCQ393" s="109"/>
      <c r="GCR393" s="104"/>
      <c r="GCS393" s="104"/>
      <c r="GCT393" s="119"/>
      <c r="GCU393" s="104"/>
      <c r="GCV393" s="455"/>
      <c r="GCW393" s="104"/>
      <c r="GCX393" s="104"/>
      <c r="GCY393" s="109"/>
      <c r="GCZ393" s="104"/>
      <c r="GDA393" s="104"/>
      <c r="GDB393" s="119"/>
      <c r="GDC393" s="104"/>
      <c r="GDD393" s="455"/>
      <c r="GDE393" s="104"/>
      <c r="GDF393" s="104"/>
      <c r="GDG393" s="109"/>
      <c r="GDH393" s="104"/>
      <c r="GDI393" s="104"/>
      <c r="GDJ393" s="119"/>
      <c r="GDK393" s="104"/>
      <c r="GDL393" s="455"/>
      <c r="GDM393" s="104"/>
      <c r="GDN393" s="104"/>
      <c r="GDO393" s="109"/>
      <c r="GDP393" s="104"/>
      <c r="GDQ393" s="104"/>
      <c r="GDR393" s="119"/>
      <c r="GDS393" s="104"/>
      <c r="GDT393" s="455"/>
      <c r="GDU393" s="104"/>
      <c r="GDV393" s="104"/>
      <c r="GDW393" s="109"/>
      <c r="GDX393" s="104"/>
      <c r="GDY393" s="104"/>
      <c r="GDZ393" s="119"/>
      <c r="GEA393" s="104"/>
      <c r="GEB393" s="455"/>
      <c r="GEC393" s="104"/>
      <c r="GED393" s="104"/>
      <c r="GEE393" s="109"/>
      <c r="GEF393" s="104"/>
      <c r="GEG393" s="104"/>
      <c r="GEH393" s="119"/>
      <c r="GEI393" s="104"/>
      <c r="GEJ393" s="455"/>
      <c r="GEK393" s="104"/>
      <c r="GEL393" s="104"/>
      <c r="GEM393" s="109"/>
      <c r="GEN393" s="104"/>
      <c r="GEO393" s="104"/>
      <c r="GEP393" s="119"/>
      <c r="GEQ393" s="104"/>
      <c r="GER393" s="455"/>
      <c r="GES393" s="104"/>
      <c r="GET393" s="104"/>
      <c r="GEU393" s="109"/>
      <c r="GEV393" s="104"/>
      <c r="GEW393" s="104"/>
      <c r="GEX393" s="119"/>
      <c r="GEY393" s="104"/>
      <c r="GEZ393" s="455"/>
      <c r="GFA393" s="104"/>
      <c r="GFB393" s="104"/>
      <c r="GFC393" s="109"/>
      <c r="GFD393" s="104"/>
      <c r="GFE393" s="104"/>
      <c r="GFF393" s="119"/>
      <c r="GFG393" s="104"/>
      <c r="GFH393" s="455"/>
      <c r="GFI393" s="104"/>
      <c r="GFJ393" s="104"/>
      <c r="GFK393" s="109"/>
      <c r="GFL393" s="104"/>
      <c r="GFM393" s="104"/>
      <c r="GFN393" s="119"/>
      <c r="GFO393" s="104"/>
      <c r="GFP393" s="455"/>
      <c r="GFQ393" s="104"/>
      <c r="GFR393" s="104"/>
      <c r="GFS393" s="109"/>
      <c r="GFT393" s="104"/>
      <c r="GFU393" s="104"/>
      <c r="GFV393" s="119"/>
      <c r="GFW393" s="104"/>
      <c r="GFX393" s="455"/>
      <c r="GFY393" s="104"/>
      <c r="GFZ393" s="104"/>
      <c r="GGA393" s="109"/>
      <c r="GGB393" s="104"/>
      <c r="GGC393" s="104"/>
      <c r="GGD393" s="119"/>
      <c r="GGE393" s="104"/>
      <c r="GGF393" s="455"/>
      <c r="GGG393" s="104"/>
      <c r="GGH393" s="104"/>
      <c r="GGI393" s="109"/>
      <c r="GGJ393" s="104"/>
      <c r="GGK393" s="104"/>
      <c r="GGL393" s="119"/>
      <c r="GGM393" s="104"/>
      <c r="GGN393" s="455"/>
      <c r="GGO393" s="104"/>
      <c r="GGP393" s="104"/>
      <c r="GGQ393" s="109"/>
      <c r="GGR393" s="104"/>
      <c r="GGS393" s="104"/>
      <c r="GGT393" s="119"/>
      <c r="GGU393" s="104"/>
      <c r="GGV393" s="455"/>
      <c r="GGW393" s="104"/>
      <c r="GGX393" s="104"/>
      <c r="GGY393" s="109"/>
      <c r="GGZ393" s="104"/>
      <c r="GHA393" s="104"/>
      <c r="GHB393" s="119"/>
      <c r="GHC393" s="104"/>
      <c r="GHD393" s="455"/>
      <c r="GHE393" s="104"/>
      <c r="GHF393" s="104"/>
      <c r="GHG393" s="109"/>
      <c r="GHH393" s="104"/>
      <c r="GHI393" s="104"/>
      <c r="GHJ393" s="119"/>
      <c r="GHK393" s="104"/>
      <c r="GHL393" s="455"/>
      <c r="GHM393" s="104"/>
      <c r="GHN393" s="104"/>
      <c r="GHO393" s="109"/>
      <c r="GHP393" s="104"/>
      <c r="GHQ393" s="104"/>
      <c r="GHR393" s="119"/>
      <c r="GHS393" s="104"/>
      <c r="GHT393" s="455"/>
      <c r="GHU393" s="104"/>
      <c r="GHV393" s="104"/>
      <c r="GHW393" s="109"/>
      <c r="GHX393" s="104"/>
      <c r="GHY393" s="104"/>
      <c r="GHZ393" s="119"/>
      <c r="GIA393" s="104"/>
      <c r="GIB393" s="455"/>
      <c r="GIC393" s="104"/>
      <c r="GID393" s="104"/>
      <c r="GIE393" s="109"/>
      <c r="GIF393" s="104"/>
      <c r="GIG393" s="104"/>
      <c r="GIH393" s="119"/>
      <c r="GII393" s="104"/>
      <c r="GIJ393" s="455"/>
      <c r="GIK393" s="104"/>
      <c r="GIL393" s="104"/>
      <c r="GIM393" s="109"/>
      <c r="GIN393" s="104"/>
      <c r="GIO393" s="104"/>
      <c r="GIP393" s="119"/>
      <c r="GIQ393" s="104"/>
      <c r="GIR393" s="455"/>
      <c r="GIS393" s="104"/>
      <c r="GIT393" s="104"/>
      <c r="GIU393" s="109"/>
      <c r="GIV393" s="104"/>
      <c r="GIW393" s="104"/>
      <c r="GIX393" s="119"/>
      <c r="GIY393" s="104"/>
      <c r="GIZ393" s="455"/>
      <c r="GJA393" s="104"/>
      <c r="GJB393" s="104"/>
      <c r="GJC393" s="109"/>
      <c r="GJD393" s="104"/>
      <c r="GJE393" s="104"/>
      <c r="GJF393" s="119"/>
      <c r="GJG393" s="104"/>
      <c r="GJH393" s="455"/>
      <c r="GJI393" s="104"/>
      <c r="GJJ393" s="104"/>
      <c r="GJK393" s="109"/>
      <c r="GJL393" s="104"/>
      <c r="GJM393" s="104"/>
      <c r="GJN393" s="119"/>
      <c r="GJO393" s="104"/>
      <c r="GJP393" s="455"/>
      <c r="GJQ393" s="104"/>
      <c r="GJR393" s="104"/>
      <c r="GJS393" s="109"/>
      <c r="GJT393" s="104"/>
      <c r="GJU393" s="104"/>
      <c r="GJV393" s="119"/>
      <c r="GJW393" s="104"/>
      <c r="GJX393" s="455"/>
      <c r="GJY393" s="104"/>
      <c r="GJZ393" s="104"/>
      <c r="GKA393" s="109"/>
      <c r="GKB393" s="104"/>
      <c r="GKC393" s="104"/>
      <c r="GKD393" s="119"/>
      <c r="GKE393" s="104"/>
      <c r="GKF393" s="455"/>
      <c r="GKG393" s="104"/>
      <c r="GKH393" s="104"/>
      <c r="GKI393" s="109"/>
      <c r="GKJ393" s="104"/>
      <c r="GKK393" s="104"/>
      <c r="GKL393" s="119"/>
      <c r="GKM393" s="104"/>
      <c r="GKN393" s="455"/>
      <c r="GKO393" s="104"/>
      <c r="GKP393" s="104"/>
      <c r="GKQ393" s="109"/>
      <c r="GKR393" s="104"/>
      <c r="GKS393" s="104"/>
      <c r="GKT393" s="119"/>
      <c r="GKU393" s="104"/>
      <c r="GKV393" s="455"/>
      <c r="GKW393" s="104"/>
      <c r="GKX393" s="104"/>
      <c r="GKY393" s="109"/>
      <c r="GKZ393" s="104"/>
      <c r="GLA393" s="104"/>
      <c r="GLB393" s="119"/>
      <c r="GLC393" s="104"/>
      <c r="GLD393" s="455"/>
      <c r="GLE393" s="104"/>
      <c r="GLF393" s="104"/>
      <c r="GLG393" s="109"/>
      <c r="GLH393" s="104"/>
      <c r="GLI393" s="104"/>
      <c r="GLJ393" s="119"/>
      <c r="GLK393" s="104"/>
      <c r="GLL393" s="455"/>
      <c r="GLM393" s="104"/>
      <c r="GLN393" s="104"/>
      <c r="GLO393" s="109"/>
      <c r="GLP393" s="104"/>
      <c r="GLQ393" s="104"/>
      <c r="GLR393" s="119"/>
      <c r="GLS393" s="104"/>
      <c r="GLT393" s="455"/>
      <c r="GLU393" s="104"/>
      <c r="GLV393" s="104"/>
      <c r="GLW393" s="109"/>
      <c r="GLX393" s="104"/>
      <c r="GLY393" s="104"/>
      <c r="GLZ393" s="119"/>
      <c r="GMA393" s="104"/>
      <c r="GMB393" s="455"/>
      <c r="GMC393" s="104"/>
      <c r="GMD393" s="104"/>
      <c r="GME393" s="109"/>
      <c r="GMF393" s="104"/>
      <c r="GMG393" s="104"/>
      <c r="GMH393" s="119"/>
      <c r="GMI393" s="104"/>
      <c r="GMJ393" s="455"/>
      <c r="GMK393" s="104"/>
      <c r="GML393" s="104"/>
      <c r="GMM393" s="109"/>
      <c r="GMN393" s="104"/>
      <c r="GMO393" s="104"/>
      <c r="GMP393" s="119"/>
      <c r="GMQ393" s="104"/>
      <c r="GMR393" s="455"/>
      <c r="GMS393" s="104"/>
      <c r="GMT393" s="104"/>
      <c r="GMU393" s="109"/>
      <c r="GMV393" s="104"/>
      <c r="GMW393" s="104"/>
      <c r="GMX393" s="119"/>
      <c r="GMY393" s="104"/>
      <c r="GMZ393" s="455"/>
      <c r="GNA393" s="104"/>
      <c r="GNB393" s="104"/>
      <c r="GNC393" s="109"/>
      <c r="GND393" s="104"/>
      <c r="GNE393" s="104"/>
      <c r="GNF393" s="119"/>
      <c r="GNG393" s="104"/>
      <c r="GNH393" s="455"/>
      <c r="GNI393" s="104"/>
      <c r="GNJ393" s="104"/>
      <c r="GNK393" s="109"/>
      <c r="GNL393" s="104"/>
      <c r="GNM393" s="104"/>
      <c r="GNN393" s="119"/>
      <c r="GNO393" s="104"/>
      <c r="GNP393" s="455"/>
      <c r="GNQ393" s="104"/>
      <c r="GNR393" s="104"/>
      <c r="GNS393" s="109"/>
      <c r="GNT393" s="104"/>
      <c r="GNU393" s="104"/>
      <c r="GNV393" s="119"/>
      <c r="GNW393" s="104"/>
      <c r="GNX393" s="455"/>
      <c r="GNY393" s="104"/>
      <c r="GNZ393" s="104"/>
      <c r="GOA393" s="109"/>
      <c r="GOB393" s="104"/>
      <c r="GOC393" s="104"/>
      <c r="GOD393" s="119"/>
      <c r="GOE393" s="104"/>
      <c r="GOF393" s="455"/>
      <c r="GOG393" s="104"/>
      <c r="GOH393" s="104"/>
      <c r="GOI393" s="109"/>
      <c r="GOJ393" s="104"/>
      <c r="GOK393" s="104"/>
      <c r="GOL393" s="119"/>
      <c r="GOM393" s="104"/>
      <c r="GON393" s="455"/>
      <c r="GOO393" s="104"/>
      <c r="GOP393" s="104"/>
      <c r="GOQ393" s="109"/>
      <c r="GOR393" s="104"/>
      <c r="GOS393" s="104"/>
      <c r="GOT393" s="119"/>
      <c r="GOU393" s="104"/>
      <c r="GOV393" s="455"/>
      <c r="GOW393" s="104"/>
      <c r="GOX393" s="104"/>
      <c r="GOY393" s="109"/>
      <c r="GOZ393" s="104"/>
      <c r="GPA393" s="104"/>
      <c r="GPB393" s="119"/>
      <c r="GPC393" s="104"/>
      <c r="GPD393" s="455"/>
      <c r="GPE393" s="104"/>
      <c r="GPF393" s="104"/>
      <c r="GPG393" s="109"/>
      <c r="GPH393" s="104"/>
      <c r="GPI393" s="104"/>
      <c r="GPJ393" s="119"/>
      <c r="GPK393" s="104"/>
      <c r="GPL393" s="455"/>
      <c r="GPM393" s="104"/>
      <c r="GPN393" s="104"/>
      <c r="GPO393" s="109"/>
      <c r="GPP393" s="104"/>
      <c r="GPQ393" s="104"/>
      <c r="GPR393" s="119"/>
      <c r="GPS393" s="104"/>
      <c r="GPT393" s="455"/>
      <c r="GPU393" s="104"/>
      <c r="GPV393" s="104"/>
      <c r="GPW393" s="109"/>
      <c r="GPX393" s="104"/>
      <c r="GPY393" s="104"/>
      <c r="GPZ393" s="119"/>
      <c r="GQA393" s="104"/>
      <c r="GQB393" s="455"/>
      <c r="GQC393" s="104"/>
      <c r="GQD393" s="104"/>
      <c r="GQE393" s="109"/>
      <c r="GQF393" s="104"/>
      <c r="GQG393" s="104"/>
      <c r="GQH393" s="119"/>
      <c r="GQI393" s="104"/>
      <c r="GQJ393" s="455"/>
      <c r="GQK393" s="104"/>
      <c r="GQL393" s="104"/>
      <c r="GQM393" s="109"/>
      <c r="GQN393" s="104"/>
      <c r="GQO393" s="104"/>
      <c r="GQP393" s="119"/>
      <c r="GQQ393" s="104"/>
      <c r="GQR393" s="455"/>
      <c r="GQS393" s="104"/>
      <c r="GQT393" s="104"/>
      <c r="GQU393" s="109"/>
      <c r="GQV393" s="104"/>
      <c r="GQW393" s="104"/>
      <c r="GQX393" s="119"/>
      <c r="GQY393" s="104"/>
      <c r="GQZ393" s="455"/>
      <c r="GRA393" s="104"/>
      <c r="GRB393" s="104"/>
      <c r="GRC393" s="109"/>
      <c r="GRD393" s="104"/>
      <c r="GRE393" s="104"/>
      <c r="GRF393" s="119"/>
      <c r="GRG393" s="104"/>
      <c r="GRH393" s="455"/>
      <c r="GRI393" s="104"/>
      <c r="GRJ393" s="104"/>
      <c r="GRK393" s="109"/>
      <c r="GRL393" s="104"/>
      <c r="GRM393" s="104"/>
      <c r="GRN393" s="119"/>
      <c r="GRO393" s="104"/>
      <c r="GRP393" s="455"/>
      <c r="GRQ393" s="104"/>
      <c r="GRR393" s="104"/>
      <c r="GRS393" s="109"/>
      <c r="GRT393" s="104"/>
      <c r="GRU393" s="104"/>
      <c r="GRV393" s="119"/>
      <c r="GRW393" s="104"/>
      <c r="GRX393" s="455"/>
      <c r="GRY393" s="104"/>
      <c r="GRZ393" s="104"/>
      <c r="GSA393" s="109"/>
      <c r="GSB393" s="104"/>
      <c r="GSC393" s="104"/>
      <c r="GSD393" s="119"/>
      <c r="GSE393" s="104"/>
      <c r="GSF393" s="455"/>
      <c r="GSG393" s="104"/>
      <c r="GSH393" s="104"/>
      <c r="GSI393" s="109"/>
      <c r="GSJ393" s="104"/>
      <c r="GSK393" s="104"/>
      <c r="GSL393" s="119"/>
      <c r="GSM393" s="104"/>
      <c r="GSN393" s="455"/>
      <c r="GSO393" s="104"/>
      <c r="GSP393" s="104"/>
      <c r="GSQ393" s="109"/>
      <c r="GSR393" s="104"/>
      <c r="GSS393" s="104"/>
      <c r="GST393" s="119"/>
      <c r="GSU393" s="104"/>
      <c r="GSV393" s="455"/>
      <c r="GSW393" s="104"/>
      <c r="GSX393" s="104"/>
      <c r="GSY393" s="109"/>
      <c r="GSZ393" s="104"/>
      <c r="GTA393" s="104"/>
      <c r="GTB393" s="119"/>
      <c r="GTC393" s="104"/>
      <c r="GTD393" s="455"/>
      <c r="GTE393" s="104"/>
      <c r="GTF393" s="104"/>
      <c r="GTG393" s="109"/>
      <c r="GTH393" s="104"/>
      <c r="GTI393" s="104"/>
      <c r="GTJ393" s="119"/>
      <c r="GTK393" s="104"/>
      <c r="GTL393" s="455"/>
      <c r="GTM393" s="104"/>
      <c r="GTN393" s="104"/>
      <c r="GTO393" s="109"/>
      <c r="GTP393" s="104"/>
      <c r="GTQ393" s="104"/>
      <c r="GTR393" s="119"/>
      <c r="GTS393" s="104"/>
      <c r="GTT393" s="455"/>
      <c r="GTU393" s="104"/>
      <c r="GTV393" s="104"/>
      <c r="GTW393" s="109"/>
      <c r="GTX393" s="104"/>
      <c r="GTY393" s="104"/>
      <c r="GTZ393" s="119"/>
      <c r="GUA393" s="104"/>
      <c r="GUB393" s="455"/>
      <c r="GUC393" s="104"/>
      <c r="GUD393" s="104"/>
      <c r="GUE393" s="109"/>
      <c r="GUF393" s="104"/>
      <c r="GUG393" s="104"/>
      <c r="GUH393" s="119"/>
      <c r="GUI393" s="104"/>
      <c r="GUJ393" s="455"/>
      <c r="GUK393" s="104"/>
      <c r="GUL393" s="104"/>
      <c r="GUM393" s="109"/>
      <c r="GUN393" s="104"/>
      <c r="GUO393" s="104"/>
      <c r="GUP393" s="119"/>
      <c r="GUQ393" s="104"/>
      <c r="GUR393" s="455"/>
      <c r="GUS393" s="104"/>
      <c r="GUT393" s="104"/>
      <c r="GUU393" s="109"/>
      <c r="GUV393" s="104"/>
      <c r="GUW393" s="104"/>
      <c r="GUX393" s="119"/>
      <c r="GUY393" s="104"/>
      <c r="GUZ393" s="455"/>
      <c r="GVA393" s="104"/>
      <c r="GVB393" s="104"/>
      <c r="GVC393" s="109"/>
      <c r="GVD393" s="104"/>
      <c r="GVE393" s="104"/>
      <c r="GVF393" s="119"/>
      <c r="GVG393" s="104"/>
      <c r="GVH393" s="455"/>
      <c r="GVI393" s="104"/>
      <c r="GVJ393" s="104"/>
      <c r="GVK393" s="109"/>
      <c r="GVL393" s="104"/>
      <c r="GVM393" s="104"/>
      <c r="GVN393" s="119"/>
      <c r="GVO393" s="104"/>
      <c r="GVP393" s="455"/>
      <c r="GVQ393" s="104"/>
      <c r="GVR393" s="104"/>
      <c r="GVS393" s="109"/>
      <c r="GVT393" s="104"/>
      <c r="GVU393" s="104"/>
      <c r="GVV393" s="119"/>
      <c r="GVW393" s="104"/>
      <c r="GVX393" s="455"/>
      <c r="GVY393" s="104"/>
      <c r="GVZ393" s="104"/>
      <c r="GWA393" s="109"/>
      <c r="GWB393" s="104"/>
      <c r="GWC393" s="104"/>
      <c r="GWD393" s="119"/>
      <c r="GWE393" s="104"/>
      <c r="GWF393" s="455"/>
      <c r="GWG393" s="104"/>
      <c r="GWH393" s="104"/>
      <c r="GWI393" s="109"/>
      <c r="GWJ393" s="104"/>
      <c r="GWK393" s="104"/>
      <c r="GWL393" s="119"/>
      <c r="GWM393" s="104"/>
      <c r="GWN393" s="455"/>
      <c r="GWO393" s="104"/>
      <c r="GWP393" s="104"/>
      <c r="GWQ393" s="109"/>
      <c r="GWR393" s="104"/>
      <c r="GWS393" s="104"/>
      <c r="GWT393" s="119"/>
      <c r="GWU393" s="104"/>
      <c r="GWV393" s="455"/>
      <c r="GWW393" s="104"/>
      <c r="GWX393" s="104"/>
      <c r="GWY393" s="109"/>
      <c r="GWZ393" s="104"/>
      <c r="GXA393" s="104"/>
      <c r="GXB393" s="119"/>
      <c r="GXC393" s="104"/>
      <c r="GXD393" s="455"/>
      <c r="GXE393" s="104"/>
      <c r="GXF393" s="104"/>
      <c r="GXG393" s="109"/>
      <c r="GXH393" s="104"/>
      <c r="GXI393" s="104"/>
      <c r="GXJ393" s="119"/>
      <c r="GXK393" s="104"/>
      <c r="GXL393" s="455"/>
      <c r="GXM393" s="104"/>
      <c r="GXN393" s="104"/>
      <c r="GXO393" s="109"/>
      <c r="GXP393" s="104"/>
      <c r="GXQ393" s="104"/>
      <c r="GXR393" s="119"/>
      <c r="GXS393" s="104"/>
      <c r="GXT393" s="455"/>
      <c r="GXU393" s="104"/>
      <c r="GXV393" s="104"/>
      <c r="GXW393" s="109"/>
      <c r="GXX393" s="104"/>
      <c r="GXY393" s="104"/>
      <c r="GXZ393" s="119"/>
      <c r="GYA393" s="104"/>
      <c r="GYB393" s="455"/>
      <c r="GYC393" s="104"/>
      <c r="GYD393" s="104"/>
      <c r="GYE393" s="109"/>
      <c r="GYF393" s="104"/>
      <c r="GYG393" s="104"/>
      <c r="GYH393" s="119"/>
      <c r="GYI393" s="104"/>
      <c r="GYJ393" s="455"/>
      <c r="GYK393" s="104"/>
      <c r="GYL393" s="104"/>
      <c r="GYM393" s="109"/>
      <c r="GYN393" s="104"/>
      <c r="GYO393" s="104"/>
      <c r="GYP393" s="119"/>
      <c r="GYQ393" s="104"/>
      <c r="GYR393" s="455"/>
      <c r="GYS393" s="104"/>
      <c r="GYT393" s="104"/>
      <c r="GYU393" s="109"/>
      <c r="GYV393" s="104"/>
      <c r="GYW393" s="104"/>
      <c r="GYX393" s="119"/>
      <c r="GYY393" s="104"/>
      <c r="GYZ393" s="455"/>
      <c r="GZA393" s="104"/>
      <c r="GZB393" s="104"/>
      <c r="GZC393" s="109"/>
      <c r="GZD393" s="104"/>
      <c r="GZE393" s="104"/>
      <c r="GZF393" s="119"/>
      <c r="GZG393" s="104"/>
      <c r="GZH393" s="455"/>
      <c r="GZI393" s="104"/>
      <c r="GZJ393" s="104"/>
      <c r="GZK393" s="109"/>
      <c r="GZL393" s="104"/>
      <c r="GZM393" s="104"/>
      <c r="GZN393" s="119"/>
      <c r="GZO393" s="104"/>
      <c r="GZP393" s="455"/>
      <c r="GZQ393" s="104"/>
      <c r="GZR393" s="104"/>
      <c r="GZS393" s="109"/>
      <c r="GZT393" s="104"/>
      <c r="GZU393" s="104"/>
      <c r="GZV393" s="119"/>
      <c r="GZW393" s="104"/>
      <c r="GZX393" s="455"/>
      <c r="GZY393" s="104"/>
      <c r="GZZ393" s="104"/>
      <c r="HAA393" s="109"/>
      <c r="HAB393" s="104"/>
      <c r="HAC393" s="104"/>
      <c r="HAD393" s="119"/>
      <c r="HAE393" s="104"/>
      <c r="HAF393" s="455"/>
      <c r="HAG393" s="104"/>
      <c r="HAH393" s="104"/>
      <c r="HAI393" s="109"/>
      <c r="HAJ393" s="104"/>
      <c r="HAK393" s="104"/>
      <c r="HAL393" s="119"/>
      <c r="HAM393" s="104"/>
      <c r="HAN393" s="455"/>
      <c r="HAO393" s="104"/>
      <c r="HAP393" s="104"/>
      <c r="HAQ393" s="109"/>
      <c r="HAR393" s="104"/>
      <c r="HAS393" s="104"/>
      <c r="HAT393" s="119"/>
      <c r="HAU393" s="104"/>
      <c r="HAV393" s="455"/>
      <c r="HAW393" s="104"/>
      <c r="HAX393" s="104"/>
      <c r="HAY393" s="109"/>
      <c r="HAZ393" s="104"/>
      <c r="HBA393" s="104"/>
      <c r="HBB393" s="119"/>
      <c r="HBC393" s="104"/>
      <c r="HBD393" s="455"/>
      <c r="HBE393" s="104"/>
      <c r="HBF393" s="104"/>
      <c r="HBG393" s="109"/>
      <c r="HBH393" s="104"/>
      <c r="HBI393" s="104"/>
      <c r="HBJ393" s="119"/>
      <c r="HBK393" s="104"/>
      <c r="HBL393" s="455"/>
      <c r="HBM393" s="104"/>
      <c r="HBN393" s="104"/>
      <c r="HBO393" s="109"/>
      <c r="HBP393" s="104"/>
      <c r="HBQ393" s="104"/>
      <c r="HBR393" s="119"/>
      <c r="HBS393" s="104"/>
      <c r="HBT393" s="455"/>
      <c r="HBU393" s="104"/>
      <c r="HBV393" s="104"/>
      <c r="HBW393" s="109"/>
      <c r="HBX393" s="104"/>
      <c r="HBY393" s="104"/>
      <c r="HBZ393" s="119"/>
      <c r="HCA393" s="104"/>
      <c r="HCB393" s="455"/>
      <c r="HCC393" s="104"/>
      <c r="HCD393" s="104"/>
      <c r="HCE393" s="109"/>
      <c r="HCF393" s="104"/>
      <c r="HCG393" s="104"/>
      <c r="HCH393" s="119"/>
      <c r="HCI393" s="104"/>
      <c r="HCJ393" s="455"/>
      <c r="HCK393" s="104"/>
      <c r="HCL393" s="104"/>
      <c r="HCM393" s="109"/>
      <c r="HCN393" s="104"/>
      <c r="HCO393" s="104"/>
      <c r="HCP393" s="119"/>
      <c r="HCQ393" s="104"/>
      <c r="HCR393" s="455"/>
      <c r="HCS393" s="104"/>
      <c r="HCT393" s="104"/>
      <c r="HCU393" s="109"/>
      <c r="HCV393" s="104"/>
      <c r="HCW393" s="104"/>
      <c r="HCX393" s="119"/>
      <c r="HCY393" s="104"/>
      <c r="HCZ393" s="455"/>
      <c r="HDA393" s="104"/>
      <c r="HDB393" s="104"/>
      <c r="HDC393" s="109"/>
      <c r="HDD393" s="104"/>
      <c r="HDE393" s="104"/>
      <c r="HDF393" s="119"/>
      <c r="HDG393" s="104"/>
      <c r="HDH393" s="455"/>
      <c r="HDI393" s="104"/>
      <c r="HDJ393" s="104"/>
      <c r="HDK393" s="109"/>
      <c r="HDL393" s="104"/>
      <c r="HDM393" s="104"/>
      <c r="HDN393" s="119"/>
      <c r="HDO393" s="104"/>
      <c r="HDP393" s="455"/>
      <c r="HDQ393" s="104"/>
      <c r="HDR393" s="104"/>
      <c r="HDS393" s="109"/>
      <c r="HDT393" s="104"/>
      <c r="HDU393" s="104"/>
      <c r="HDV393" s="119"/>
      <c r="HDW393" s="104"/>
      <c r="HDX393" s="455"/>
      <c r="HDY393" s="104"/>
      <c r="HDZ393" s="104"/>
      <c r="HEA393" s="109"/>
      <c r="HEB393" s="104"/>
      <c r="HEC393" s="104"/>
      <c r="HED393" s="119"/>
      <c r="HEE393" s="104"/>
      <c r="HEF393" s="455"/>
      <c r="HEG393" s="104"/>
      <c r="HEH393" s="104"/>
      <c r="HEI393" s="109"/>
      <c r="HEJ393" s="104"/>
      <c r="HEK393" s="104"/>
      <c r="HEL393" s="119"/>
      <c r="HEM393" s="104"/>
      <c r="HEN393" s="455"/>
      <c r="HEO393" s="104"/>
      <c r="HEP393" s="104"/>
      <c r="HEQ393" s="109"/>
      <c r="HER393" s="104"/>
      <c r="HES393" s="104"/>
      <c r="HET393" s="119"/>
      <c r="HEU393" s="104"/>
      <c r="HEV393" s="455"/>
      <c r="HEW393" s="104"/>
      <c r="HEX393" s="104"/>
      <c r="HEY393" s="109"/>
      <c r="HEZ393" s="104"/>
      <c r="HFA393" s="104"/>
      <c r="HFB393" s="119"/>
      <c r="HFC393" s="104"/>
      <c r="HFD393" s="455"/>
      <c r="HFE393" s="104"/>
      <c r="HFF393" s="104"/>
      <c r="HFG393" s="109"/>
      <c r="HFH393" s="104"/>
      <c r="HFI393" s="104"/>
      <c r="HFJ393" s="119"/>
      <c r="HFK393" s="104"/>
      <c r="HFL393" s="455"/>
      <c r="HFM393" s="104"/>
      <c r="HFN393" s="104"/>
      <c r="HFO393" s="109"/>
      <c r="HFP393" s="104"/>
      <c r="HFQ393" s="104"/>
      <c r="HFR393" s="119"/>
      <c r="HFS393" s="104"/>
      <c r="HFT393" s="455"/>
      <c r="HFU393" s="104"/>
      <c r="HFV393" s="104"/>
      <c r="HFW393" s="109"/>
      <c r="HFX393" s="104"/>
      <c r="HFY393" s="104"/>
      <c r="HFZ393" s="119"/>
      <c r="HGA393" s="104"/>
      <c r="HGB393" s="455"/>
      <c r="HGC393" s="104"/>
      <c r="HGD393" s="104"/>
      <c r="HGE393" s="109"/>
      <c r="HGF393" s="104"/>
      <c r="HGG393" s="104"/>
      <c r="HGH393" s="119"/>
      <c r="HGI393" s="104"/>
      <c r="HGJ393" s="455"/>
      <c r="HGK393" s="104"/>
      <c r="HGL393" s="104"/>
      <c r="HGM393" s="109"/>
      <c r="HGN393" s="104"/>
      <c r="HGO393" s="104"/>
      <c r="HGP393" s="119"/>
      <c r="HGQ393" s="104"/>
      <c r="HGR393" s="455"/>
      <c r="HGS393" s="104"/>
      <c r="HGT393" s="104"/>
      <c r="HGU393" s="109"/>
      <c r="HGV393" s="104"/>
      <c r="HGW393" s="104"/>
      <c r="HGX393" s="119"/>
      <c r="HGY393" s="104"/>
      <c r="HGZ393" s="455"/>
      <c r="HHA393" s="104"/>
      <c r="HHB393" s="104"/>
      <c r="HHC393" s="109"/>
      <c r="HHD393" s="104"/>
      <c r="HHE393" s="104"/>
      <c r="HHF393" s="119"/>
      <c r="HHG393" s="104"/>
      <c r="HHH393" s="455"/>
      <c r="HHI393" s="104"/>
      <c r="HHJ393" s="104"/>
      <c r="HHK393" s="109"/>
      <c r="HHL393" s="104"/>
      <c r="HHM393" s="104"/>
      <c r="HHN393" s="119"/>
      <c r="HHO393" s="104"/>
      <c r="HHP393" s="455"/>
      <c r="HHQ393" s="104"/>
      <c r="HHR393" s="104"/>
      <c r="HHS393" s="109"/>
      <c r="HHT393" s="104"/>
      <c r="HHU393" s="104"/>
      <c r="HHV393" s="119"/>
      <c r="HHW393" s="104"/>
      <c r="HHX393" s="455"/>
      <c r="HHY393" s="104"/>
      <c r="HHZ393" s="104"/>
      <c r="HIA393" s="109"/>
      <c r="HIB393" s="104"/>
      <c r="HIC393" s="104"/>
      <c r="HID393" s="119"/>
      <c r="HIE393" s="104"/>
      <c r="HIF393" s="455"/>
      <c r="HIG393" s="104"/>
      <c r="HIH393" s="104"/>
      <c r="HII393" s="109"/>
      <c r="HIJ393" s="104"/>
      <c r="HIK393" s="104"/>
      <c r="HIL393" s="119"/>
      <c r="HIM393" s="104"/>
      <c r="HIN393" s="455"/>
      <c r="HIO393" s="104"/>
      <c r="HIP393" s="104"/>
      <c r="HIQ393" s="109"/>
      <c r="HIR393" s="104"/>
      <c r="HIS393" s="104"/>
      <c r="HIT393" s="119"/>
      <c r="HIU393" s="104"/>
      <c r="HIV393" s="455"/>
      <c r="HIW393" s="104"/>
      <c r="HIX393" s="104"/>
      <c r="HIY393" s="109"/>
      <c r="HIZ393" s="104"/>
      <c r="HJA393" s="104"/>
      <c r="HJB393" s="119"/>
      <c r="HJC393" s="104"/>
      <c r="HJD393" s="455"/>
      <c r="HJE393" s="104"/>
      <c r="HJF393" s="104"/>
      <c r="HJG393" s="109"/>
      <c r="HJH393" s="104"/>
      <c r="HJI393" s="104"/>
      <c r="HJJ393" s="119"/>
      <c r="HJK393" s="104"/>
      <c r="HJL393" s="455"/>
      <c r="HJM393" s="104"/>
      <c r="HJN393" s="104"/>
      <c r="HJO393" s="109"/>
      <c r="HJP393" s="104"/>
      <c r="HJQ393" s="104"/>
      <c r="HJR393" s="119"/>
      <c r="HJS393" s="104"/>
      <c r="HJT393" s="455"/>
      <c r="HJU393" s="104"/>
      <c r="HJV393" s="104"/>
      <c r="HJW393" s="109"/>
      <c r="HJX393" s="104"/>
      <c r="HJY393" s="104"/>
      <c r="HJZ393" s="119"/>
      <c r="HKA393" s="104"/>
      <c r="HKB393" s="455"/>
      <c r="HKC393" s="104"/>
      <c r="HKD393" s="104"/>
      <c r="HKE393" s="109"/>
      <c r="HKF393" s="104"/>
      <c r="HKG393" s="104"/>
      <c r="HKH393" s="119"/>
      <c r="HKI393" s="104"/>
      <c r="HKJ393" s="455"/>
      <c r="HKK393" s="104"/>
      <c r="HKL393" s="104"/>
      <c r="HKM393" s="109"/>
      <c r="HKN393" s="104"/>
      <c r="HKO393" s="104"/>
      <c r="HKP393" s="119"/>
      <c r="HKQ393" s="104"/>
      <c r="HKR393" s="455"/>
      <c r="HKS393" s="104"/>
      <c r="HKT393" s="104"/>
      <c r="HKU393" s="109"/>
      <c r="HKV393" s="104"/>
      <c r="HKW393" s="104"/>
      <c r="HKX393" s="119"/>
      <c r="HKY393" s="104"/>
      <c r="HKZ393" s="455"/>
      <c r="HLA393" s="104"/>
      <c r="HLB393" s="104"/>
      <c r="HLC393" s="109"/>
      <c r="HLD393" s="104"/>
      <c r="HLE393" s="104"/>
      <c r="HLF393" s="119"/>
      <c r="HLG393" s="104"/>
      <c r="HLH393" s="455"/>
      <c r="HLI393" s="104"/>
      <c r="HLJ393" s="104"/>
      <c r="HLK393" s="109"/>
      <c r="HLL393" s="104"/>
      <c r="HLM393" s="104"/>
      <c r="HLN393" s="119"/>
      <c r="HLO393" s="104"/>
      <c r="HLP393" s="455"/>
      <c r="HLQ393" s="104"/>
      <c r="HLR393" s="104"/>
      <c r="HLS393" s="109"/>
      <c r="HLT393" s="104"/>
      <c r="HLU393" s="104"/>
      <c r="HLV393" s="119"/>
      <c r="HLW393" s="104"/>
      <c r="HLX393" s="455"/>
      <c r="HLY393" s="104"/>
      <c r="HLZ393" s="104"/>
      <c r="HMA393" s="109"/>
      <c r="HMB393" s="104"/>
      <c r="HMC393" s="104"/>
      <c r="HMD393" s="119"/>
      <c r="HME393" s="104"/>
      <c r="HMF393" s="455"/>
      <c r="HMG393" s="104"/>
      <c r="HMH393" s="104"/>
      <c r="HMI393" s="109"/>
      <c r="HMJ393" s="104"/>
      <c r="HMK393" s="104"/>
      <c r="HML393" s="119"/>
      <c r="HMM393" s="104"/>
      <c r="HMN393" s="455"/>
      <c r="HMO393" s="104"/>
      <c r="HMP393" s="104"/>
      <c r="HMQ393" s="109"/>
      <c r="HMR393" s="104"/>
      <c r="HMS393" s="104"/>
      <c r="HMT393" s="119"/>
      <c r="HMU393" s="104"/>
      <c r="HMV393" s="455"/>
      <c r="HMW393" s="104"/>
      <c r="HMX393" s="104"/>
      <c r="HMY393" s="109"/>
      <c r="HMZ393" s="104"/>
      <c r="HNA393" s="104"/>
      <c r="HNB393" s="119"/>
      <c r="HNC393" s="104"/>
      <c r="HND393" s="455"/>
      <c r="HNE393" s="104"/>
      <c r="HNF393" s="104"/>
      <c r="HNG393" s="109"/>
      <c r="HNH393" s="104"/>
      <c r="HNI393" s="104"/>
      <c r="HNJ393" s="119"/>
      <c r="HNK393" s="104"/>
      <c r="HNL393" s="455"/>
      <c r="HNM393" s="104"/>
      <c r="HNN393" s="104"/>
      <c r="HNO393" s="109"/>
      <c r="HNP393" s="104"/>
      <c r="HNQ393" s="104"/>
      <c r="HNR393" s="119"/>
      <c r="HNS393" s="104"/>
      <c r="HNT393" s="455"/>
      <c r="HNU393" s="104"/>
      <c r="HNV393" s="104"/>
      <c r="HNW393" s="109"/>
      <c r="HNX393" s="104"/>
      <c r="HNY393" s="104"/>
      <c r="HNZ393" s="119"/>
      <c r="HOA393" s="104"/>
      <c r="HOB393" s="455"/>
      <c r="HOC393" s="104"/>
      <c r="HOD393" s="104"/>
      <c r="HOE393" s="109"/>
      <c r="HOF393" s="104"/>
      <c r="HOG393" s="104"/>
      <c r="HOH393" s="119"/>
      <c r="HOI393" s="104"/>
      <c r="HOJ393" s="455"/>
      <c r="HOK393" s="104"/>
      <c r="HOL393" s="104"/>
      <c r="HOM393" s="109"/>
      <c r="HON393" s="104"/>
      <c r="HOO393" s="104"/>
      <c r="HOP393" s="119"/>
      <c r="HOQ393" s="104"/>
      <c r="HOR393" s="455"/>
      <c r="HOS393" s="104"/>
      <c r="HOT393" s="104"/>
      <c r="HOU393" s="109"/>
      <c r="HOV393" s="104"/>
      <c r="HOW393" s="104"/>
      <c r="HOX393" s="119"/>
      <c r="HOY393" s="104"/>
      <c r="HOZ393" s="455"/>
      <c r="HPA393" s="104"/>
      <c r="HPB393" s="104"/>
      <c r="HPC393" s="109"/>
      <c r="HPD393" s="104"/>
      <c r="HPE393" s="104"/>
      <c r="HPF393" s="119"/>
      <c r="HPG393" s="104"/>
      <c r="HPH393" s="455"/>
      <c r="HPI393" s="104"/>
      <c r="HPJ393" s="104"/>
      <c r="HPK393" s="109"/>
      <c r="HPL393" s="104"/>
      <c r="HPM393" s="104"/>
      <c r="HPN393" s="119"/>
      <c r="HPO393" s="104"/>
      <c r="HPP393" s="455"/>
      <c r="HPQ393" s="104"/>
      <c r="HPR393" s="104"/>
      <c r="HPS393" s="109"/>
      <c r="HPT393" s="104"/>
      <c r="HPU393" s="104"/>
      <c r="HPV393" s="119"/>
      <c r="HPW393" s="104"/>
      <c r="HPX393" s="455"/>
      <c r="HPY393" s="104"/>
      <c r="HPZ393" s="104"/>
      <c r="HQA393" s="109"/>
      <c r="HQB393" s="104"/>
      <c r="HQC393" s="104"/>
      <c r="HQD393" s="119"/>
      <c r="HQE393" s="104"/>
      <c r="HQF393" s="455"/>
      <c r="HQG393" s="104"/>
      <c r="HQH393" s="104"/>
      <c r="HQI393" s="109"/>
      <c r="HQJ393" s="104"/>
      <c r="HQK393" s="104"/>
      <c r="HQL393" s="119"/>
      <c r="HQM393" s="104"/>
      <c r="HQN393" s="455"/>
      <c r="HQO393" s="104"/>
      <c r="HQP393" s="104"/>
      <c r="HQQ393" s="109"/>
      <c r="HQR393" s="104"/>
      <c r="HQS393" s="104"/>
      <c r="HQT393" s="119"/>
      <c r="HQU393" s="104"/>
      <c r="HQV393" s="455"/>
      <c r="HQW393" s="104"/>
      <c r="HQX393" s="104"/>
      <c r="HQY393" s="109"/>
      <c r="HQZ393" s="104"/>
      <c r="HRA393" s="104"/>
      <c r="HRB393" s="119"/>
      <c r="HRC393" s="104"/>
      <c r="HRD393" s="455"/>
      <c r="HRE393" s="104"/>
      <c r="HRF393" s="104"/>
      <c r="HRG393" s="109"/>
      <c r="HRH393" s="104"/>
      <c r="HRI393" s="104"/>
      <c r="HRJ393" s="119"/>
      <c r="HRK393" s="104"/>
      <c r="HRL393" s="455"/>
      <c r="HRM393" s="104"/>
      <c r="HRN393" s="104"/>
      <c r="HRO393" s="109"/>
      <c r="HRP393" s="104"/>
      <c r="HRQ393" s="104"/>
      <c r="HRR393" s="119"/>
      <c r="HRS393" s="104"/>
      <c r="HRT393" s="455"/>
      <c r="HRU393" s="104"/>
      <c r="HRV393" s="104"/>
      <c r="HRW393" s="109"/>
      <c r="HRX393" s="104"/>
      <c r="HRY393" s="104"/>
      <c r="HRZ393" s="119"/>
      <c r="HSA393" s="104"/>
      <c r="HSB393" s="455"/>
      <c r="HSC393" s="104"/>
      <c r="HSD393" s="104"/>
      <c r="HSE393" s="109"/>
      <c r="HSF393" s="104"/>
      <c r="HSG393" s="104"/>
      <c r="HSH393" s="119"/>
      <c r="HSI393" s="104"/>
      <c r="HSJ393" s="455"/>
      <c r="HSK393" s="104"/>
      <c r="HSL393" s="104"/>
      <c r="HSM393" s="109"/>
      <c r="HSN393" s="104"/>
      <c r="HSO393" s="104"/>
      <c r="HSP393" s="119"/>
      <c r="HSQ393" s="104"/>
      <c r="HSR393" s="455"/>
      <c r="HSS393" s="104"/>
      <c r="HST393" s="104"/>
      <c r="HSU393" s="109"/>
      <c r="HSV393" s="104"/>
      <c r="HSW393" s="104"/>
      <c r="HSX393" s="119"/>
      <c r="HSY393" s="104"/>
      <c r="HSZ393" s="455"/>
      <c r="HTA393" s="104"/>
      <c r="HTB393" s="104"/>
      <c r="HTC393" s="109"/>
      <c r="HTD393" s="104"/>
      <c r="HTE393" s="104"/>
      <c r="HTF393" s="119"/>
      <c r="HTG393" s="104"/>
      <c r="HTH393" s="455"/>
      <c r="HTI393" s="104"/>
      <c r="HTJ393" s="104"/>
      <c r="HTK393" s="109"/>
      <c r="HTL393" s="104"/>
      <c r="HTM393" s="104"/>
      <c r="HTN393" s="119"/>
      <c r="HTO393" s="104"/>
      <c r="HTP393" s="455"/>
      <c r="HTQ393" s="104"/>
      <c r="HTR393" s="104"/>
      <c r="HTS393" s="109"/>
      <c r="HTT393" s="104"/>
      <c r="HTU393" s="104"/>
      <c r="HTV393" s="119"/>
      <c r="HTW393" s="104"/>
      <c r="HTX393" s="455"/>
      <c r="HTY393" s="104"/>
      <c r="HTZ393" s="104"/>
      <c r="HUA393" s="109"/>
      <c r="HUB393" s="104"/>
      <c r="HUC393" s="104"/>
      <c r="HUD393" s="119"/>
      <c r="HUE393" s="104"/>
      <c r="HUF393" s="455"/>
      <c r="HUG393" s="104"/>
      <c r="HUH393" s="104"/>
      <c r="HUI393" s="109"/>
      <c r="HUJ393" s="104"/>
      <c r="HUK393" s="104"/>
      <c r="HUL393" s="119"/>
      <c r="HUM393" s="104"/>
      <c r="HUN393" s="455"/>
      <c r="HUO393" s="104"/>
      <c r="HUP393" s="104"/>
      <c r="HUQ393" s="109"/>
      <c r="HUR393" s="104"/>
      <c r="HUS393" s="104"/>
      <c r="HUT393" s="119"/>
      <c r="HUU393" s="104"/>
      <c r="HUV393" s="455"/>
      <c r="HUW393" s="104"/>
      <c r="HUX393" s="104"/>
      <c r="HUY393" s="109"/>
      <c r="HUZ393" s="104"/>
      <c r="HVA393" s="104"/>
      <c r="HVB393" s="119"/>
      <c r="HVC393" s="104"/>
      <c r="HVD393" s="455"/>
      <c r="HVE393" s="104"/>
      <c r="HVF393" s="104"/>
      <c r="HVG393" s="109"/>
      <c r="HVH393" s="104"/>
      <c r="HVI393" s="104"/>
      <c r="HVJ393" s="119"/>
      <c r="HVK393" s="104"/>
      <c r="HVL393" s="455"/>
      <c r="HVM393" s="104"/>
      <c r="HVN393" s="104"/>
      <c r="HVO393" s="109"/>
      <c r="HVP393" s="104"/>
      <c r="HVQ393" s="104"/>
      <c r="HVR393" s="119"/>
      <c r="HVS393" s="104"/>
      <c r="HVT393" s="455"/>
      <c r="HVU393" s="104"/>
      <c r="HVV393" s="104"/>
      <c r="HVW393" s="109"/>
      <c r="HVX393" s="104"/>
      <c r="HVY393" s="104"/>
      <c r="HVZ393" s="119"/>
      <c r="HWA393" s="104"/>
      <c r="HWB393" s="455"/>
      <c r="HWC393" s="104"/>
      <c r="HWD393" s="104"/>
      <c r="HWE393" s="109"/>
      <c r="HWF393" s="104"/>
      <c r="HWG393" s="104"/>
      <c r="HWH393" s="119"/>
      <c r="HWI393" s="104"/>
      <c r="HWJ393" s="455"/>
      <c r="HWK393" s="104"/>
      <c r="HWL393" s="104"/>
      <c r="HWM393" s="109"/>
      <c r="HWN393" s="104"/>
      <c r="HWO393" s="104"/>
      <c r="HWP393" s="119"/>
      <c r="HWQ393" s="104"/>
      <c r="HWR393" s="455"/>
      <c r="HWS393" s="104"/>
      <c r="HWT393" s="104"/>
      <c r="HWU393" s="109"/>
      <c r="HWV393" s="104"/>
      <c r="HWW393" s="104"/>
      <c r="HWX393" s="119"/>
      <c r="HWY393" s="104"/>
      <c r="HWZ393" s="455"/>
      <c r="HXA393" s="104"/>
      <c r="HXB393" s="104"/>
      <c r="HXC393" s="109"/>
      <c r="HXD393" s="104"/>
      <c r="HXE393" s="104"/>
      <c r="HXF393" s="119"/>
      <c r="HXG393" s="104"/>
      <c r="HXH393" s="455"/>
      <c r="HXI393" s="104"/>
      <c r="HXJ393" s="104"/>
      <c r="HXK393" s="109"/>
      <c r="HXL393" s="104"/>
      <c r="HXM393" s="104"/>
      <c r="HXN393" s="119"/>
      <c r="HXO393" s="104"/>
      <c r="HXP393" s="455"/>
      <c r="HXQ393" s="104"/>
      <c r="HXR393" s="104"/>
      <c r="HXS393" s="109"/>
      <c r="HXT393" s="104"/>
      <c r="HXU393" s="104"/>
      <c r="HXV393" s="119"/>
      <c r="HXW393" s="104"/>
      <c r="HXX393" s="455"/>
      <c r="HXY393" s="104"/>
      <c r="HXZ393" s="104"/>
      <c r="HYA393" s="109"/>
      <c r="HYB393" s="104"/>
      <c r="HYC393" s="104"/>
      <c r="HYD393" s="119"/>
      <c r="HYE393" s="104"/>
      <c r="HYF393" s="455"/>
      <c r="HYG393" s="104"/>
      <c r="HYH393" s="104"/>
      <c r="HYI393" s="109"/>
      <c r="HYJ393" s="104"/>
      <c r="HYK393" s="104"/>
      <c r="HYL393" s="119"/>
      <c r="HYM393" s="104"/>
      <c r="HYN393" s="455"/>
      <c r="HYO393" s="104"/>
      <c r="HYP393" s="104"/>
      <c r="HYQ393" s="109"/>
      <c r="HYR393" s="104"/>
      <c r="HYS393" s="104"/>
      <c r="HYT393" s="119"/>
      <c r="HYU393" s="104"/>
      <c r="HYV393" s="455"/>
      <c r="HYW393" s="104"/>
      <c r="HYX393" s="104"/>
      <c r="HYY393" s="109"/>
      <c r="HYZ393" s="104"/>
      <c r="HZA393" s="104"/>
      <c r="HZB393" s="119"/>
      <c r="HZC393" s="104"/>
      <c r="HZD393" s="455"/>
      <c r="HZE393" s="104"/>
      <c r="HZF393" s="104"/>
      <c r="HZG393" s="109"/>
      <c r="HZH393" s="104"/>
      <c r="HZI393" s="104"/>
      <c r="HZJ393" s="119"/>
      <c r="HZK393" s="104"/>
      <c r="HZL393" s="455"/>
      <c r="HZM393" s="104"/>
      <c r="HZN393" s="104"/>
      <c r="HZO393" s="109"/>
      <c r="HZP393" s="104"/>
      <c r="HZQ393" s="104"/>
      <c r="HZR393" s="119"/>
      <c r="HZS393" s="104"/>
      <c r="HZT393" s="455"/>
      <c r="HZU393" s="104"/>
      <c r="HZV393" s="104"/>
      <c r="HZW393" s="109"/>
      <c r="HZX393" s="104"/>
      <c r="HZY393" s="104"/>
      <c r="HZZ393" s="119"/>
      <c r="IAA393" s="104"/>
      <c r="IAB393" s="455"/>
      <c r="IAC393" s="104"/>
      <c r="IAD393" s="104"/>
      <c r="IAE393" s="109"/>
      <c r="IAF393" s="104"/>
      <c r="IAG393" s="104"/>
      <c r="IAH393" s="119"/>
      <c r="IAI393" s="104"/>
      <c r="IAJ393" s="455"/>
      <c r="IAK393" s="104"/>
      <c r="IAL393" s="104"/>
      <c r="IAM393" s="109"/>
      <c r="IAN393" s="104"/>
      <c r="IAO393" s="104"/>
      <c r="IAP393" s="119"/>
      <c r="IAQ393" s="104"/>
      <c r="IAR393" s="455"/>
      <c r="IAS393" s="104"/>
      <c r="IAT393" s="104"/>
      <c r="IAU393" s="109"/>
      <c r="IAV393" s="104"/>
      <c r="IAW393" s="104"/>
      <c r="IAX393" s="119"/>
      <c r="IAY393" s="104"/>
      <c r="IAZ393" s="455"/>
      <c r="IBA393" s="104"/>
      <c r="IBB393" s="104"/>
      <c r="IBC393" s="109"/>
      <c r="IBD393" s="104"/>
      <c r="IBE393" s="104"/>
      <c r="IBF393" s="119"/>
      <c r="IBG393" s="104"/>
      <c r="IBH393" s="455"/>
      <c r="IBI393" s="104"/>
      <c r="IBJ393" s="104"/>
      <c r="IBK393" s="109"/>
      <c r="IBL393" s="104"/>
      <c r="IBM393" s="104"/>
      <c r="IBN393" s="119"/>
      <c r="IBO393" s="104"/>
      <c r="IBP393" s="455"/>
      <c r="IBQ393" s="104"/>
      <c r="IBR393" s="104"/>
      <c r="IBS393" s="109"/>
      <c r="IBT393" s="104"/>
      <c r="IBU393" s="104"/>
      <c r="IBV393" s="119"/>
      <c r="IBW393" s="104"/>
      <c r="IBX393" s="455"/>
      <c r="IBY393" s="104"/>
      <c r="IBZ393" s="104"/>
      <c r="ICA393" s="109"/>
      <c r="ICB393" s="104"/>
      <c r="ICC393" s="104"/>
      <c r="ICD393" s="119"/>
      <c r="ICE393" s="104"/>
      <c r="ICF393" s="455"/>
      <c r="ICG393" s="104"/>
      <c r="ICH393" s="104"/>
      <c r="ICI393" s="109"/>
      <c r="ICJ393" s="104"/>
      <c r="ICK393" s="104"/>
      <c r="ICL393" s="119"/>
      <c r="ICM393" s="104"/>
      <c r="ICN393" s="455"/>
      <c r="ICO393" s="104"/>
      <c r="ICP393" s="104"/>
      <c r="ICQ393" s="109"/>
      <c r="ICR393" s="104"/>
      <c r="ICS393" s="104"/>
      <c r="ICT393" s="119"/>
      <c r="ICU393" s="104"/>
      <c r="ICV393" s="455"/>
      <c r="ICW393" s="104"/>
      <c r="ICX393" s="104"/>
      <c r="ICY393" s="109"/>
      <c r="ICZ393" s="104"/>
      <c r="IDA393" s="104"/>
      <c r="IDB393" s="119"/>
      <c r="IDC393" s="104"/>
      <c r="IDD393" s="455"/>
      <c r="IDE393" s="104"/>
      <c r="IDF393" s="104"/>
      <c r="IDG393" s="109"/>
      <c r="IDH393" s="104"/>
      <c r="IDI393" s="104"/>
      <c r="IDJ393" s="119"/>
      <c r="IDK393" s="104"/>
      <c r="IDL393" s="455"/>
      <c r="IDM393" s="104"/>
      <c r="IDN393" s="104"/>
      <c r="IDO393" s="109"/>
      <c r="IDP393" s="104"/>
      <c r="IDQ393" s="104"/>
      <c r="IDR393" s="119"/>
      <c r="IDS393" s="104"/>
      <c r="IDT393" s="455"/>
      <c r="IDU393" s="104"/>
      <c r="IDV393" s="104"/>
      <c r="IDW393" s="109"/>
      <c r="IDX393" s="104"/>
      <c r="IDY393" s="104"/>
      <c r="IDZ393" s="119"/>
      <c r="IEA393" s="104"/>
      <c r="IEB393" s="455"/>
      <c r="IEC393" s="104"/>
      <c r="IED393" s="104"/>
      <c r="IEE393" s="109"/>
      <c r="IEF393" s="104"/>
      <c r="IEG393" s="104"/>
      <c r="IEH393" s="119"/>
      <c r="IEI393" s="104"/>
      <c r="IEJ393" s="455"/>
      <c r="IEK393" s="104"/>
      <c r="IEL393" s="104"/>
      <c r="IEM393" s="109"/>
      <c r="IEN393" s="104"/>
      <c r="IEO393" s="104"/>
      <c r="IEP393" s="119"/>
      <c r="IEQ393" s="104"/>
      <c r="IER393" s="455"/>
      <c r="IES393" s="104"/>
      <c r="IET393" s="104"/>
      <c r="IEU393" s="109"/>
      <c r="IEV393" s="104"/>
      <c r="IEW393" s="104"/>
      <c r="IEX393" s="119"/>
      <c r="IEY393" s="104"/>
      <c r="IEZ393" s="455"/>
      <c r="IFA393" s="104"/>
      <c r="IFB393" s="104"/>
      <c r="IFC393" s="109"/>
      <c r="IFD393" s="104"/>
      <c r="IFE393" s="104"/>
      <c r="IFF393" s="119"/>
      <c r="IFG393" s="104"/>
      <c r="IFH393" s="455"/>
      <c r="IFI393" s="104"/>
      <c r="IFJ393" s="104"/>
      <c r="IFK393" s="109"/>
      <c r="IFL393" s="104"/>
      <c r="IFM393" s="104"/>
      <c r="IFN393" s="119"/>
      <c r="IFO393" s="104"/>
      <c r="IFP393" s="455"/>
      <c r="IFQ393" s="104"/>
      <c r="IFR393" s="104"/>
      <c r="IFS393" s="109"/>
      <c r="IFT393" s="104"/>
      <c r="IFU393" s="104"/>
      <c r="IFV393" s="119"/>
      <c r="IFW393" s="104"/>
      <c r="IFX393" s="455"/>
      <c r="IFY393" s="104"/>
      <c r="IFZ393" s="104"/>
      <c r="IGA393" s="109"/>
      <c r="IGB393" s="104"/>
      <c r="IGC393" s="104"/>
      <c r="IGD393" s="119"/>
      <c r="IGE393" s="104"/>
      <c r="IGF393" s="455"/>
      <c r="IGG393" s="104"/>
      <c r="IGH393" s="104"/>
      <c r="IGI393" s="109"/>
      <c r="IGJ393" s="104"/>
      <c r="IGK393" s="104"/>
      <c r="IGL393" s="119"/>
      <c r="IGM393" s="104"/>
      <c r="IGN393" s="455"/>
      <c r="IGO393" s="104"/>
      <c r="IGP393" s="104"/>
      <c r="IGQ393" s="109"/>
      <c r="IGR393" s="104"/>
      <c r="IGS393" s="104"/>
      <c r="IGT393" s="119"/>
      <c r="IGU393" s="104"/>
      <c r="IGV393" s="455"/>
      <c r="IGW393" s="104"/>
      <c r="IGX393" s="104"/>
      <c r="IGY393" s="109"/>
      <c r="IGZ393" s="104"/>
      <c r="IHA393" s="104"/>
      <c r="IHB393" s="119"/>
      <c r="IHC393" s="104"/>
      <c r="IHD393" s="455"/>
      <c r="IHE393" s="104"/>
      <c r="IHF393" s="104"/>
      <c r="IHG393" s="109"/>
      <c r="IHH393" s="104"/>
      <c r="IHI393" s="104"/>
      <c r="IHJ393" s="119"/>
      <c r="IHK393" s="104"/>
      <c r="IHL393" s="455"/>
      <c r="IHM393" s="104"/>
      <c r="IHN393" s="104"/>
      <c r="IHO393" s="109"/>
      <c r="IHP393" s="104"/>
      <c r="IHQ393" s="104"/>
      <c r="IHR393" s="119"/>
      <c r="IHS393" s="104"/>
      <c r="IHT393" s="455"/>
      <c r="IHU393" s="104"/>
      <c r="IHV393" s="104"/>
      <c r="IHW393" s="109"/>
      <c r="IHX393" s="104"/>
      <c r="IHY393" s="104"/>
      <c r="IHZ393" s="119"/>
      <c r="IIA393" s="104"/>
      <c r="IIB393" s="455"/>
      <c r="IIC393" s="104"/>
      <c r="IID393" s="104"/>
      <c r="IIE393" s="109"/>
      <c r="IIF393" s="104"/>
      <c r="IIG393" s="104"/>
      <c r="IIH393" s="119"/>
      <c r="III393" s="104"/>
      <c r="IIJ393" s="455"/>
      <c r="IIK393" s="104"/>
      <c r="IIL393" s="104"/>
      <c r="IIM393" s="109"/>
      <c r="IIN393" s="104"/>
      <c r="IIO393" s="104"/>
      <c r="IIP393" s="119"/>
      <c r="IIQ393" s="104"/>
      <c r="IIR393" s="455"/>
      <c r="IIS393" s="104"/>
      <c r="IIT393" s="104"/>
      <c r="IIU393" s="109"/>
      <c r="IIV393" s="104"/>
      <c r="IIW393" s="104"/>
      <c r="IIX393" s="119"/>
      <c r="IIY393" s="104"/>
      <c r="IIZ393" s="455"/>
      <c r="IJA393" s="104"/>
      <c r="IJB393" s="104"/>
      <c r="IJC393" s="109"/>
      <c r="IJD393" s="104"/>
      <c r="IJE393" s="104"/>
      <c r="IJF393" s="119"/>
      <c r="IJG393" s="104"/>
      <c r="IJH393" s="455"/>
      <c r="IJI393" s="104"/>
      <c r="IJJ393" s="104"/>
      <c r="IJK393" s="109"/>
      <c r="IJL393" s="104"/>
      <c r="IJM393" s="104"/>
      <c r="IJN393" s="119"/>
      <c r="IJO393" s="104"/>
      <c r="IJP393" s="455"/>
      <c r="IJQ393" s="104"/>
      <c r="IJR393" s="104"/>
      <c r="IJS393" s="109"/>
      <c r="IJT393" s="104"/>
      <c r="IJU393" s="104"/>
      <c r="IJV393" s="119"/>
      <c r="IJW393" s="104"/>
      <c r="IJX393" s="455"/>
      <c r="IJY393" s="104"/>
      <c r="IJZ393" s="104"/>
      <c r="IKA393" s="109"/>
      <c r="IKB393" s="104"/>
      <c r="IKC393" s="104"/>
      <c r="IKD393" s="119"/>
      <c r="IKE393" s="104"/>
      <c r="IKF393" s="455"/>
      <c r="IKG393" s="104"/>
      <c r="IKH393" s="104"/>
      <c r="IKI393" s="109"/>
      <c r="IKJ393" s="104"/>
      <c r="IKK393" s="104"/>
      <c r="IKL393" s="119"/>
      <c r="IKM393" s="104"/>
      <c r="IKN393" s="455"/>
      <c r="IKO393" s="104"/>
      <c r="IKP393" s="104"/>
      <c r="IKQ393" s="109"/>
      <c r="IKR393" s="104"/>
      <c r="IKS393" s="104"/>
      <c r="IKT393" s="119"/>
      <c r="IKU393" s="104"/>
      <c r="IKV393" s="455"/>
      <c r="IKW393" s="104"/>
      <c r="IKX393" s="104"/>
      <c r="IKY393" s="109"/>
      <c r="IKZ393" s="104"/>
      <c r="ILA393" s="104"/>
      <c r="ILB393" s="119"/>
      <c r="ILC393" s="104"/>
      <c r="ILD393" s="455"/>
      <c r="ILE393" s="104"/>
      <c r="ILF393" s="104"/>
      <c r="ILG393" s="109"/>
      <c r="ILH393" s="104"/>
      <c r="ILI393" s="104"/>
      <c r="ILJ393" s="119"/>
      <c r="ILK393" s="104"/>
      <c r="ILL393" s="455"/>
      <c r="ILM393" s="104"/>
      <c r="ILN393" s="104"/>
      <c r="ILO393" s="109"/>
      <c r="ILP393" s="104"/>
      <c r="ILQ393" s="104"/>
      <c r="ILR393" s="119"/>
      <c r="ILS393" s="104"/>
      <c r="ILT393" s="455"/>
      <c r="ILU393" s="104"/>
      <c r="ILV393" s="104"/>
      <c r="ILW393" s="109"/>
      <c r="ILX393" s="104"/>
      <c r="ILY393" s="104"/>
      <c r="ILZ393" s="119"/>
      <c r="IMA393" s="104"/>
      <c r="IMB393" s="455"/>
      <c r="IMC393" s="104"/>
      <c r="IMD393" s="104"/>
      <c r="IME393" s="109"/>
      <c r="IMF393" s="104"/>
      <c r="IMG393" s="104"/>
      <c r="IMH393" s="119"/>
      <c r="IMI393" s="104"/>
      <c r="IMJ393" s="455"/>
      <c r="IMK393" s="104"/>
      <c r="IML393" s="104"/>
      <c r="IMM393" s="109"/>
      <c r="IMN393" s="104"/>
      <c r="IMO393" s="104"/>
      <c r="IMP393" s="119"/>
      <c r="IMQ393" s="104"/>
      <c r="IMR393" s="455"/>
      <c r="IMS393" s="104"/>
      <c r="IMT393" s="104"/>
      <c r="IMU393" s="109"/>
      <c r="IMV393" s="104"/>
      <c r="IMW393" s="104"/>
      <c r="IMX393" s="119"/>
      <c r="IMY393" s="104"/>
      <c r="IMZ393" s="455"/>
      <c r="INA393" s="104"/>
      <c r="INB393" s="104"/>
      <c r="INC393" s="109"/>
      <c r="IND393" s="104"/>
      <c r="INE393" s="104"/>
      <c r="INF393" s="119"/>
      <c r="ING393" s="104"/>
      <c r="INH393" s="455"/>
      <c r="INI393" s="104"/>
      <c r="INJ393" s="104"/>
      <c r="INK393" s="109"/>
      <c r="INL393" s="104"/>
      <c r="INM393" s="104"/>
      <c r="INN393" s="119"/>
      <c r="INO393" s="104"/>
      <c r="INP393" s="455"/>
      <c r="INQ393" s="104"/>
      <c r="INR393" s="104"/>
      <c r="INS393" s="109"/>
      <c r="INT393" s="104"/>
      <c r="INU393" s="104"/>
      <c r="INV393" s="119"/>
      <c r="INW393" s="104"/>
      <c r="INX393" s="455"/>
      <c r="INY393" s="104"/>
      <c r="INZ393" s="104"/>
      <c r="IOA393" s="109"/>
      <c r="IOB393" s="104"/>
      <c r="IOC393" s="104"/>
      <c r="IOD393" s="119"/>
      <c r="IOE393" s="104"/>
      <c r="IOF393" s="455"/>
      <c r="IOG393" s="104"/>
      <c r="IOH393" s="104"/>
      <c r="IOI393" s="109"/>
      <c r="IOJ393" s="104"/>
      <c r="IOK393" s="104"/>
      <c r="IOL393" s="119"/>
      <c r="IOM393" s="104"/>
      <c r="ION393" s="455"/>
      <c r="IOO393" s="104"/>
      <c r="IOP393" s="104"/>
      <c r="IOQ393" s="109"/>
      <c r="IOR393" s="104"/>
      <c r="IOS393" s="104"/>
      <c r="IOT393" s="119"/>
      <c r="IOU393" s="104"/>
      <c r="IOV393" s="455"/>
      <c r="IOW393" s="104"/>
      <c r="IOX393" s="104"/>
      <c r="IOY393" s="109"/>
      <c r="IOZ393" s="104"/>
      <c r="IPA393" s="104"/>
      <c r="IPB393" s="119"/>
      <c r="IPC393" s="104"/>
      <c r="IPD393" s="455"/>
      <c r="IPE393" s="104"/>
      <c r="IPF393" s="104"/>
      <c r="IPG393" s="109"/>
      <c r="IPH393" s="104"/>
      <c r="IPI393" s="104"/>
      <c r="IPJ393" s="119"/>
      <c r="IPK393" s="104"/>
      <c r="IPL393" s="455"/>
      <c r="IPM393" s="104"/>
      <c r="IPN393" s="104"/>
      <c r="IPO393" s="109"/>
      <c r="IPP393" s="104"/>
      <c r="IPQ393" s="104"/>
      <c r="IPR393" s="119"/>
      <c r="IPS393" s="104"/>
      <c r="IPT393" s="455"/>
      <c r="IPU393" s="104"/>
      <c r="IPV393" s="104"/>
      <c r="IPW393" s="109"/>
      <c r="IPX393" s="104"/>
      <c r="IPY393" s="104"/>
      <c r="IPZ393" s="119"/>
      <c r="IQA393" s="104"/>
      <c r="IQB393" s="455"/>
      <c r="IQC393" s="104"/>
      <c r="IQD393" s="104"/>
      <c r="IQE393" s="109"/>
      <c r="IQF393" s="104"/>
      <c r="IQG393" s="104"/>
      <c r="IQH393" s="119"/>
      <c r="IQI393" s="104"/>
      <c r="IQJ393" s="455"/>
      <c r="IQK393" s="104"/>
      <c r="IQL393" s="104"/>
      <c r="IQM393" s="109"/>
      <c r="IQN393" s="104"/>
      <c r="IQO393" s="104"/>
      <c r="IQP393" s="119"/>
      <c r="IQQ393" s="104"/>
      <c r="IQR393" s="455"/>
      <c r="IQS393" s="104"/>
      <c r="IQT393" s="104"/>
      <c r="IQU393" s="109"/>
      <c r="IQV393" s="104"/>
      <c r="IQW393" s="104"/>
      <c r="IQX393" s="119"/>
      <c r="IQY393" s="104"/>
      <c r="IQZ393" s="455"/>
      <c r="IRA393" s="104"/>
      <c r="IRB393" s="104"/>
      <c r="IRC393" s="109"/>
      <c r="IRD393" s="104"/>
      <c r="IRE393" s="104"/>
      <c r="IRF393" s="119"/>
      <c r="IRG393" s="104"/>
      <c r="IRH393" s="455"/>
      <c r="IRI393" s="104"/>
      <c r="IRJ393" s="104"/>
      <c r="IRK393" s="109"/>
      <c r="IRL393" s="104"/>
      <c r="IRM393" s="104"/>
      <c r="IRN393" s="119"/>
      <c r="IRO393" s="104"/>
      <c r="IRP393" s="455"/>
      <c r="IRQ393" s="104"/>
      <c r="IRR393" s="104"/>
      <c r="IRS393" s="109"/>
      <c r="IRT393" s="104"/>
      <c r="IRU393" s="104"/>
      <c r="IRV393" s="119"/>
      <c r="IRW393" s="104"/>
      <c r="IRX393" s="455"/>
      <c r="IRY393" s="104"/>
      <c r="IRZ393" s="104"/>
      <c r="ISA393" s="109"/>
      <c r="ISB393" s="104"/>
      <c r="ISC393" s="104"/>
      <c r="ISD393" s="119"/>
      <c r="ISE393" s="104"/>
      <c r="ISF393" s="455"/>
      <c r="ISG393" s="104"/>
      <c r="ISH393" s="104"/>
      <c r="ISI393" s="109"/>
      <c r="ISJ393" s="104"/>
      <c r="ISK393" s="104"/>
      <c r="ISL393" s="119"/>
      <c r="ISM393" s="104"/>
      <c r="ISN393" s="455"/>
      <c r="ISO393" s="104"/>
      <c r="ISP393" s="104"/>
      <c r="ISQ393" s="109"/>
      <c r="ISR393" s="104"/>
      <c r="ISS393" s="104"/>
      <c r="IST393" s="119"/>
      <c r="ISU393" s="104"/>
      <c r="ISV393" s="455"/>
      <c r="ISW393" s="104"/>
      <c r="ISX393" s="104"/>
      <c r="ISY393" s="109"/>
      <c r="ISZ393" s="104"/>
      <c r="ITA393" s="104"/>
      <c r="ITB393" s="119"/>
      <c r="ITC393" s="104"/>
      <c r="ITD393" s="455"/>
      <c r="ITE393" s="104"/>
      <c r="ITF393" s="104"/>
      <c r="ITG393" s="109"/>
      <c r="ITH393" s="104"/>
      <c r="ITI393" s="104"/>
      <c r="ITJ393" s="119"/>
      <c r="ITK393" s="104"/>
      <c r="ITL393" s="455"/>
      <c r="ITM393" s="104"/>
      <c r="ITN393" s="104"/>
      <c r="ITO393" s="109"/>
      <c r="ITP393" s="104"/>
      <c r="ITQ393" s="104"/>
      <c r="ITR393" s="119"/>
      <c r="ITS393" s="104"/>
      <c r="ITT393" s="455"/>
      <c r="ITU393" s="104"/>
      <c r="ITV393" s="104"/>
      <c r="ITW393" s="109"/>
      <c r="ITX393" s="104"/>
      <c r="ITY393" s="104"/>
      <c r="ITZ393" s="119"/>
      <c r="IUA393" s="104"/>
      <c r="IUB393" s="455"/>
      <c r="IUC393" s="104"/>
      <c r="IUD393" s="104"/>
      <c r="IUE393" s="109"/>
      <c r="IUF393" s="104"/>
      <c r="IUG393" s="104"/>
      <c r="IUH393" s="119"/>
      <c r="IUI393" s="104"/>
      <c r="IUJ393" s="455"/>
      <c r="IUK393" s="104"/>
      <c r="IUL393" s="104"/>
      <c r="IUM393" s="109"/>
      <c r="IUN393" s="104"/>
      <c r="IUO393" s="104"/>
      <c r="IUP393" s="119"/>
      <c r="IUQ393" s="104"/>
      <c r="IUR393" s="455"/>
      <c r="IUS393" s="104"/>
      <c r="IUT393" s="104"/>
      <c r="IUU393" s="109"/>
      <c r="IUV393" s="104"/>
      <c r="IUW393" s="104"/>
      <c r="IUX393" s="119"/>
      <c r="IUY393" s="104"/>
      <c r="IUZ393" s="455"/>
      <c r="IVA393" s="104"/>
      <c r="IVB393" s="104"/>
      <c r="IVC393" s="109"/>
      <c r="IVD393" s="104"/>
      <c r="IVE393" s="104"/>
      <c r="IVF393" s="119"/>
      <c r="IVG393" s="104"/>
      <c r="IVH393" s="455"/>
      <c r="IVI393" s="104"/>
      <c r="IVJ393" s="104"/>
      <c r="IVK393" s="109"/>
      <c r="IVL393" s="104"/>
      <c r="IVM393" s="104"/>
      <c r="IVN393" s="119"/>
      <c r="IVO393" s="104"/>
      <c r="IVP393" s="455"/>
      <c r="IVQ393" s="104"/>
      <c r="IVR393" s="104"/>
      <c r="IVS393" s="109"/>
      <c r="IVT393" s="104"/>
      <c r="IVU393" s="104"/>
      <c r="IVV393" s="119"/>
      <c r="IVW393" s="104"/>
      <c r="IVX393" s="455"/>
      <c r="IVY393" s="104"/>
      <c r="IVZ393" s="104"/>
      <c r="IWA393" s="109"/>
      <c r="IWB393" s="104"/>
      <c r="IWC393" s="104"/>
      <c r="IWD393" s="119"/>
      <c r="IWE393" s="104"/>
      <c r="IWF393" s="455"/>
      <c r="IWG393" s="104"/>
      <c r="IWH393" s="104"/>
      <c r="IWI393" s="109"/>
      <c r="IWJ393" s="104"/>
      <c r="IWK393" s="104"/>
      <c r="IWL393" s="119"/>
      <c r="IWM393" s="104"/>
      <c r="IWN393" s="455"/>
      <c r="IWO393" s="104"/>
      <c r="IWP393" s="104"/>
      <c r="IWQ393" s="109"/>
      <c r="IWR393" s="104"/>
      <c r="IWS393" s="104"/>
      <c r="IWT393" s="119"/>
      <c r="IWU393" s="104"/>
      <c r="IWV393" s="455"/>
      <c r="IWW393" s="104"/>
      <c r="IWX393" s="104"/>
      <c r="IWY393" s="109"/>
      <c r="IWZ393" s="104"/>
      <c r="IXA393" s="104"/>
      <c r="IXB393" s="119"/>
      <c r="IXC393" s="104"/>
      <c r="IXD393" s="455"/>
      <c r="IXE393" s="104"/>
      <c r="IXF393" s="104"/>
      <c r="IXG393" s="109"/>
      <c r="IXH393" s="104"/>
      <c r="IXI393" s="104"/>
      <c r="IXJ393" s="119"/>
      <c r="IXK393" s="104"/>
      <c r="IXL393" s="455"/>
      <c r="IXM393" s="104"/>
      <c r="IXN393" s="104"/>
      <c r="IXO393" s="109"/>
      <c r="IXP393" s="104"/>
      <c r="IXQ393" s="104"/>
      <c r="IXR393" s="119"/>
      <c r="IXS393" s="104"/>
      <c r="IXT393" s="455"/>
      <c r="IXU393" s="104"/>
      <c r="IXV393" s="104"/>
      <c r="IXW393" s="109"/>
      <c r="IXX393" s="104"/>
      <c r="IXY393" s="104"/>
      <c r="IXZ393" s="119"/>
      <c r="IYA393" s="104"/>
      <c r="IYB393" s="455"/>
      <c r="IYC393" s="104"/>
      <c r="IYD393" s="104"/>
      <c r="IYE393" s="109"/>
      <c r="IYF393" s="104"/>
      <c r="IYG393" s="104"/>
      <c r="IYH393" s="119"/>
      <c r="IYI393" s="104"/>
      <c r="IYJ393" s="455"/>
      <c r="IYK393" s="104"/>
      <c r="IYL393" s="104"/>
      <c r="IYM393" s="109"/>
      <c r="IYN393" s="104"/>
      <c r="IYO393" s="104"/>
      <c r="IYP393" s="119"/>
      <c r="IYQ393" s="104"/>
      <c r="IYR393" s="455"/>
      <c r="IYS393" s="104"/>
      <c r="IYT393" s="104"/>
      <c r="IYU393" s="109"/>
      <c r="IYV393" s="104"/>
      <c r="IYW393" s="104"/>
      <c r="IYX393" s="119"/>
      <c r="IYY393" s="104"/>
      <c r="IYZ393" s="455"/>
      <c r="IZA393" s="104"/>
      <c r="IZB393" s="104"/>
      <c r="IZC393" s="109"/>
      <c r="IZD393" s="104"/>
      <c r="IZE393" s="104"/>
      <c r="IZF393" s="119"/>
      <c r="IZG393" s="104"/>
      <c r="IZH393" s="455"/>
      <c r="IZI393" s="104"/>
      <c r="IZJ393" s="104"/>
      <c r="IZK393" s="109"/>
      <c r="IZL393" s="104"/>
      <c r="IZM393" s="104"/>
      <c r="IZN393" s="119"/>
      <c r="IZO393" s="104"/>
      <c r="IZP393" s="455"/>
      <c r="IZQ393" s="104"/>
      <c r="IZR393" s="104"/>
      <c r="IZS393" s="109"/>
      <c r="IZT393" s="104"/>
      <c r="IZU393" s="104"/>
      <c r="IZV393" s="119"/>
      <c r="IZW393" s="104"/>
      <c r="IZX393" s="455"/>
      <c r="IZY393" s="104"/>
      <c r="IZZ393" s="104"/>
      <c r="JAA393" s="109"/>
      <c r="JAB393" s="104"/>
      <c r="JAC393" s="104"/>
      <c r="JAD393" s="119"/>
      <c r="JAE393" s="104"/>
      <c r="JAF393" s="455"/>
      <c r="JAG393" s="104"/>
      <c r="JAH393" s="104"/>
      <c r="JAI393" s="109"/>
      <c r="JAJ393" s="104"/>
      <c r="JAK393" s="104"/>
      <c r="JAL393" s="119"/>
      <c r="JAM393" s="104"/>
      <c r="JAN393" s="455"/>
      <c r="JAO393" s="104"/>
      <c r="JAP393" s="104"/>
      <c r="JAQ393" s="109"/>
      <c r="JAR393" s="104"/>
      <c r="JAS393" s="104"/>
      <c r="JAT393" s="119"/>
      <c r="JAU393" s="104"/>
      <c r="JAV393" s="455"/>
      <c r="JAW393" s="104"/>
      <c r="JAX393" s="104"/>
      <c r="JAY393" s="109"/>
      <c r="JAZ393" s="104"/>
      <c r="JBA393" s="104"/>
      <c r="JBB393" s="119"/>
      <c r="JBC393" s="104"/>
      <c r="JBD393" s="455"/>
      <c r="JBE393" s="104"/>
      <c r="JBF393" s="104"/>
      <c r="JBG393" s="109"/>
      <c r="JBH393" s="104"/>
      <c r="JBI393" s="104"/>
      <c r="JBJ393" s="119"/>
      <c r="JBK393" s="104"/>
      <c r="JBL393" s="455"/>
      <c r="JBM393" s="104"/>
      <c r="JBN393" s="104"/>
      <c r="JBO393" s="109"/>
      <c r="JBP393" s="104"/>
      <c r="JBQ393" s="104"/>
      <c r="JBR393" s="119"/>
      <c r="JBS393" s="104"/>
      <c r="JBT393" s="455"/>
      <c r="JBU393" s="104"/>
      <c r="JBV393" s="104"/>
      <c r="JBW393" s="109"/>
      <c r="JBX393" s="104"/>
      <c r="JBY393" s="104"/>
      <c r="JBZ393" s="119"/>
      <c r="JCA393" s="104"/>
      <c r="JCB393" s="455"/>
      <c r="JCC393" s="104"/>
      <c r="JCD393" s="104"/>
      <c r="JCE393" s="109"/>
      <c r="JCF393" s="104"/>
      <c r="JCG393" s="104"/>
      <c r="JCH393" s="119"/>
      <c r="JCI393" s="104"/>
      <c r="JCJ393" s="455"/>
      <c r="JCK393" s="104"/>
      <c r="JCL393" s="104"/>
      <c r="JCM393" s="109"/>
      <c r="JCN393" s="104"/>
      <c r="JCO393" s="104"/>
      <c r="JCP393" s="119"/>
      <c r="JCQ393" s="104"/>
      <c r="JCR393" s="455"/>
      <c r="JCS393" s="104"/>
      <c r="JCT393" s="104"/>
      <c r="JCU393" s="109"/>
      <c r="JCV393" s="104"/>
      <c r="JCW393" s="104"/>
      <c r="JCX393" s="119"/>
      <c r="JCY393" s="104"/>
      <c r="JCZ393" s="455"/>
      <c r="JDA393" s="104"/>
      <c r="JDB393" s="104"/>
      <c r="JDC393" s="109"/>
      <c r="JDD393" s="104"/>
      <c r="JDE393" s="104"/>
      <c r="JDF393" s="119"/>
      <c r="JDG393" s="104"/>
      <c r="JDH393" s="455"/>
      <c r="JDI393" s="104"/>
      <c r="JDJ393" s="104"/>
      <c r="JDK393" s="109"/>
      <c r="JDL393" s="104"/>
      <c r="JDM393" s="104"/>
      <c r="JDN393" s="119"/>
      <c r="JDO393" s="104"/>
      <c r="JDP393" s="455"/>
      <c r="JDQ393" s="104"/>
      <c r="JDR393" s="104"/>
      <c r="JDS393" s="109"/>
      <c r="JDT393" s="104"/>
      <c r="JDU393" s="104"/>
      <c r="JDV393" s="119"/>
      <c r="JDW393" s="104"/>
      <c r="JDX393" s="455"/>
      <c r="JDY393" s="104"/>
      <c r="JDZ393" s="104"/>
      <c r="JEA393" s="109"/>
      <c r="JEB393" s="104"/>
      <c r="JEC393" s="104"/>
      <c r="JED393" s="119"/>
      <c r="JEE393" s="104"/>
      <c r="JEF393" s="455"/>
      <c r="JEG393" s="104"/>
      <c r="JEH393" s="104"/>
      <c r="JEI393" s="109"/>
      <c r="JEJ393" s="104"/>
      <c r="JEK393" s="104"/>
      <c r="JEL393" s="119"/>
      <c r="JEM393" s="104"/>
      <c r="JEN393" s="455"/>
      <c r="JEO393" s="104"/>
      <c r="JEP393" s="104"/>
      <c r="JEQ393" s="109"/>
      <c r="JER393" s="104"/>
      <c r="JES393" s="104"/>
      <c r="JET393" s="119"/>
      <c r="JEU393" s="104"/>
      <c r="JEV393" s="455"/>
      <c r="JEW393" s="104"/>
      <c r="JEX393" s="104"/>
      <c r="JEY393" s="109"/>
      <c r="JEZ393" s="104"/>
      <c r="JFA393" s="104"/>
      <c r="JFB393" s="119"/>
      <c r="JFC393" s="104"/>
      <c r="JFD393" s="455"/>
      <c r="JFE393" s="104"/>
      <c r="JFF393" s="104"/>
      <c r="JFG393" s="109"/>
      <c r="JFH393" s="104"/>
      <c r="JFI393" s="104"/>
      <c r="JFJ393" s="119"/>
      <c r="JFK393" s="104"/>
      <c r="JFL393" s="455"/>
      <c r="JFM393" s="104"/>
      <c r="JFN393" s="104"/>
      <c r="JFO393" s="109"/>
      <c r="JFP393" s="104"/>
      <c r="JFQ393" s="104"/>
      <c r="JFR393" s="119"/>
      <c r="JFS393" s="104"/>
      <c r="JFT393" s="455"/>
      <c r="JFU393" s="104"/>
      <c r="JFV393" s="104"/>
      <c r="JFW393" s="109"/>
      <c r="JFX393" s="104"/>
      <c r="JFY393" s="104"/>
      <c r="JFZ393" s="119"/>
      <c r="JGA393" s="104"/>
      <c r="JGB393" s="455"/>
      <c r="JGC393" s="104"/>
      <c r="JGD393" s="104"/>
      <c r="JGE393" s="109"/>
      <c r="JGF393" s="104"/>
      <c r="JGG393" s="104"/>
      <c r="JGH393" s="119"/>
      <c r="JGI393" s="104"/>
      <c r="JGJ393" s="455"/>
      <c r="JGK393" s="104"/>
      <c r="JGL393" s="104"/>
      <c r="JGM393" s="109"/>
      <c r="JGN393" s="104"/>
      <c r="JGO393" s="104"/>
      <c r="JGP393" s="119"/>
      <c r="JGQ393" s="104"/>
      <c r="JGR393" s="455"/>
      <c r="JGS393" s="104"/>
      <c r="JGT393" s="104"/>
      <c r="JGU393" s="109"/>
      <c r="JGV393" s="104"/>
      <c r="JGW393" s="104"/>
      <c r="JGX393" s="119"/>
      <c r="JGY393" s="104"/>
      <c r="JGZ393" s="455"/>
      <c r="JHA393" s="104"/>
      <c r="JHB393" s="104"/>
      <c r="JHC393" s="109"/>
      <c r="JHD393" s="104"/>
      <c r="JHE393" s="104"/>
      <c r="JHF393" s="119"/>
      <c r="JHG393" s="104"/>
      <c r="JHH393" s="455"/>
      <c r="JHI393" s="104"/>
      <c r="JHJ393" s="104"/>
      <c r="JHK393" s="109"/>
      <c r="JHL393" s="104"/>
      <c r="JHM393" s="104"/>
      <c r="JHN393" s="119"/>
      <c r="JHO393" s="104"/>
      <c r="JHP393" s="455"/>
      <c r="JHQ393" s="104"/>
      <c r="JHR393" s="104"/>
      <c r="JHS393" s="109"/>
      <c r="JHT393" s="104"/>
      <c r="JHU393" s="104"/>
      <c r="JHV393" s="119"/>
      <c r="JHW393" s="104"/>
      <c r="JHX393" s="455"/>
      <c r="JHY393" s="104"/>
      <c r="JHZ393" s="104"/>
      <c r="JIA393" s="109"/>
      <c r="JIB393" s="104"/>
      <c r="JIC393" s="104"/>
      <c r="JID393" s="119"/>
      <c r="JIE393" s="104"/>
      <c r="JIF393" s="455"/>
      <c r="JIG393" s="104"/>
      <c r="JIH393" s="104"/>
      <c r="JII393" s="109"/>
      <c r="JIJ393" s="104"/>
      <c r="JIK393" s="104"/>
      <c r="JIL393" s="119"/>
      <c r="JIM393" s="104"/>
      <c r="JIN393" s="455"/>
      <c r="JIO393" s="104"/>
      <c r="JIP393" s="104"/>
      <c r="JIQ393" s="109"/>
      <c r="JIR393" s="104"/>
      <c r="JIS393" s="104"/>
      <c r="JIT393" s="119"/>
      <c r="JIU393" s="104"/>
      <c r="JIV393" s="455"/>
      <c r="JIW393" s="104"/>
      <c r="JIX393" s="104"/>
      <c r="JIY393" s="109"/>
      <c r="JIZ393" s="104"/>
      <c r="JJA393" s="104"/>
      <c r="JJB393" s="119"/>
      <c r="JJC393" s="104"/>
      <c r="JJD393" s="455"/>
      <c r="JJE393" s="104"/>
      <c r="JJF393" s="104"/>
      <c r="JJG393" s="109"/>
      <c r="JJH393" s="104"/>
      <c r="JJI393" s="104"/>
      <c r="JJJ393" s="119"/>
      <c r="JJK393" s="104"/>
      <c r="JJL393" s="455"/>
      <c r="JJM393" s="104"/>
      <c r="JJN393" s="104"/>
      <c r="JJO393" s="109"/>
      <c r="JJP393" s="104"/>
      <c r="JJQ393" s="104"/>
      <c r="JJR393" s="119"/>
      <c r="JJS393" s="104"/>
      <c r="JJT393" s="455"/>
      <c r="JJU393" s="104"/>
      <c r="JJV393" s="104"/>
      <c r="JJW393" s="109"/>
      <c r="JJX393" s="104"/>
      <c r="JJY393" s="104"/>
      <c r="JJZ393" s="119"/>
      <c r="JKA393" s="104"/>
      <c r="JKB393" s="455"/>
      <c r="JKC393" s="104"/>
      <c r="JKD393" s="104"/>
      <c r="JKE393" s="109"/>
      <c r="JKF393" s="104"/>
      <c r="JKG393" s="104"/>
      <c r="JKH393" s="119"/>
      <c r="JKI393" s="104"/>
      <c r="JKJ393" s="455"/>
      <c r="JKK393" s="104"/>
      <c r="JKL393" s="104"/>
      <c r="JKM393" s="109"/>
      <c r="JKN393" s="104"/>
      <c r="JKO393" s="104"/>
      <c r="JKP393" s="119"/>
      <c r="JKQ393" s="104"/>
      <c r="JKR393" s="455"/>
      <c r="JKS393" s="104"/>
      <c r="JKT393" s="104"/>
      <c r="JKU393" s="109"/>
      <c r="JKV393" s="104"/>
      <c r="JKW393" s="104"/>
      <c r="JKX393" s="119"/>
      <c r="JKY393" s="104"/>
      <c r="JKZ393" s="455"/>
      <c r="JLA393" s="104"/>
      <c r="JLB393" s="104"/>
      <c r="JLC393" s="109"/>
      <c r="JLD393" s="104"/>
      <c r="JLE393" s="104"/>
      <c r="JLF393" s="119"/>
      <c r="JLG393" s="104"/>
      <c r="JLH393" s="455"/>
      <c r="JLI393" s="104"/>
      <c r="JLJ393" s="104"/>
      <c r="JLK393" s="109"/>
      <c r="JLL393" s="104"/>
      <c r="JLM393" s="104"/>
      <c r="JLN393" s="119"/>
      <c r="JLO393" s="104"/>
      <c r="JLP393" s="455"/>
      <c r="JLQ393" s="104"/>
      <c r="JLR393" s="104"/>
      <c r="JLS393" s="109"/>
      <c r="JLT393" s="104"/>
      <c r="JLU393" s="104"/>
      <c r="JLV393" s="119"/>
      <c r="JLW393" s="104"/>
      <c r="JLX393" s="455"/>
      <c r="JLY393" s="104"/>
      <c r="JLZ393" s="104"/>
      <c r="JMA393" s="109"/>
      <c r="JMB393" s="104"/>
      <c r="JMC393" s="104"/>
      <c r="JMD393" s="119"/>
      <c r="JME393" s="104"/>
      <c r="JMF393" s="455"/>
      <c r="JMG393" s="104"/>
      <c r="JMH393" s="104"/>
      <c r="JMI393" s="109"/>
      <c r="JMJ393" s="104"/>
      <c r="JMK393" s="104"/>
      <c r="JML393" s="119"/>
      <c r="JMM393" s="104"/>
      <c r="JMN393" s="455"/>
      <c r="JMO393" s="104"/>
      <c r="JMP393" s="104"/>
      <c r="JMQ393" s="109"/>
      <c r="JMR393" s="104"/>
      <c r="JMS393" s="104"/>
      <c r="JMT393" s="119"/>
      <c r="JMU393" s="104"/>
      <c r="JMV393" s="455"/>
      <c r="JMW393" s="104"/>
      <c r="JMX393" s="104"/>
      <c r="JMY393" s="109"/>
      <c r="JMZ393" s="104"/>
      <c r="JNA393" s="104"/>
      <c r="JNB393" s="119"/>
      <c r="JNC393" s="104"/>
      <c r="JND393" s="455"/>
      <c r="JNE393" s="104"/>
      <c r="JNF393" s="104"/>
      <c r="JNG393" s="109"/>
      <c r="JNH393" s="104"/>
      <c r="JNI393" s="104"/>
      <c r="JNJ393" s="119"/>
      <c r="JNK393" s="104"/>
      <c r="JNL393" s="455"/>
      <c r="JNM393" s="104"/>
      <c r="JNN393" s="104"/>
      <c r="JNO393" s="109"/>
      <c r="JNP393" s="104"/>
      <c r="JNQ393" s="104"/>
      <c r="JNR393" s="119"/>
      <c r="JNS393" s="104"/>
      <c r="JNT393" s="455"/>
      <c r="JNU393" s="104"/>
      <c r="JNV393" s="104"/>
      <c r="JNW393" s="109"/>
      <c r="JNX393" s="104"/>
      <c r="JNY393" s="104"/>
      <c r="JNZ393" s="119"/>
      <c r="JOA393" s="104"/>
      <c r="JOB393" s="455"/>
      <c r="JOC393" s="104"/>
      <c r="JOD393" s="104"/>
      <c r="JOE393" s="109"/>
      <c r="JOF393" s="104"/>
      <c r="JOG393" s="104"/>
      <c r="JOH393" s="119"/>
      <c r="JOI393" s="104"/>
      <c r="JOJ393" s="455"/>
      <c r="JOK393" s="104"/>
      <c r="JOL393" s="104"/>
      <c r="JOM393" s="109"/>
      <c r="JON393" s="104"/>
      <c r="JOO393" s="104"/>
      <c r="JOP393" s="119"/>
      <c r="JOQ393" s="104"/>
      <c r="JOR393" s="455"/>
      <c r="JOS393" s="104"/>
      <c r="JOT393" s="104"/>
      <c r="JOU393" s="109"/>
      <c r="JOV393" s="104"/>
      <c r="JOW393" s="104"/>
      <c r="JOX393" s="119"/>
      <c r="JOY393" s="104"/>
      <c r="JOZ393" s="455"/>
      <c r="JPA393" s="104"/>
      <c r="JPB393" s="104"/>
      <c r="JPC393" s="109"/>
      <c r="JPD393" s="104"/>
      <c r="JPE393" s="104"/>
      <c r="JPF393" s="119"/>
      <c r="JPG393" s="104"/>
      <c r="JPH393" s="455"/>
      <c r="JPI393" s="104"/>
      <c r="JPJ393" s="104"/>
      <c r="JPK393" s="109"/>
      <c r="JPL393" s="104"/>
      <c r="JPM393" s="104"/>
      <c r="JPN393" s="119"/>
      <c r="JPO393" s="104"/>
      <c r="JPP393" s="455"/>
      <c r="JPQ393" s="104"/>
      <c r="JPR393" s="104"/>
      <c r="JPS393" s="109"/>
      <c r="JPT393" s="104"/>
      <c r="JPU393" s="104"/>
      <c r="JPV393" s="119"/>
      <c r="JPW393" s="104"/>
      <c r="JPX393" s="455"/>
      <c r="JPY393" s="104"/>
      <c r="JPZ393" s="104"/>
      <c r="JQA393" s="109"/>
      <c r="JQB393" s="104"/>
      <c r="JQC393" s="104"/>
      <c r="JQD393" s="119"/>
      <c r="JQE393" s="104"/>
      <c r="JQF393" s="455"/>
      <c r="JQG393" s="104"/>
      <c r="JQH393" s="104"/>
      <c r="JQI393" s="109"/>
      <c r="JQJ393" s="104"/>
      <c r="JQK393" s="104"/>
      <c r="JQL393" s="119"/>
      <c r="JQM393" s="104"/>
      <c r="JQN393" s="455"/>
      <c r="JQO393" s="104"/>
      <c r="JQP393" s="104"/>
      <c r="JQQ393" s="109"/>
      <c r="JQR393" s="104"/>
      <c r="JQS393" s="104"/>
      <c r="JQT393" s="119"/>
      <c r="JQU393" s="104"/>
      <c r="JQV393" s="455"/>
      <c r="JQW393" s="104"/>
      <c r="JQX393" s="104"/>
      <c r="JQY393" s="109"/>
      <c r="JQZ393" s="104"/>
      <c r="JRA393" s="104"/>
      <c r="JRB393" s="119"/>
      <c r="JRC393" s="104"/>
      <c r="JRD393" s="455"/>
      <c r="JRE393" s="104"/>
      <c r="JRF393" s="104"/>
      <c r="JRG393" s="109"/>
      <c r="JRH393" s="104"/>
      <c r="JRI393" s="104"/>
      <c r="JRJ393" s="119"/>
      <c r="JRK393" s="104"/>
      <c r="JRL393" s="455"/>
      <c r="JRM393" s="104"/>
      <c r="JRN393" s="104"/>
      <c r="JRO393" s="109"/>
      <c r="JRP393" s="104"/>
      <c r="JRQ393" s="104"/>
      <c r="JRR393" s="119"/>
      <c r="JRS393" s="104"/>
      <c r="JRT393" s="455"/>
      <c r="JRU393" s="104"/>
      <c r="JRV393" s="104"/>
      <c r="JRW393" s="109"/>
      <c r="JRX393" s="104"/>
      <c r="JRY393" s="104"/>
      <c r="JRZ393" s="119"/>
      <c r="JSA393" s="104"/>
      <c r="JSB393" s="455"/>
      <c r="JSC393" s="104"/>
      <c r="JSD393" s="104"/>
      <c r="JSE393" s="109"/>
      <c r="JSF393" s="104"/>
      <c r="JSG393" s="104"/>
      <c r="JSH393" s="119"/>
      <c r="JSI393" s="104"/>
      <c r="JSJ393" s="455"/>
      <c r="JSK393" s="104"/>
      <c r="JSL393" s="104"/>
      <c r="JSM393" s="109"/>
      <c r="JSN393" s="104"/>
      <c r="JSO393" s="104"/>
      <c r="JSP393" s="119"/>
      <c r="JSQ393" s="104"/>
      <c r="JSR393" s="455"/>
      <c r="JSS393" s="104"/>
      <c r="JST393" s="104"/>
      <c r="JSU393" s="109"/>
      <c r="JSV393" s="104"/>
      <c r="JSW393" s="104"/>
      <c r="JSX393" s="119"/>
      <c r="JSY393" s="104"/>
      <c r="JSZ393" s="455"/>
      <c r="JTA393" s="104"/>
      <c r="JTB393" s="104"/>
      <c r="JTC393" s="109"/>
      <c r="JTD393" s="104"/>
      <c r="JTE393" s="104"/>
      <c r="JTF393" s="119"/>
      <c r="JTG393" s="104"/>
      <c r="JTH393" s="455"/>
      <c r="JTI393" s="104"/>
      <c r="JTJ393" s="104"/>
      <c r="JTK393" s="109"/>
      <c r="JTL393" s="104"/>
      <c r="JTM393" s="104"/>
      <c r="JTN393" s="119"/>
      <c r="JTO393" s="104"/>
      <c r="JTP393" s="455"/>
      <c r="JTQ393" s="104"/>
      <c r="JTR393" s="104"/>
      <c r="JTS393" s="109"/>
      <c r="JTT393" s="104"/>
      <c r="JTU393" s="104"/>
      <c r="JTV393" s="119"/>
      <c r="JTW393" s="104"/>
      <c r="JTX393" s="455"/>
      <c r="JTY393" s="104"/>
      <c r="JTZ393" s="104"/>
      <c r="JUA393" s="109"/>
      <c r="JUB393" s="104"/>
      <c r="JUC393" s="104"/>
      <c r="JUD393" s="119"/>
      <c r="JUE393" s="104"/>
      <c r="JUF393" s="455"/>
      <c r="JUG393" s="104"/>
      <c r="JUH393" s="104"/>
      <c r="JUI393" s="109"/>
      <c r="JUJ393" s="104"/>
      <c r="JUK393" s="104"/>
      <c r="JUL393" s="119"/>
      <c r="JUM393" s="104"/>
      <c r="JUN393" s="455"/>
      <c r="JUO393" s="104"/>
      <c r="JUP393" s="104"/>
      <c r="JUQ393" s="109"/>
      <c r="JUR393" s="104"/>
      <c r="JUS393" s="104"/>
      <c r="JUT393" s="119"/>
      <c r="JUU393" s="104"/>
      <c r="JUV393" s="455"/>
      <c r="JUW393" s="104"/>
      <c r="JUX393" s="104"/>
      <c r="JUY393" s="109"/>
      <c r="JUZ393" s="104"/>
      <c r="JVA393" s="104"/>
      <c r="JVB393" s="119"/>
      <c r="JVC393" s="104"/>
      <c r="JVD393" s="455"/>
      <c r="JVE393" s="104"/>
      <c r="JVF393" s="104"/>
      <c r="JVG393" s="109"/>
      <c r="JVH393" s="104"/>
      <c r="JVI393" s="104"/>
      <c r="JVJ393" s="119"/>
      <c r="JVK393" s="104"/>
      <c r="JVL393" s="455"/>
      <c r="JVM393" s="104"/>
      <c r="JVN393" s="104"/>
      <c r="JVO393" s="109"/>
      <c r="JVP393" s="104"/>
      <c r="JVQ393" s="104"/>
      <c r="JVR393" s="119"/>
      <c r="JVS393" s="104"/>
      <c r="JVT393" s="455"/>
      <c r="JVU393" s="104"/>
      <c r="JVV393" s="104"/>
      <c r="JVW393" s="109"/>
      <c r="JVX393" s="104"/>
      <c r="JVY393" s="104"/>
      <c r="JVZ393" s="119"/>
      <c r="JWA393" s="104"/>
      <c r="JWB393" s="455"/>
      <c r="JWC393" s="104"/>
      <c r="JWD393" s="104"/>
      <c r="JWE393" s="109"/>
      <c r="JWF393" s="104"/>
      <c r="JWG393" s="104"/>
      <c r="JWH393" s="119"/>
      <c r="JWI393" s="104"/>
      <c r="JWJ393" s="455"/>
      <c r="JWK393" s="104"/>
      <c r="JWL393" s="104"/>
      <c r="JWM393" s="109"/>
      <c r="JWN393" s="104"/>
      <c r="JWO393" s="104"/>
      <c r="JWP393" s="119"/>
      <c r="JWQ393" s="104"/>
      <c r="JWR393" s="455"/>
      <c r="JWS393" s="104"/>
      <c r="JWT393" s="104"/>
      <c r="JWU393" s="109"/>
      <c r="JWV393" s="104"/>
      <c r="JWW393" s="104"/>
      <c r="JWX393" s="119"/>
      <c r="JWY393" s="104"/>
      <c r="JWZ393" s="455"/>
      <c r="JXA393" s="104"/>
      <c r="JXB393" s="104"/>
      <c r="JXC393" s="109"/>
      <c r="JXD393" s="104"/>
      <c r="JXE393" s="104"/>
      <c r="JXF393" s="119"/>
      <c r="JXG393" s="104"/>
      <c r="JXH393" s="455"/>
      <c r="JXI393" s="104"/>
      <c r="JXJ393" s="104"/>
      <c r="JXK393" s="109"/>
      <c r="JXL393" s="104"/>
      <c r="JXM393" s="104"/>
      <c r="JXN393" s="119"/>
      <c r="JXO393" s="104"/>
      <c r="JXP393" s="455"/>
      <c r="JXQ393" s="104"/>
      <c r="JXR393" s="104"/>
      <c r="JXS393" s="109"/>
      <c r="JXT393" s="104"/>
      <c r="JXU393" s="104"/>
      <c r="JXV393" s="119"/>
      <c r="JXW393" s="104"/>
      <c r="JXX393" s="455"/>
      <c r="JXY393" s="104"/>
      <c r="JXZ393" s="104"/>
      <c r="JYA393" s="109"/>
      <c r="JYB393" s="104"/>
      <c r="JYC393" s="104"/>
      <c r="JYD393" s="119"/>
      <c r="JYE393" s="104"/>
      <c r="JYF393" s="455"/>
      <c r="JYG393" s="104"/>
      <c r="JYH393" s="104"/>
      <c r="JYI393" s="109"/>
      <c r="JYJ393" s="104"/>
      <c r="JYK393" s="104"/>
      <c r="JYL393" s="119"/>
      <c r="JYM393" s="104"/>
      <c r="JYN393" s="455"/>
      <c r="JYO393" s="104"/>
      <c r="JYP393" s="104"/>
      <c r="JYQ393" s="109"/>
      <c r="JYR393" s="104"/>
      <c r="JYS393" s="104"/>
      <c r="JYT393" s="119"/>
      <c r="JYU393" s="104"/>
      <c r="JYV393" s="455"/>
      <c r="JYW393" s="104"/>
      <c r="JYX393" s="104"/>
      <c r="JYY393" s="109"/>
      <c r="JYZ393" s="104"/>
      <c r="JZA393" s="104"/>
      <c r="JZB393" s="119"/>
      <c r="JZC393" s="104"/>
      <c r="JZD393" s="455"/>
      <c r="JZE393" s="104"/>
      <c r="JZF393" s="104"/>
      <c r="JZG393" s="109"/>
      <c r="JZH393" s="104"/>
      <c r="JZI393" s="104"/>
      <c r="JZJ393" s="119"/>
      <c r="JZK393" s="104"/>
      <c r="JZL393" s="455"/>
      <c r="JZM393" s="104"/>
      <c r="JZN393" s="104"/>
      <c r="JZO393" s="109"/>
      <c r="JZP393" s="104"/>
      <c r="JZQ393" s="104"/>
      <c r="JZR393" s="119"/>
      <c r="JZS393" s="104"/>
      <c r="JZT393" s="455"/>
      <c r="JZU393" s="104"/>
      <c r="JZV393" s="104"/>
      <c r="JZW393" s="109"/>
      <c r="JZX393" s="104"/>
      <c r="JZY393" s="104"/>
      <c r="JZZ393" s="119"/>
      <c r="KAA393" s="104"/>
      <c r="KAB393" s="455"/>
      <c r="KAC393" s="104"/>
      <c r="KAD393" s="104"/>
      <c r="KAE393" s="109"/>
      <c r="KAF393" s="104"/>
      <c r="KAG393" s="104"/>
      <c r="KAH393" s="119"/>
      <c r="KAI393" s="104"/>
      <c r="KAJ393" s="455"/>
      <c r="KAK393" s="104"/>
      <c r="KAL393" s="104"/>
      <c r="KAM393" s="109"/>
      <c r="KAN393" s="104"/>
      <c r="KAO393" s="104"/>
      <c r="KAP393" s="119"/>
      <c r="KAQ393" s="104"/>
      <c r="KAR393" s="455"/>
      <c r="KAS393" s="104"/>
      <c r="KAT393" s="104"/>
      <c r="KAU393" s="109"/>
      <c r="KAV393" s="104"/>
      <c r="KAW393" s="104"/>
      <c r="KAX393" s="119"/>
      <c r="KAY393" s="104"/>
      <c r="KAZ393" s="455"/>
      <c r="KBA393" s="104"/>
      <c r="KBB393" s="104"/>
      <c r="KBC393" s="109"/>
      <c r="KBD393" s="104"/>
      <c r="KBE393" s="104"/>
      <c r="KBF393" s="119"/>
      <c r="KBG393" s="104"/>
      <c r="KBH393" s="455"/>
      <c r="KBI393" s="104"/>
      <c r="KBJ393" s="104"/>
      <c r="KBK393" s="109"/>
      <c r="KBL393" s="104"/>
      <c r="KBM393" s="104"/>
      <c r="KBN393" s="119"/>
      <c r="KBO393" s="104"/>
      <c r="KBP393" s="455"/>
      <c r="KBQ393" s="104"/>
      <c r="KBR393" s="104"/>
      <c r="KBS393" s="109"/>
      <c r="KBT393" s="104"/>
      <c r="KBU393" s="104"/>
      <c r="KBV393" s="119"/>
      <c r="KBW393" s="104"/>
      <c r="KBX393" s="455"/>
      <c r="KBY393" s="104"/>
      <c r="KBZ393" s="104"/>
      <c r="KCA393" s="109"/>
      <c r="KCB393" s="104"/>
      <c r="KCC393" s="104"/>
      <c r="KCD393" s="119"/>
      <c r="KCE393" s="104"/>
      <c r="KCF393" s="455"/>
      <c r="KCG393" s="104"/>
      <c r="KCH393" s="104"/>
      <c r="KCI393" s="109"/>
      <c r="KCJ393" s="104"/>
      <c r="KCK393" s="104"/>
      <c r="KCL393" s="119"/>
      <c r="KCM393" s="104"/>
      <c r="KCN393" s="455"/>
      <c r="KCO393" s="104"/>
      <c r="KCP393" s="104"/>
      <c r="KCQ393" s="109"/>
      <c r="KCR393" s="104"/>
      <c r="KCS393" s="104"/>
      <c r="KCT393" s="119"/>
      <c r="KCU393" s="104"/>
      <c r="KCV393" s="455"/>
      <c r="KCW393" s="104"/>
      <c r="KCX393" s="104"/>
      <c r="KCY393" s="109"/>
      <c r="KCZ393" s="104"/>
      <c r="KDA393" s="104"/>
      <c r="KDB393" s="119"/>
      <c r="KDC393" s="104"/>
      <c r="KDD393" s="455"/>
      <c r="KDE393" s="104"/>
      <c r="KDF393" s="104"/>
      <c r="KDG393" s="109"/>
      <c r="KDH393" s="104"/>
      <c r="KDI393" s="104"/>
      <c r="KDJ393" s="119"/>
      <c r="KDK393" s="104"/>
      <c r="KDL393" s="455"/>
      <c r="KDM393" s="104"/>
      <c r="KDN393" s="104"/>
      <c r="KDO393" s="109"/>
      <c r="KDP393" s="104"/>
      <c r="KDQ393" s="104"/>
      <c r="KDR393" s="119"/>
      <c r="KDS393" s="104"/>
      <c r="KDT393" s="455"/>
      <c r="KDU393" s="104"/>
      <c r="KDV393" s="104"/>
      <c r="KDW393" s="109"/>
      <c r="KDX393" s="104"/>
      <c r="KDY393" s="104"/>
      <c r="KDZ393" s="119"/>
      <c r="KEA393" s="104"/>
      <c r="KEB393" s="455"/>
      <c r="KEC393" s="104"/>
      <c r="KED393" s="104"/>
      <c r="KEE393" s="109"/>
      <c r="KEF393" s="104"/>
      <c r="KEG393" s="104"/>
      <c r="KEH393" s="119"/>
      <c r="KEI393" s="104"/>
      <c r="KEJ393" s="455"/>
      <c r="KEK393" s="104"/>
      <c r="KEL393" s="104"/>
      <c r="KEM393" s="109"/>
      <c r="KEN393" s="104"/>
      <c r="KEO393" s="104"/>
      <c r="KEP393" s="119"/>
      <c r="KEQ393" s="104"/>
      <c r="KER393" s="455"/>
      <c r="KES393" s="104"/>
      <c r="KET393" s="104"/>
      <c r="KEU393" s="109"/>
      <c r="KEV393" s="104"/>
      <c r="KEW393" s="104"/>
      <c r="KEX393" s="119"/>
      <c r="KEY393" s="104"/>
      <c r="KEZ393" s="455"/>
      <c r="KFA393" s="104"/>
      <c r="KFB393" s="104"/>
      <c r="KFC393" s="109"/>
      <c r="KFD393" s="104"/>
      <c r="KFE393" s="104"/>
      <c r="KFF393" s="119"/>
      <c r="KFG393" s="104"/>
      <c r="KFH393" s="455"/>
      <c r="KFI393" s="104"/>
      <c r="KFJ393" s="104"/>
      <c r="KFK393" s="109"/>
      <c r="KFL393" s="104"/>
      <c r="KFM393" s="104"/>
      <c r="KFN393" s="119"/>
      <c r="KFO393" s="104"/>
      <c r="KFP393" s="455"/>
      <c r="KFQ393" s="104"/>
      <c r="KFR393" s="104"/>
      <c r="KFS393" s="109"/>
      <c r="KFT393" s="104"/>
      <c r="KFU393" s="104"/>
      <c r="KFV393" s="119"/>
      <c r="KFW393" s="104"/>
      <c r="KFX393" s="455"/>
      <c r="KFY393" s="104"/>
      <c r="KFZ393" s="104"/>
      <c r="KGA393" s="109"/>
      <c r="KGB393" s="104"/>
      <c r="KGC393" s="104"/>
      <c r="KGD393" s="119"/>
      <c r="KGE393" s="104"/>
      <c r="KGF393" s="455"/>
      <c r="KGG393" s="104"/>
      <c r="KGH393" s="104"/>
      <c r="KGI393" s="109"/>
      <c r="KGJ393" s="104"/>
      <c r="KGK393" s="104"/>
      <c r="KGL393" s="119"/>
      <c r="KGM393" s="104"/>
      <c r="KGN393" s="455"/>
      <c r="KGO393" s="104"/>
      <c r="KGP393" s="104"/>
      <c r="KGQ393" s="109"/>
      <c r="KGR393" s="104"/>
      <c r="KGS393" s="104"/>
      <c r="KGT393" s="119"/>
      <c r="KGU393" s="104"/>
      <c r="KGV393" s="455"/>
      <c r="KGW393" s="104"/>
      <c r="KGX393" s="104"/>
      <c r="KGY393" s="109"/>
      <c r="KGZ393" s="104"/>
      <c r="KHA393" s="104"/>
      <c r="KHB393" s="119"/>
      <c r="KHC393" s="104"/>
      <c r="KHD393" s="455"/>
      <c r="KHE393" s="104"/>
      <c r="KHF393" s="104"/>
      <c r="KHG393" s="109"/>
      <c r="KHH393" s="104"/>
      <c r="KHI393" s="104"/>
      <c r="KHJ393" s="119"/>
      <c r="KHK393" s="104"/>
      <c r="KHL393" s="455"/>
      <c r="KHM393" s="104"/>
      <c r="KHN393" s="104"/>
      <c r="KHO393" s="109"/>
      <c r="KHP393" s="104"/>
      <c r="KHQ393" s="104"/>
      <c r="KHR393" s="119"/>
      <c r="KHS393" s="104"/>
      <c r="KHT393" s="455"/>
      <c r="KHU393" s="104"/>
      <c r="KHV393" s="104"/>
      <c r="KHW393" s="109"/>
      <c r="KHX393" s="104"/>
      <c r="KHY393" s="104"/>
      <c r="KHZ393" s="119"/>
      <c r="KIA393" s="104"/>
      <c r="KIB393" s="455"/>
      <c r="KIC393" s="104"/>
      <c r="KID393" s="104"/>
      <c r="KIE393" s="109"/>
      <c r="KIF393" s="104"/>
      <c r="KIG393" s="104"/>
      <c r="KIH393" s="119"/>
      <c r="KII393" s="104"/>
      <c r="KIJ393" s="455"/>
      <c r="KIK393" s="104"/>
      <c r="KIL393" s="104"/>
      <c r="KIM393" s="109"/>
      <c r="KIN393" s="104"/>
      <c r="KIO393" s="104"/>
      <c r="KIP393" s="119"/>
      <c r="KIQ393" s="104"/>
      <c r="KIR393" s="455"/>
      <c r="KIS393" s="104"/>
      <c r="KIT393" s="104"/>
      <c r="KIU393" s="109"/>
      <c r="KIV393" s="104"/>
      <c r="KIW393" s="104"/>
      <c r="KIX393" s="119"/>
      <c r="KIY393" s="104"/>
      <c r="KIZ393" s="455"/>
      <c r="KJA393" s="104"/>
      <c r="KJB393" s="104"/>
      <c r="KJC393" s="109"/>
      <c r="KJD393" s="104"/>
      <c r="KJE393" s="104"/>
      <c r="KJF393" s="119"/>
      <c r="KJG393" s="104"/>
      <c r="KJH393" s="455"/>
      <c r="KJI393" s="104"/>
      <c r="KJJ393" s="104"/>
      <c r="KJK393" s="109"/>
      <c r="KJL393" s="104"/>
      <c r="KJM393" s="104"/>
      <c r="KJN393" s="119"/>
      <c r="KJO393" s="104"/>
      <c r="KJP393" s="455"/>
      <c r="KJQ393" s="104"/>
      <c r="KJR393" s="104"/>
      <c r="KJS393" s="109"/>
      <c r="KJT393" s="104"/>
      <c r="KJU393" s="104"/>
      <c r="KJV393" s="119"/>
      <c r="KJW393" s="104"/>
      <c r="KJX393" s="455"/>
      <c r="KJY393" s="104"/>
      <c r="KJZ393" s="104"/>
      <c r="KKA393" s="109"/>
      <c r="KKB393" s="104"/>
      <c r="KKC393" s="104"/>
      <c r="KKD393" s="119"/>
      <c r="KKE393" s="104"/>
      <c r="KKF393" s="455"/>
      <c r="KKG393" s="104"/>
      <c r="KKH393" s="104"/>
      <c r="KKI393" s="109"/>
      <c r="KKJ393" s="104"/>
      <c r="KKK393" s="104"/>
      <c r="KKL393" s="119"/>
      <c r="KKM393" s="104"/>
      <c r="KKN393" s="455"/>
      <c r="KKO393" s="104"/>
      <c r="KKP393" s="104"/>
      <c r="KKQ393" s="109"/>
      <c r="KKR393" s="104"/>
      <c r="KKS393" s="104"/>
      <c r="KKT393" s="119"/>
      <c r="KKU393" s="104"/>
      <c r="KKV393" s="455"/>
      <c r="KKW393" s="104"/>
      <c r="KKX393" s="104"/>
      <c r="KKY393" s="109"/>
      <c r="KKZ393" s="104"/>
      <c r="KLA393" s="104"/>
      <c r="KLB393" s="119"/>
      <c r="KLC393" s="104"/>
      <c r="KLD393" s="455"/>
      <c r="KLE393" s="104"/>
      <c r="KLF393" s="104"/>
      <c r="KLG393" s="109"/>
      <c r="KLH393" s="104"/>
      <c r="KLI393" s="104"/>
      <c r="KLJ393" s="119"/>
      <c r="KLK393" s="104"/>
      <c r="KLL393" s="455"/>
      <c r="KLM393" s="104"/>
      <c r="KLN393" s="104"/>
      <c r="KLO393" s="109"/>
      <c r="KLP393" s="104"/>
      <c r="KLQ393" s="104"/>
      <c r="KLR393" s="119"/>
      <c r="KLS393" s="104"/>
      <c r="KLT393" s="455"/>
      <c r="KLU393" s="104"/>
      <c r="KLV393" s="104"/>
      <c r="KLW393" s="109"/>
      <c r="KLX393" s="104"/>
      <c r="KLY393" s="104"/>
      <c r="KLZ393" s="119"/>
      <c r="KMA393" s="104"/>
      <c r="KMB393" s="455"/>
      <c r="KMC393" s="104"/>
      <c r="KMD393" s="104"/>
      <c r="KME393" s="109"/>
      <c r="KMF393" s="104"/>
      <c r="KMG393" s="104"/>
      <c r="KMH393" s="119"/>
      <c r="KMI393" s="104"/>
      <c r="KMJ393" s="455"/>
      <c r="KMK393" s="104"/>
      <c r="KML393" s="104"/>
      <c r="KMM393" s="109"/>
      <c r="KMN393" s="104"/>
      <c r="KMO393" s="104"/>
      <c r="KMP393" s="119"/>
      <c r="KMQ393" s="104"/>
      <c r="KMR393" s="455"/>
      <c r="KMS393" s="104"/>
      <c r="KMT393" s="104"/>
      <c r="KMU393" s="109"/>
      <c r="KMV393" s="104"/>
      <c r="KMW393" s="104"/>
      <c r="KMX393" s="119"/>
      <c r="KMY393" s="104"/>
      <c r="KMZ393" s="455"/>
      <c r="KNA393" s="104"/>
      <c r="KNB393" s="104"/>
      <c r="KNC393" s="109"/>
      <c r="KND393" s="104"/>
      <c r="KNE393" s="104"/>
      <c r="KNF393" s="119"/>
      <c r="KNG393" s="104"/>
      <c r="KNH393" s="455"/>
      <c r="KNI393" s="104"/>
      <c r="KNJ393" s="104"/>
      <c r="KNK393" s="109"/>
      <c r="KNL393" s="104"/>
      <c r="KNM393" s="104"/>
      <c r="KNN393" s="119"/>
      <c r="KNO393" s="104"/>
      <c r="KNP393" s="455"/>
      <c r="KNQ393" s="104"/>
      <c r="KNR393" s="104"/>
      <c r="KNS393" s="109"/>
      <c r="KNT393" s="104"/>
      <c r="KNU393" s="104"/>
      <c r="KNV393" s="119"/>
      <c r="KNW393" s="104"/>
      <c r="KNX393" s="455"/>
      <c r="KNY393" s="104"/>
      <c r="KNZ393" s="104"/>
      <c r="KOA393" s="109"/>
      <c r="KOB393" s="104"/>
      <c r="KOC393" s="104"/>
      <c r="KOD393" s="119"/>
      <c r="KOE393" s="104"/>
      <c r="KOF393" s="455"/>
      <c r="KOG393" s="104"/>
      <c r="KOH393" s="104"/>
      <c r="KOI393" s="109"/>
      <c r="KOJ393" s="104"/>
      <c r="KOK393" s="104"/>
      <c r="KOL393" s="119"/>
      <c r="KOM393" s="104"/>
      <c r="KON393" s="455"/>
      <c r="KOO393" s="104"/>
      <c r="KOP393" s="104"/>
      <c r="KOQ393" s="109"/>
      <c r="KOR393" s="104"/>
      <c r="KOS393" s="104"/>
      <c r="KOT393" s="119"/>
      <c r="KOU393" s="104"/>
      <c r="KOV393" s="455"/>
      <c r="KOW393" s="104"/>
      <c r="KOX393" s="104"/>
      <c r="KOY393" s="109"/>
      <c r="KOZ393" s="104"/>
      <c r="KPA393" s="104"/>
      <c r="KPB393" s="119"/>
      <c r="KPC393" s="104"/>
      <c r="KPD393" s="455"/>
      <c r="KPE393" s="104"/>
      <c r="KPF393" s="104"/>
      <c r="KPG393" s="109"/>
      <c r="KPH393" s="104"/>
      <c r="KPI393" s="104"/>
      <c r="KPJ393" s="119"/>
      <c r="KPK393" s="104"/>
      <c r="KPL393" s="455"/>
      <c r="KPM393" s="104"/>
      <c r="KPN393" s="104"/>
      <c r="KPO393" s="109"/>
      <c r="KPP393" s="104"/>
      <c r="KPQ393" s="104"/>
      <c r="KPR393" s="119"/>
      <c r="KPS393" s="104"/>
      <c r="KPT393" s="455"/>
      <c r="KPU393" s="104"/>
      <c r="KPV393" s="104"/>
      <c r="KPW393" s="109"/>
      <c r="KPX393" s="104"/>
      <c r="KPY393" s="104"/>
      <c r="KPZ393" s="119"/>
      <c r="KQA393" s="104"/>
      <c r="KQB393" s="455"/>
      <c r="KQC393" s="104"/>
      <c r="KQD393" s="104"/>
      <c r="KQE393" s="109"/>
      <c r="KQF393" s="104"/>
      <c r="KQG393" s="104"/>
      <c r="KQH393" s="119"/>
      <c r="KQI393" s="104"/>
      <c r="KQJ393" s="455"/>
      <c r="KQK393" s="104"/>
      <c r="KQL393" s="104"/>
      <c r="KQM393" s="109"/>
      <c r="KQN393" s="104"/>
      <c r="KQO393" s="104"/>
      <c r="KQP393" s="119"/>
      <c r="KQQ393" s="104"/>
      <c r="KQR393" s="455"/>
      <c r="KQS393" s="104"/>
      <c r="KQT393" s="104"/>
      <c r="KQU393" s="109"/>
      <c r="KQV393" s="104"/>
      <c r="KQW393" s="104"/>
      <c r="KQX393" s="119"/>
      <c r="KQY393" s="104"/>
      <c r="KQZ393" s="455"/>
      <c r="KRA393" s="104"/>
      <c r="KRB393" s="104"/>
      <c r="KRC393" s="109"/>
      <c r="KRD393" s="104"/>
      <c r="KRE393" s="104"/>
      <c r="KRF393" s="119"/>
      <c r="KRG393" s="104"/>
      <c r="KRH393" s="455"/>
      <c r="KRI393" s="104"/>
      <c r="KRJ393" s="104"/>
      <c r="KRK393" s="109"/>
      <c r="KRL393" s="104"/>
      <c r="KRM393" s="104"/>
      <c r="KRN393" s="119"/>
      <c r="KRO393" s="104"/>
      <c r="KRP393" s="455"/>
      <c r="KRQ393" s="104"/>
      <c r="KRR393" s="104"/>
      <c r="KRS393" s="109"/>
      <c r="KRT393" s="104"/>
      <c r="KRU393" s="104"/>
      <c r="KRV393" s="119"/>
      <c r="KRW393" s="104"/>
      <c r="KRX393" s="455"/>
      <c r="KRY393" s="104"/>
      <c r="KRZ393" s="104"/>
      <c r="KSA393" s="109"/>
      <c r="KSB393" s="104"/>
      <c r="KSC393" s="104"/>
      <c r="KSD393" s="119"/>
      <c r="KSE393" s="104"/>
      <c r="KSF393" s="455"/>
      <c r="KSG393" s="104"/>
      <c r="KSH393" s="104"/>
      <c r="KSI393" s="109"/>
      <c r="KSJ393" s="104"/>
      <c r="KSK393" s="104"/>
      <c r="KSL393" s="119"/>
      <c r="KSM393" s="104"/>
      <c r="KSN393" s="455"/>
      <c r="KSO393" s="104"/>
      <c r="KSP393" s="104"/>
      <c r="KSQ393" s="109"/>
      <c r="KSR393" s="104"/>
      <c r="KSS393" s="104"/>
      <c r="KST393" s="119"/>
      <c r="KSU393" s="104"/>
      <c r="KSV393" s="455"/>
      <c r="KSW393" s="104"/>
      <c r="KSX393" s="104"/>
      <c r="KSY393" s="109"/>
      <c r="KSZ393" s="104"/>
      <c r="KTA393" s="104"/>
      <c r="KTB393" s="119"/>
      <c r="KTC393" s="104"/>
      <c r="KTD393" s="455"/>
      <c r="KTE393" s="104"/>
      <c r="KTF393" s="104"/>
      <c r="KTG393" s="109"/>
      <c r="KTH393" s="104"/>
      <c r="KTI393" s="104"/>
      <c r="KTJ393" s="119"/>
      <c r="KTK393" s="104"/>
      <c r="KTL393" s="455"/>
      <c r="KTM393" s="104"/>
      <c r="KTN393" s="104"/>
      <c r="KTO393" s="109"/>
      <c r="KTP393" s="104"/>
      <c r="KTQ393" s="104"/>
      <c r="KTR393" s="119"/>
      <c r="KTS393" s="104"/>
      <c r="KTT393" s="455"/>
      <c r="KTU393" s="104"/>
      <c r="KTV393" s="104"/>
      <c r="KTW393" s="109"/>
      <c r="KTX393" s="104"/>
      <c r="KTY393" s="104"/>
      <c r="KTZ393" s="119"/>
      <c r="KUA393" s="104"/>
      <c r="KUB393" s="455"/>
      <c r="KUC393" s="104"/>
      <c r="KUD393" s="104"/>
      <c r="KUE393" s="109"/>
      <c r="KUF393" s="104"/>
      <c r="KUG393" s="104"/>
      <c r="KUH393" s="119"/>
      <c r="KUI393" s="104"/>
      <c r="KUJ393" s="455"/>
      <c r="KUK393" s="104"/>
      <c r="KUL393" s="104"/>
      <c r="KUM393" s="109"/>
      <c r="KUN393" s="104"/>
      <c r="KUO393" s="104"/>
      <c r="KUP393" s="119"/>
      <c r="KUQ393" s="104"/>
      <c r="KUR393" s="455"/>
      <c r="KUS393" s="104"/>
      <c r="KUT393" s="104"/>
      <c r="KUU393" s="109"/>
      <c r="KUV393" s="104"/>
      <c r="KUW393" s="104"/>
      <c r="KUX393" s="119"/>
      <c r="KUY393" s="104"/>
      <c r="KUZ393" s="455"/>
      <c r="KVA393" s="104"/>
      <c r="KVB393" s="104"/>
      <c r="KVC393" s="109"/>
      <c r="KVD393" s="104"/>
      <c r="KVE393" s="104"/>
      <c r="KVF393" s="119"/>
      <c r="KVG393" s="104"/>
      <c r="KVH393" s="455"/>
      <c r="KVI393" s="104"/>
      <c r="KVJ393" s="104"/>
      <c r="KVK393" s="109"/>
      <c r="KVL393" s="104"/>
      <c r="KVM393" s="104"/>
      <c r="KVN393" s="119"/>
      <c r="KVO393" s="104"/>
      <c r="KVP393" s="455"/>
      <c r="KVQ393" s="104"/>
      <c r="KVR393" s="104"/>
      <c r="KVS393" s="109"/>
      <c r="KVT393" s="104"/>
      <c r="KVU393" s="104"/>
      <c r="KVV393" s="119"/>
      <c r="KVW393" s="104"/>
      <c r="KVX393" s="455"/>
      <c r="KVY393" s="104"/>
      <c r="KVZ393" s="104"/>
      <c r="KWA393" s="109"/>
      <c r="KWB393" s="104"/>
      <c r="KWC393" s="104"/>
      <c r="KWD393" s="119"/>
      <c r="KWE393" s="104"/>
      <c r="KWF393" s="455"/>
      <c r="KWG393" s="104"/>
      <c r="KWH393" s="104"/>
      <c r="KWI393" s="109"/>
      <c r="KWJ393" s="104"/>
      <c r="KWK393" s="104"/>
      <c r="KWL393" s="119"/>
      <c r="KWM393" s="104"/>
      <c r="KWN393" s="455"/>
      <c r="KWO393" s="104"/>
      <c r="KWP393" s="104"/>
      <c r="KWQ393" s="109"/>
      <c r="KWR393" s="104"/>
      <c r="KWS393" s="104"/>
      <c r="KWT393" s="119"/>
      <c r="KWU393" s="104"/>
      <c r="KWV393" s="455"/>
      <c r="KWW393" s="104"/>
      <c r="KWX393" s="104"/>
      <c r="KWY393" s="109"/>
      <c r="KWZ393" s="104"/>
      <c r="KXA393" s="104"/>
      <c r="KXB393" s="119"/>
      <c r="KXC393" s="104"/>
      <c r="KXD393" s="455"/>
      <c r="KXE393" s="104"/>
      <c r="KXF393" s="104"/>
      <c r="KXG393" s="109"/>
      <c r="KXH393" s="104"/>
      <c r="KXI393" s="104"/>
      <c r="KXJ393" s="119"/>
      <c r="KXK393" s="104"/>
      <c r="KXL393" s="455"/>
      <c r="KXM393" s="104"/>
      <c r="KXN393" s="104"/>
      <c r="KXO393" s="109"/>
      <c r="KXP393" s="104"/>
      <c r="KXQ393" s="104"/>
      <c r="KXR393" s="119"/>
      <c r="KXS393" s="104"/>
      <c r="KXT393" s="455"/>
      <c r="KXU393" s="104"/>
      <c r="KXV393" s="104"/>
      <c r="KXW393" s="109"/>
      <c r="KXX393" s="104"/>
      <c r="KXY393" s="104"/>
      <c r="KXZ393" s="119"/>
      <c r="KYA393" s="104"/>
      <c r="KYB393" s="455"/>
      <c r="KYC393" s="104"/>
      <c r="KYD393" s="104"/>
      <c r="KYE393" s="109"/>
      <c r="KYF393" s="104"/>
      <c r="KYG393" s="104"/>
      <c r="KYH393" s="119"/>
      <c r="KYI393" s="104"/>
      <c r="KYJ393" s="455"/>
      <c r="KYK393" s="104"/>
      <c r="KYL393" s="104"/>
      <c r="KYM393" s="109"/>
      <c r="KYN393" s="104"/>
      <c r="KYO393" s="104"/>
      <c r="KYP393" s="119"/>
      <c r="KYQ393" s="104"/>
      <c r="KYR393" s="455"/>
      <c r="KYS393" s="104"/>
      <c r="KYT393" s="104"/>
      <c r="KYU393" s="109"/>
      <c r="KYV393" s="104"/>
      <c r="KYW393" s="104"/>
      <c r="KYX393" s="119"/>
      <c r="KYY393" s="104"/>
      <c r="KYZ393" s="455"/>
      <c r="KZA393" s="104"/>
      <c r="KZB393" s="104"/>
      <c r="KZC393" s="109"/>
      <c r="KZD393" s="104"/>
      <c r="KZE393" s="104"/>
      <c r="KZF393" s="119"/>
      <c r="KZG393" s="104"/>
      <c r="KZH393" s="455"/>
      <c r="KZI393" s="104"/>
      <c r="KZJ393" s="104"/>
      <c r="KZK393" s="109"/>
      <c r="KZL393" s="104"/>
      <c r="KZM393" s="104"/>
      <c r="KZN393" s="119"/>
      <c r="KZO393" s="104"/>
      <c r="KZP393" s="455"/>
      <c r="KZQ393" s="104"/>
      <c r="KZR393" s="104"/>
      <c r="KZS393" s="109"/>
      <c r="KZT393" s="104"/>
      <c r="KZU393" s="104"/>
      <c r="KZV393" s="119"/>
      <c r="KZW393" s="104"/>
      <c r="KZX393" s="455"/>
      <c r="KZY393" s="104"/>
      <c r="KZZ393" s="104"/>
      <c r="LAA393" s="109"/>
      <c r="LAB393" s="104"/>
      <c r="LAC393" s="104"/>
      <c r="LAD393" s="119"/>
      <c r="LAE393" s="104"/>
      <c r="LAF393" s="455"/>
      <c r="LAG393" s="104"/>
      <c r="LAH393" s="104"/>
      <c r="LAI393" s="109"/>
      <c r="LAJ393" s="104"/>
      <c r="LAK393" s="104"/>
      <c r="LAL393" s="119"/>
      <c r="LAM393" s="104"/>
      <c r="LAN393" s="455"/>
      <c r="LAO393" s="104"/>
      <c r="LAP393" s="104"/>
      <c r="LAQ393" s="109"/>
      <c r="LAR393" s="104"/>
      <c r="LAS393" s="104"/>
      <c r="LAT393" s="119"/>
      <c r="LAU393" s="104"/>
      <c r="LAV393" s="455"/>
      <c r="LAW393" s="104"/>
      <c r="LAX393" s="104"/>
      <c r="LAY393" s="109"/>
      <c r="LAZ393" s="104"/>
      <c r="LBA393" s="104"/>
      <c r="LBB393" s="119"/>
      <c r="LBC393" s="104"/>
      <c r="LBD393" s="455"/>
      <c r="LBE393" s="104"/>
      <c r="LBF393" s="104"/>
      <c r="LBG393" s="109"/>
      <c r="LBH393" s="104"/>
      <c r="LBI393" s="104"/>
      <c r="LBJ393" s="119"/>
      <c r="LBK393" s="104"/>
      <c r="LBL393" s="455"/>
      <c r="LBM393" s="104"/>
      <c r="LBN393" s="104"/>
      <c r="LBO393" s="109"/>
      <c r="LBP393" s="104"/>
      <c r="LBQ393" s="104"/>
      <c r="LBR393" s="119"/>
      <c r="LBS393" s="104"/>
      <c r="LBT393" s="455"/>
      <c r="LBU393" s="104"/>
      <c r="LBV393" s="104"/>
      <c r="LBW393" s="109"/>
      <c r="LBX393" s="104"/>
      <c r="LBY393" s="104"/>
      <c r="LBZ393" s="119"/>
      <c r="LCA393" s="104"/>
      <c r="LCB393" s="455"/>
      <c r="LCC393" s="104"/>
      <c r="LCD393" s="104"/>
      <c r="LCE393" s="109"/>
      <c r="LCF393" s="104"/>
      <c r="LCG393" s="104"/>
      <c r="LCH393" s="119"/>
      <c r="LCI393" s="104"/>
      <c r="LCJ393" s="455"/>
      <c r="LCK393" s="104"/>
      <c r="LCL393" s="104"/>
      <c r="LCM393" s="109"/>
      <c r="LCN393" s="104"/>
      <c r="LCO393" s="104"/>
      <c r="LCP393" s="119"/>
      <c r="LCQ393" s="104"/>
      <c r="LCR393" s="455"/>
      <c r="LCS393" s="104"/>
      <c r="LCT393" s="104"/>
      <c r="LCU393" s="109"/>
      <c r="LCV393" s="104"/>
      <c r="LCW393" s="104"/>
      <c r="LCX393" s="119"/>
      <c r="LCY393" s="104"/>
      <c r="LCZ393" s="455"/>
      <c r="LDA393" s="104"/>
      <c r="LDB393" s="104"/>
      <c r="LDC393" s="109"/>
      <c r="LDD393" s="104"/>
      <c r="LDE393" s="104"/>
      <c r="LDF393" s="119"/>
      <c r="LDG393" s="104"/>
      <c r="LDH393" s="455"/>
      <c r="LDI393" s="104"/>
      <c r="LDJ393" s="104"/>
      <c r="LDK393" s="109"/>
      <c r="LDL393" s="104"/>
      <c r="LDM393" s="104"/>
      <c r="LDN393" s="119"/>
      <c r="LDO393" s="104"/>
      <c r="LDP393" s="455"/>
      <c r="LDQ393" s="104"/>
      <c r="LDR393" s="104"/>
      <c r="LDS393" s="109"/>
      <c r="LDT393" s="104"/>
      <c r="LDU393" s="104"/>
      <c r="LDV393" s="119"/>
      <c r="LDW393" s="104"/>
      <c r="LDX393" s="455"/>
      <c r="LDY393" s="104"/>
      <c r="LDZ393" s="104"/>
      <c r="LEA393" s="109"/>
      <c r="LEB393" s="104"/>
      <c r="LEC393" s="104"/>
      <c r="LED393" s="119"/>
      <c r="LEE393" s="104"/>
      <c r="LEF393" s="455"/>
      <c r="LEG393" s="104"/>
      <c r="LEH393" s="104"/>
      <c r="LEI393" s="109"/>
      <c r="LEJ393" s="104"/>
      <c r="LEK393" s="104"/>
      <c r="LEL393" s="119"/>
      <c r="LEM393" s="104"/>
      <c r="LEN393" s="455"/>
      <c r="LEO393" s="104"/>
      <c r="LEP393" s="104"/>
      <c r="LEQ393" s="109"/>
      <c r="LER393" s="104"/>
      <c r="LES393" s="104"/>
      <c r="LET393" s="119"/>
      <c r="LEU393" s="104"/>
      <c r="LEV393" s="455"/>
      <c r="LEW393" s="104"/>
      <c r="LEX393" s="104"/>
      <c r="LEY393" s="109"/>
      <c r="LEZ393" s="104"/>
      <c r="LFA393" s="104"/>
      <c r="LFB393" s="119"/>
      <c r="LFC393" s="104"/>
      <c r="LFD393" s="455"/>
      <c r="LFE393" s="104"/>
      <c r="LFF393" s="104"/>
      <c r="LFG393" s="109"/>
      <c r="LFH393" s="104"/>
      <c r="LFI393" s="104"/>
      <c r="LFJ393" s="119"/>
      <c r="LFK393" s="104"/>
      <c r="LFL393" s="455"/>
      <c r="LFM393" s="104"/>
      <c r="LFN393" s="104"/>
      <c r="LFO393" s="109"/>
      <c r="LFP393" s="104"/>
      <c r="LFQ393" s="104"/>
      <c r="LFR393" s="119"/>
      <c r="LFS393" s="104"/>
      <c r="LFT393" s="455"/>
      <c r="LFU393" s="104"/>
      <c r="LFV393" s="104"/>
      <c r="LFW393" s="109"/>
      <c r="LFX393" s="104"/>
      <c r="LFY393" s="104"/>
      <c r="LFZ393" s="119"/>
      <c r="LGA393" s="104"/>
      <c r="LGB393" s="455"/>
      <c r="LGC393" s="104"/>
      <c r="LGD393" s="104"/>
      <c r="LGE393" s="109"/>
      <c r="LGF393" s="104"/>
      <c r="LGG393" s="104"/>
      <c r="LGH393" s="119"/>
      <c r="LGI393" s="104"/>
      <c r="LGJ393" s="455"/>
      <c r="LGK393" s="104"/>
      <c r="LGL393" s="104"/>
      <c r="LGM393" s="109"/>
      <c r="LGN393" s="104"/>
      <c r="LGO393" s="104"/>
      <c r="LGP393" s="119"/>
      <c r="LGQ393" s="104"/>
      <c r="LGR393" s="455"/>
      <c r="LGS393" s="104"/>
      <c r="LGT393" s="104"/>
      <c r="LGU393" s="109"/>
      <c r="LGV393" s="104"/>
      <c r="LGW393" s="104"/>
      <c r="LGX393" s="119"/>
      <c r="LGY393" s="104"/>
      <c r="LGZ393" s="455"/>
      <c r="LHA393" s="104"/>
      <c r="LHB393" s="104"/>
      <c r="LHC393" s="109"/>
      <c r="LHD393" s="104"/>
      <c r="LHE393" s="104"/>
      <c r="LHF393" s="119"/>
      <c r="LHG393" s="104"/>
      <c r="LHH393" s="455"/>
      <c r="LHI393" s="104"/>
      <c r="LHJ393" s="104"/>
      <c r="LHK393" s="109"/>
      <c r="LHL393" s="104"/>
      <c r="LHM393" s="104"/>
      <c r="LHN393" s="119"/>
      <c r="LHO393" s="104"/>
      <c r="LHP393" s="455"/>
      <c r="LHQ393" s="104"/>
      <c r="LHR393" s="104"/>
      <c r="LHS393" s="109"/>
      <c r="LHT393" s="104"/>
      <c r="LHU393" s="104"/>
      <c r="LHV393" s="119"/>
      <c r="LHW393" s="104"/>
      <c r="LHX393" s="455"/>
      <c r="LHY393" s="104"/>
      <c r="LHZ393" s="104"/>
      <c r="LIA393" s="109"/>
      <c r="LIB393" s="104"/>
      <c r="LIC393" s="104"/>
      <c r="LID393" s="119"/>
      <c r="LIE393" s="104"/>
      <c r="LIF393" s="455"/>
      <c r="LIG393" s="104"/>
      <c r="LIH393" s="104"/>
      <c r="LII393" s="109"/>
      <c r="LIJ393" s="104"/>
      <c r="LIK393" s="104"/>
      <c r="LIL393" s="119"/>
      <c r="LIM393" s="104"/>
      <c r="LIN393" s="455"/>
      <c r="LIO393" s="104"/>
      <c r="LIP393" s="104"/>
      <c r="LIQ393" s="109"/>
      <c r="LIR393" s="104"/>
      <c r="LIS393" s="104"/>
      <c r="LIT393" s="119"/>
      <c r="LIU393" s="104"/>
      <c r="LIV393" s="455"/>
      <c r="LIW393" s="104"/>
      <c r="LIX393" s="104"/>
      <c r="LIY393" s="109"/>
      <c r="LIZ393" s="104"/>
      <c r="LJA393" s="104"/>
      <c r="LJB393" s="119"/>
      <c r="LJC393" s="104"/>
      <c r="LJD393" s="455"/>
      <c r="LJE393" s="104"/>
      <c r="LJF393" s="104"/>
      <c r="LJG393" s="109"/>
      <c r="LJH393" s="104"/>
      <c r="LJI393" s="104"/>
      <c r="LJJ393" s="119"/>
      <c r="LJK393" s="104"/>
      <c r="LJL393" s="455"/>
      <c r="LJM393" s="104"/>
      <c r="LJN393" s="104"/>
      <c r="LJO393" s="109"/>
      <c r="LJP393" s="104"/>
      <c r="LJQ393" s="104"/>
      <c r="LJR393" s="119"/>
      <c r="LJS393" s="104"/>
      <c r="LJT393" s="455"/>
      <c r="LJU393" s="104"/>
      <c r="LJV393" s="104"/>
      <c r="LJW393" s="109"/>
      <c r="LJX393" s="104"/>
      <c r="LJY393" s="104"/>
      <c r="LJZ393" s="119"/>
      <c r="LKA393" s="104"/>
      <c r="LKB393" s="455"/>
      <c r="LKC393" s="104"/>
      <c r="LKD393" s="104"/>
      <c r="LKE393" s="109"/>
      <c r="LKF393" s="104"/>
      <c r="LKG393" s="104"/>
      <c r="LKH393" s="119"/>
      <c r="LKI393" s="104"/>
      <c r="LKJ393" s="455"/>
      <c r="LKK393" s="104"/>
      <c r="LKL393" s="104"/>
      <c r="LKM393" s="109"/>
      <c r="LKN393" s="104"/>
      <c r="LKO393" s="104"/>
      <c r="LKP393" s="119"/>
      <c r="LKQ393" s="104"/>
      <c r="LKR393" s="455"/>
      <c r="LKS393" s="104"/>
      <c r="LKT393" s="104"/>
      <c r="LKU393" s="109"/>
      <c r="LKV393" s="104"/>
      <c r="LKW393" s="104"/>
      <c r="LKX393" s="119"/>
      <c r="LKY393" s="104"/>
      <c r="LKZ393" s="455"/>
      <c r="LLA393" s="104"/>
      <c r="LLB393" s="104"/>
      <c r="LLC393" s="109"/>
      <c r="LLD393" s="104"/>
      <c r="LLE393" s="104"/>
      <c r="LLF393" s="119"/>
      <c r="LLG393" s="104"/>
      <c r="LLH393" s="455"/>
      <c r="LLI393" s="104"/>
      <c r="LLJ393" s="104"/>
      <c r="LLK393" s="109"/>
      <c r="LLL393" s="104"/>
      <c r="LLM393" s="104"/>
      <c r="LLN393" s="119"/>
      <c r="LLO393" s="104"/>
      <c r="LLP393" s="455"/>
      <c r="LLQ393" s="104"/>
      <c r="LLR393" s="104"/>
      <c r="LLS393" s="109"/>
      <c r="LLT393" s="104"/>
      <c r="LLU393" s="104"/>
      <c r="LLV393" s="119"/>
      <c r="LLW393" s="104"/>
      <c r="LLX393" s="455"/>
      <c r="LLY393" s="104"/>
      <c r="LLZ393" s="104"/>
      <c r="LMA393" s="109"/>
      <c r="LMB393" s="104"/>
      <c r="LMC393" s="104"/>
      <c r="LMD393" s="119"/>
      <c r="LME393" s="104"/>
      <c r="LMF393" s="455"/>
      <c r="LMG393" s="104"/>
      <c r="LMH393" s="104"/>
      <c r="LMI393" s="109"/>
      <c r="LMJ393" s="104"/>
      <c r="LMK393" s="104"/>
      <c r="LML393" s="119"/>
      <c r="LMM393" s="104"/>
      <c r="LMN393" s="455"/>
      <c r="LMO393" s="104"/>
      <c r="LMP393" s="104"/>
      <c r="LMQ393" s="109"/>
      <c r="LMR393" s="104"/>
      <c r="LMS393" s="104"/>
      <c r="LMT393" s="119"/>
      <c r="LMU393" s="104"/>
      <c r="LMV393" s="455"/>
      <c r="LMW393" s="104"/>
      <c r="LMX393" s="104"/>
      <c r="LMY393" s="109"/>
      <c r="LMZ393" s="104"/>
      <c r="LNA393" s="104"/>
      <c r="LNB393" s="119"/>
      <c r="LNC393" s="104"/>
      <c r="LND393" s="455"/>
      <c r="LNE393" s="104"/>
      <c r="LNF393" s="104"/>
      <c r="LNG393" s="109"/>
      <c r="LNH393" s="104"/>
      <c r="LNI393" s="104"/>
      <c r="LNJ393" s="119"/>
      <c r="LNK393" s="104"/>
      <c r="LNL393" s="455"/>
      <c r="LNM393" s="104"/>
      <c r="LNN393" s="104"/>
      <c r="LNO393" s="109"/>
      <c r="LNP393" s="104"/>
      <c r="LNQ393" s="104"/>
      <c r="LNR393" s="119"/>
      <c r="LNS393" s="104"/>
      <c r="LNT393" s="455"/>
      <c r="LNU393" s="104"/>
      <c r="LNV393" s="104"/>
      <c r="LNW393" s="109"/>
      <c r="LNX393" s="104"/>
      <c r="LNY393" s="104"/>
      <c r="LNZ393" s="119"/>
      <c r="LOA393" s="104"/>
      <c r="LOB393" s="455"/>
      <c r="LOC393" s="104"/>
      <c r="LOD393" s="104"/>
      <c r="LOE393" s="109"/>
      <c r="LOF393" s="104"/>
      <c r="LOG393" s="104"/>
      <c r="LOH393" s="119"/>
      <c r="LOI393" s="104"/>
      <c r="LOJ393" s="455"/>
      <c r="LOK393" s="104"/>
      <c r="LOL393" s="104"/>
      <c r="LOM393" s="109"/>
      <c r="LON393" s="104"/>
      <c r="LOO393" s="104"/>
      <c r="LOP393" s="119"/>
      <c r="LOQ393" s="104"/>
      <c r="LOR393" s="455"/>
      <c r="LOS393" s="104"/>
      <c r="LOT393" s="104"/>
      <c r="LOU393" s="109"/>
      <c r="LOV393" s="104"/>
      <c r="LOW393" s="104"/>
      <c r="LOX393" s="119"/>
      <c r="LOY393" s="104"/>
      <c r="LOZ393" s="455"/>
      <c r="LPA393" s="104"/>
      <c r="LPB393" s="104"/>
      <c r="LPC393" s="109"/>
      <c r="LPD393" s="104"/>
      <c r="LPE393" s="104"/>
      <c r="LPF393" s="119"/>
      <c r="LPG393" s="104"/>
      <c r="LPH393" s="455"/>
      <c r="LPI393" s="104"/>
      <c r="LPJ393" s="104"/>
      <c r="LPK393" s="109"/>
      <c r="LPL393" s="104"/>
      <c r="LPM393" s="104"/>
      <c r="LPN393" s="119"/>
      <c r="LPO393" s="104"/>
      <c r="LPP393" s="455"/>
      <c r="LPQ393" s="104"/>
      <c r="LPR393" s="104"/>
      <c r="LPS393" s="109"/>
      <c r="LPT393" s="104"/>
      <c r="LPU393" s="104"/>
      <c r="LPV393" s="119"/>
      <c r="LPW393" s="104"/>
      <c r="LPX393" s="455"/>
      <c r="LPY393" s="104"/>
      <c r="LPZ393" s="104"/>
      <c r="LQA393" s="109"/>
      <c r="LQB393" s="104"/>
      <c r="LQC393" s="104"/>
      <c r="LQD393" s="119"/>
      <c r="LQE393" s="104"/>
      <c r="LQF393" s="455"/>
      <c r="LQG393" s="104"/>
      <c r="LQH393" s="104"/>
      <c r="LQI393" s="109"/>
      <c r="LQJ393" s="104"/>
      <c r="LQK393" s="104"/>
      <c r="LQL393" s="119"/>
      <c r="LQM393" s="104"/>
      <c r="LQN393" s="455"/>
      <c r="LQO393" s="104"/>
      <c r="LQP393" s="104"/>
      <c r="LQQ393" s="109"/>
      <c r="LQR393" s="104"/>
      <c r="LQS393" s="104"/>
      <c r="LQT393" s="119"/>
      <c r="LQU393" s="104"/>
      <c r="LQV393" s="455"/>
      <c r="LQW393" s="104"/>
      <c r="LQX393" s="104"/>
      <c r="LQY393" s="109"/>
      <c r="LQZ393" s="104"/>
      <c r="LRA393" s="104"/>
      <c r="LRB393" s="119"/>
      <c r="LRC393" s="104"/>
      <c r="LRD393" s="455"/>
      <c r="LRE393" s="104"/>
      <c r="LRF393" s="104"/>
      <c r="LRG393" s="109"/>
      <c r="LRH393" s="104"/>
      <c r="LRI393" s="104"/>
      <c r="LRJ393" s="119"/>
      <c r="LRK393" s="104"/>
      <c r="LRL393" s="455"/>
      <c r="LRM393" s="104"/>
      <c r="LRN393" s="104"/>
      <c r="LRO393" s="109"/>
      <c r="LRP393" s="104"/>
      <c r="LRQ393" s="104"/>
      <c r="LRR393" s="119"/>
      <c r="LRS393" s="104"/>
      <c r="LRT393" s="455"/>
      <c r="LRU393" s="104"/>
      <c r="LRV393" s="104"/>
      <c r="LRW393" s="109"/>
      <c r="LRX393" s="104"/>
      <c r="LRY393" s="104"/>
      <c r="LRZ393" s="119"/>
      <c r="LSA393" s="104"/>
      <c r="LSB393" s="455"/>
      <c r="LSC393" s="104"/>
      <c r="LSD393" s="104"/>
      <c r="LSE393" s="109"/>
      <c r="LSF393" s="104"/>
      <c r="LSG393" s="104"/>
      <c r="LSH393" s="119"/>
      <c r="LSI393" s="104"/>
      <c r="LSJ393" s="455"/>
      <c r="LSK393" s="104"/>
      <c r="LSL393" s="104"/>
      <c r="LSM393" s="109"/>
      <c r="LSN393" s="104"/>
      <c r="LSO393" s="104"/>
      <c r="LSP393" s="119"/>
      <c r="LSQ393" s="104"/>
      <c r="LSR393" s="455"/>
      <c r="LSS393" s="104"/>
      <c r="LST393" s="104"/>
      <c r="LSU393" s="109"/>
      <c r="LSV393" s="104"/>
      <c r="LSW393" s="104"/>
      <c r="LSX393" s="119"/>
      <c r="LSY393" s="104"/>
      <c r="LSZ393" s="455"/>
      <c r="LTA393" s="104"/>
      <c r="LTB393" s="104"/>
      <c r="LTC393" s="109"/>
      <c r="LTD393" s="104"/>
      <c r="LTE393" s="104"/>
      <c r="LTF393" s="119"/>
      <c r="LTG393" s="104"/>
      <c r="LTH393" s="455"/>
      <c r="LTI393" s="104"/>
      <c r="LTJ393" s="104"/>
      <c r="LTK393" s="109"/>
      <c r="LTL393" s="104"/>
      <c r="LTM393" s="104"/>
      <c r="LTN393" s="119"/>
      <c r="LTO393" s="104"/>
      <c r="LTP393" s="455"/>
      <c r="LTQ393" s="104"/>
      <c r="LTR393" s="104"/>
      <c r="LTS393" s="109"/>
      <c r="LTT393" s="104"/>
      <c r="LTU393" s="104"/>
      <c r="LTV393" s="119"/>
      <c r="LTW393" s="104"/>
      <c r="LTX393" s="455"/>
      <c r="LTY393" s="104"/>
      <c r="LTZ393" s="104"/>
      <c r="LUA393" s="109"/>
      <c r="LUB393" s="104"/>
      <c r="LUC393" s="104"/>
      <c r="LUD393" s="119"/>
      <c r="LUE393" s="104"/>
      <c r="LUF393" s="455"/>
      <c r="LUG393" s="104"/>
      <c r="LUH393" s="104"/>
      <c r="LUI393" s="109"/>
      <c r="LUJ393" s="104"/>
      <c r="LUK393" s="104"/>
      <c r="LUL393" s="119"/>
      <c r="LUM393" s="104"/>
      <c r="LUN393" s="455"/>
      <c r="LUO393" s="104"/>
      <c r="LUP393" s="104"/>
      <c r="LUQ393" s="109"/>
      <c r="LUR393" s="104"/>
      <c r="LUS393" s="104"/>
      <c r="LUT393" s="119"/>
      <c r="LUU393" s="104"/>
      <c r="LUV393" s="455"/>
      <c r="LUW393" s="104"/>
      <c r="LUX393" s="104"/>
      <c r="LUY393" s="109"/>
      <c r="LUZ393" s="104"/>
      <c r="LVA393" s="104"/>
      <c r="LVB393" s="119"/>
      <c r="LVC393" s="104"/>
      <c r="LVD393" s="455"/>
      <c r="LVE393" s="104"/>
      <c r="LVF393" s="104"/>
      <c r="LVG393" s="109"/>
      <c r="LVH393" s="104"/>
      <c r="LVI393" s="104"/>
      <c r="LVJ393" s="119"/>
      <c r="LVK393" s="104"/>
      <c r="LVL393" s="455"/>
      <c r="LVM393" s="104"/>
      <c r="LVN393" s="104"/>
      <c r="LVO393" s="109"/>
      <c r="LVP393" s="104"/>
      <c r="LVQ393" s="104"/>
      <c r="LVR393" s="119"/>
      <c r="LVS393" s="104"/>
      <c r="LVT393" s="455"/>
      <c r="LVU393" s="104"/>
      <c r="LVV393" s="104"/>
      <c r="LVW393" s="109"/>
      <c r="LVX393" s="104"/>
      <c r="LVY393" s="104"/>
      <c r="LVZ393" s="119"/>
      <c r="LWA393" s="104"/>
      <c r="LWB393" s="455"/>
      <c r="LWC393" s="104"/>
      <c r="LWD393" s="104"/>
      <c r="LWE393" s="109"/>
      <c r="LWF393" s="104"/>
      <c r="LWG393" s="104"/>
      <c r="LWH393" s="119"/>
      <c r="LWI393" s="104"/>
      <c r="LWJ393" s="455"/>
      <c r="LWK393" s="104"/>
      <c r="LWL393" s="104"/>
      <c r="LWM393" s="109"/>
      <c r="LWN393" s="104"/>
      <c r="LWO393" s="104"/>
      <c r="LWP393" s="119"/>
      <c r="LWQ393" s="104"/>
      <c r="LWR393" s="455"/>
      <c r="LWS393" s="104"/>
      <c r="LWT393" s="104"/>
      <c r="LWU393" s="109"/>
      <c r="LWV393" s="104"/>
      <c r="LWW393" s="104"/>
      <c r="LWX393" s="119"/>
      <c r="LWY393" s="104"/>
      <c r="LWZ393" s="455"/>
      <c r="LXA393" s="104"/>
      <c r="LXB393" s="104"/>
      <c r="LXC393" s="109"/>
      <c r="LXD393" s="104"/>
      <c r="LXE393" s="104"/>
      <c r="LXF393" s="119"/>
      <c r="LXG393" s="104"/>
      <c r="LXH393" s="455"/>
      <c r="LXI393" s="104"/>
      <c r="LXJ393" s="104"/>
      <c r="LXK393" s="109"/>
      <c r="LXL393" s="104"/>
      <c r="LXM393" s="104"/>
      <c r="LXN393" s="119"/>
      <c r="LXO393" s="104"/>
      <c r="LXP393" s="455"/>
      <c r="LXQ393" s="104"/>
      <c r="LXR393" s="104"/>
      <c r="LXS393" s="109"/>
      <c r="LXT393" s="104"/>
      <c r="LXU393" s="104"/>
      <c r="LXV393" s="119"/>
      <c r="LXW393" s="104"/>
      <c r="LXX393" s="455"/>
      <c r="LXY393" s="104"/>
      <c r="LXZ393" s="104"/>
      <c r="LYA393" s="109"/>
      <c r="LYB393" s="104"/>
      <c r="LYC393" s="104"/>
      <c r="LYD393" s="119"/>
      <c r="LYE393" s="104"/>
      <c r="LYF393" s="455"/>
      <c r="LYG393" s="104"/>
      <c r="LYH393" s="104"/>
      <c r="LYI393" s="109"/>
      <c r="LYJ393" s="104"/>
      <c r="LYK393" s="104"/>
      <c r="LYL393" s="119"/>
      <c r="LYM393" s="104"/>
      <c r="LYN393" s="455"/>
      <c r="LYO393" s="104"/>
      <c r="LYP393" s="104"/>
      <c r="LYQ393" s="109"/>
      <c r="LYR393" s="104"/>
      <c r="LYS393" s="104"/>
      <c r="LYT393" s="119"/>
      <c r="LYU393" s="104"/>
      <c r="LYV393" s="455"/>
      <c r="LYW393" s="104"/>
      <c r="LYX393" s="104"/>
      <c r="LYY393" s="109"/>
      <c r="LYZ393" s="104"/>
      <c r="LZA393" s="104"/>
      <c r="LZB393" s="119"/>
      <c r="LZC393" s="104"/>
      <c r="LZD393" s="455"/>
      <c r="LZE393" s="104"/>
      <c r="LZF393" s="104"/>
      <c r="LZG393" s="109"/>
      <c r="LZH393" s="104"/>
      <c r="LZI393" s="104"/>
      <c r="LZJ393" s="119"/>
      <c r="LZK393" s="104"/>
      <c r="LZL393" s="455"/>
      <c r="LZM393" s="104"/>
      <c r="LZN393" s="104"/>
      <c r="LZO393" s="109"/>
      <c r="LZP393" s="104"/>
      <c r="LZQ393" s="104"/>
      <c r="LZR393" s="119"/>
      <c r="LZS393" s="104"/>
      <c r="LZT393" s="455"/>
      <c r="LZU393" s="104"/>
      <c r="LZV393" s="104"/>
      <c r="LZW393" s="109"/>
      <c r="LZX393" s="104"/>
      <c r="LZY393" s="104"/>
      <c r="LZZ393" s="119"/>
      <c r="MAA393" s="104"/>
      <c r="MAB393" s="455"/>
      <c r="MAC393" s="104"/>
      <c r="MAD393" s="104"/>
      <c r="MAE393" s="109"/>
      <c r="MAF393" s="104"/>
      <c r="MAG393" s="104"/>
      <c r="MAH393" s="119"/>
      <c r="MAI393" s="104"/>
      <c r="MAJ393" s="455"/>
      <c r="MAK393" s="104"/>
      <c r="MAL393" s="104"/>
      <c r="MAM393" s="109"/>
      <c r="MAN393" s="104"/>
      <c r="MAO393" s="104"/>
      <c r="MAP393" s="119"/>
      <c r="MAQ393" s="104"/>
      <c r="MAR393" s="455"/>
      <c r="MAS393" s="104"/>
      <c r="MAT393" s="104"/>
      <c r="MAU393" s="109"/>
      <c r="MAV393" s="104"/>
      <c r="MAW393" s="104"/>
      <c r="MAX393" s="119"/>
      <c r="MAY393" s="104"/>
      <c r="MAZ393" s="455"/>
      <c r="MBA393" s="104"/>
      <c r="MBB393" s="104"/>
      <c r="MBC393" s="109"/>
      <c r="MBD393" s="104"/>
      <c r="MBE393" s="104"/>
      <c r="MBF393" s="119"/>
      <c r="MBG393" s="104"/>
      <c r="MBH393" s="455"/>
      <c r="MBI393" s="104"/>
      <c r="MBJ393" s="104"/>
      <c r="MBK393" s="109"/>
      <c r="MBL393" s="104"/>
      <c r="MBM393" s="104"/>
      <c r="MBN393" s="119"/>
      <c r="MBO393" s="104"/>
      <c r="MBP393" s="455"/>
      <c r="MBQ393" s="104"/>
      <c r="MBR393" s="104"/>
      <c r="MBS393" s="109"/>
      <c r="MBT393" s="104"/>
      <c r="MBU393" s="104"/>
      <c r="MBV393" s="119"/>
      <c r="MBW393" s="104"/>
      <c r="MBX393" s="455"/>
      <c r="MBY393" s="104"/>
      <c r="MBZ393" s="104"/>
      <c r="MCA393" s="109"/>
      <c r="MCB393" s="104"/>
      <c r="MCC393" s="104"/>
      <c r="MCD393" s="119"/>
      <c r="MCE393" s="104"/>
      <c r="MCF393" s="455"/>
      <c r="MCG393" s="104"/>
      <c r="MCH393" s="104"/>
      <c r="MCI393" s="109"/>
      <c r="MCJ393" s="104"/>
      <c r="MCK393" s="104"/>
      <c r="MCL393" s="119"/>
      <c r="MCM393" s="104"/>
      <c r="MCN393" s="455"/>
      <c r="MCO393" s="104"/>
      <c r="MCP393" s="104"/>
      <c r="MCQ393" s="109"/>
      <c r="MCR393" s="104"/>
      <c r="MCS393" s="104"/>
      <c r="MCT393" s="119"/>
      <c r="MCU393" s="104"/>
      <c r="MCV393" s="455"/>
      <c r="MCW393" s="104"/>
      <c r="MCX393" s="104"/>
      <c r="MCY393" s="109"/>
      <c r="MCZ393" s="104"/>
      <c r="MDA393" s="104"/>
      <c r="MDB393" s="119"/>
      <c r="MDC393" s="104"/>
      <c r="MDD393" s="455"/>
      <c r="MDE393" s="104"/>
      <c r="MDF393" s="104"/>
      <c r="MDG393" s="109"/>
      <c r="MDH393" s="104"/>
      <c r="MDI393" s="104"/>
      <c r="MDJ393" s="119"/>
      <c r="MDK393" s="104"/>
      <c r="MDL393" s="455"/>
      <c r="MDM393" s="104"/>
      <c r="MDN393" s="104"/>
      <c r="MDO393" s="109"/>
      <c r="MDP393" s="104"/>
      <c r="MDQ393" s="104"/>
      <c r="MDR393" s="119"/>
      <c r="MDS393" s="104"/>
      <c r="MDT393" s="455"/>
      <c r="MDU393" s="104"/>
      <c r="MDV393" s="104"/>
      <c r="MDW393" s="109"/>
      <c r="MDX393" s="104"/>
      <c r="MDY393" s="104"/>
      <c r="MDZ393" s="119"/>
      <c r="MEA393" s="104"/>
      <c r="MEB393" s="455"/>
      <c r="MEC393" s="104"/>
      <c r="MED393" s="104"/>
      <c r="MEE393" s="109"/>
      <c r="MEF393" s="104"/>
      <c r="MEG393" s="104"/>
      <c r="MEH393" s="119"/>
      <c r="MEI393" s="104"/>
      <c r="MEJ393" s="455"/>
      <c r="MEK393" s="104"/>
      <c r="MEL393" s="104"/>
      <c r="MEM393" s="109"/>
      <c r="MEN393" s="104"/>
      <c r="MEO393" s="104"/>
      <c r="MEP393" s="119"/>
      <c r="MEQ393" s="104"/>
      <c r="MER393" s="455"/>
      <c r="MES393" s="104"/>
      <c r="MET393" s="104"/>
      <c r="MEU393" s="109"/>
      <c r="MEV393" s="104"/>
      <c r="MEW393" s="104"/>
      <c r="MEX393" s="119"/>
      <c r="MEY393" s="104"/>
      <c r="MEZ393" s="455"/>
      <c r="MFA393" s="104"/>
      <c r="MFB393" s="104"/>
      <c r="MFC393" s="109"/>
      <c r="MFD393" s="104"/>
      <c r="MFE393" s="104"/>
      <c r="MFF393" s="119"/>
      <c r="MFG393" s="104"/>
      <c r="MFH393" s="455"/>
      <c r="MFI393" s="104"/>
      <c r="MFJ393" s="104"/>
      <c r="MFK393" s="109"/>
      <c r="MFL393" s="104"/>
      <c r="MFM393" s="104"/>
      <c r="MFN393" s="119"/>
      <c r="MFO393" s="104"/>
      <c r="MFP393" s="455"/>
      <c r="MFQ393" s="104"/>
      <c r="MFR393" s="104"/>
      <c r="MFS393" s="109"/>
      <c r="MFT393" s="104"/>
      <c r="MFU393" s="104"/>
      <c r="MFV393" s="119"/>
      <c r="MFW393" s="104"/>
      <c r="MFX393" s="455"/>
      <c r="MFY393" s="104"/>
      <c r="MFZ393" s="104"/>
      <c r="MGA393" s="109"/>
      <c r="MGB393" s="104"/>
      <c r="MGC393" s="104"/>
      <c r="MGD393" s="119"/>
      <c r="MGE393" s="104"/>
      <c r="MGF393" s="455"/>
      <c r="MGG393" s="104"/>
      <c r="MGH393" s="104"/>
      <c r="MGI393" s="109"/>
      <c r="MGJ393" s="104"/>
      <c r="MGK393" s="104"/>
      <c r="MGL393" s="119"/>
      <c r="MGM393" s="104"/>
      <c r="MGN393" s="455"/>
      <c r="MGO393" s="104"/>
      <c r="MGP393" s="104"/>
      <c r="MGQ393" s="109"/>
      <c r="MGR393" s="104"/>
      <c r="MGS393" s="104"/>
      <c r="MGT393" s="119"/>
      <c r="MGU393" s="104"/>
      <c r="MGV393" s="455"/>
      <c r="MGW393" s="104"/>
      <c r="MGX393" s="104"/>
      <c r="MGY393" s="109"/>
      <c r="MGZ393" s="104"/>
      <c r="MHA393" s="104"/>
      <c r="MHB393" s="119"/>
      <c r="MHC393" s="104"/>
      <c r="MHD393" s="455"/>
      <c r="MHE393" s="104"/>
      <c r="MHF393" s="104"/>
      <c r="MHG393" s="109"/>
      <c r="MHH393" s="104"/>
      <c r="MHI393" s="104"/>
      <c r="MHJ393" s="119"/>
      <c r="MHK393" s="104"/>
      <c r="MHL393" s="455"/>
      <c r="MHM393" s="104"/>
      <c r="MHN393" s="104"/>
      <c r="MHO393" s="109"/>
      <c r="MHP393" s="104"/>
      <c r="MHQ393" s="104"/>
      <c r="MHR393" s="119"/>
      <c r="MHS393" s="104"/>
      <c r="MHT393" s="455"/>
      <c r="MHU393" s="104"/>
      <c r="MHV393" s="104"/>
      <c r="MHW393" s="109"/>
      <c r="MHX393" s="104"/>
      <c r="MHY393" s="104"/>
      <c r="MHZ393" s="119"/>
      <c r="MIA393" s="104"/>
      <c r="MIB393" s="455"/>
      <c r="MIC393" s="104"/>
      <c r="MID393" s="104"/>
      <c r="MIE393" s="109"/>
      <c r="MIF393" s="104"/>
      <c r="MIG393" s="104"/>
      <c r="MIH393" s="119"/>
      <c r="MII393" s="104"/>
      <c r="MIJ393" s="455"/>
      <c r="MIK393" s="104"/>
      <c r="MIL393" s="104"/>
      <c r="MIM393" s="109"/>
      <c r="MIN393" s="104"/>
      <c r="MIO393" s="104"/>
      <c r="MIP393" s="119"/>
      <c r="MIQ393" s="104"/>
      <c r="MIR393" s="455"/>
      <c r="MIS393" s="104"/>
      <c r="MIT393" s="104"/>
      <c r="MIU393" s="109"/>
      <c r="MIV393" s="104"/>
      <c r="MIW393" s="104"/>
      <c r="MIX393" s="119"/>
      <c r="MIY393" s="104"/>
      <c r="MIZ393" s="455"/>
      <c r="MJA393" s="104"/>
      <c r="MJB393" s="104"/>
      <c r="MJC393" s="109"/>
      <c r="MJD393" s="104"/>
      <c r="MJE393" s="104"/>
      <c r="MJF393" s="119"/>
      <c r="MJG393" s="104"/>
      <c r="MJH393" s="455"/>
      <c r="MJI393" s="104"/>
      <c r="MJJ393" s="104"/>
      <c r="MJK393" s="109"/>
      <c r="MJL393" s="104"/>
      <c r="MJM393" s="104"/>
      <c r="MJN393" s="119"/>
      <c r="MJO393" s="104"/>
      <c r="MJP393" s="455"/>
      <c r="MJQ393" s="104"/>
      <c r="MJR393" s="104"/>
      <c r="MJS393" s="109"/>
      <c r="MJT393" s="104"/>
      <c r="MJU393" s="104"/>
      <c r="MJV393" s="119"/>
      <c r="MJW393" s="104"/>
      <c r="MJX393" s="455"/>
      <c r="MJY393" s="104"/>
      <c r="MJZ393" s="104"/>
      <c r="MKA393" s="109"/>
      <c r="MKB393" s="104"/>
      <c r="MKC393" s="104"/>
      <c r="MKD393" s="119"/>
      <c r="MKE393" s="104"/>
      <c r="MKF393" s="455"/>
      <c r="MKG393" s="104"/>
      <c r="MKH393" s="104"/>
      <c r="MKI393" s="109"/>
      <c r="MKJ393" s="104"/>
      <c r="MKK393" s="104"/>
      <c r="MKL393" s="119"/>
      <c r="MKM393" s="104"/>
      <c r="MKN393" s="455"/>
      <c r="MKO393" s="104"/>
      <c r="MKP393" s="104"/>
      <c r="MKQ393" s="109"/>
      <c r="MKR393" s="104"/>
      <c r="MKS393" s="104"/>
      <c r="MKT393" s="119"/>
      <c r="MKU393" s="104"/>
      <c r="MKV393" s="455"/>
      <c r="MKW393" s="104"/>
      <c r="MKX393" s="104"/>
      <c r="MKY393" s="109"/>
      <c r="MKZ393" s="104"/>
      <c r="MLA393" s="104"/>
      <c r="MLB393" s="119"/>
      <c r="MLC393" s="104"/>
      <c r="MLD393" s="455"/>
      <c r="MLE393" s="104"/>
      <c r="MLF393" s="104"/>
      <c r="MLG393" s="109"/>
      <c r="MLH393" s="104"/>
      <c r="MLI393" s="104"/>
      <c r="MLJ393" s="119"/>
      <c r="MLK393" s="104"/>
      <c r="MLL393" s="455"/>
      <c r="MLM393" s="104"/>
      <c r="MLN393" s="104"/>
      <c r="MLO393" s="109"/>
      <c r="MLP393" s="104"/>
      <c r="MLQ393" s="104"/>
      <c r="MLR393" s="119"/>
      <c r="MLS393" s="104"/>
      <c r="MLT393" s="455"/>
      <c r="MLU393" s="104"/>
      <c r="MLV393" s="104"/>
      <c r="MLW393" s="109"/>
      <c r="MLX393" s="104"/>
      <c r="MLY393" s="104"/>
      <c r="MLZ393" s="119"/>
      <c r="MMA393" s="104"/>
      <c r="MMB393" s="455"/>
      <c r="MMC393" s="104"/>
      <c r="MMD393" s="104"/>
      <c r="MME393" s="109"/>
      <c r="MMF393" s="104"/>
      <c r="MMG393" s="104"/>
      <c r="MMH393" s="119"/>
      <c r="MMI393" s="104"/>
      <c r="MMJ393" s="455"/>
      <c r="MMK393" s="104"/>
      <c r="MML393" s="104"/>
      <c r="MMM393" s="109"/>
      <c r="MMN393" s="104"/>
      <c r="MMO393" s="104"/>
      <c r="MMP393" s="119"/>
      <c r="MMQ393" s="104"/>
      <c r="MMR393" s="455"/>
      <c r="MMS393" s="104"/>
      <c r="MMT393" s="104"/>
      <c r="MMU393" s="109"/>
      <c r="MMV393" s="104"/>
      <c r="MMW393" s="104"/>
      <c r="MMX393" s="119"/>
      <c r="MMY393" s="104"/>
      <c r="MMZ393" s="455"/>
      <c r="MNA393" s="104"/>
      <c r="MNB393" s="104"/>
      <c r="MNC393" s="109"/>
      <c r="MND393" s="104"/>
      <c r="MNE393" s="104"/>
      <c r="MNF393" s="119"/>
      <c r="MNG393" s="104"/>
      <c r="MNH393" s="455"/>
      <c r="MNI393" s="104"/>
      <c r="MNJ393" s="104"/>
      <c r="MNK393" s="109"/>
      <c r="MNL393" s="104"/>
      <c r="MNM393" s="104"/>
      <c r="MNN393" s="119"/>
      <c r="MNO393" s="104"/>
      <c r="MNP393" s="455"/>
      <c r="MNQ393" s="104"/>
      <c r="MNR393" s="104"/>
      <c r="MNS393" s="109"/>
      <c r="MNT393" s="104"/>
      <c r="MNU393" s="104"/>
      <c r="MNV393" s="119"/>
      <c r="MNW393" s="104"/>
      <c r="MNX393" s="455"/>
      <c r="MNY393" s="104"/>
      <c r="MNZ393" s="104"/>
      <c r="MOA393" s="109"/>
      <c r="MOB393" s="104"/>
      <c r="MOC393" s="104"/>
      <c r="MOD393" s="119"/>
      <c r="MOE393" s="104"/>
      <c r="MOF393" s="455"/>
      <c r="MOG393" s="104"/>
      <c r="MOH393" s="104"/>
      <c r="MOI393" s="109"/>
      <c r="MOJ393" s="104"/>
      <c r="MOK393" s="104"/>
      <c r="MOL393" s="119"/>
      <c r="MOM393" s="104"/>
      <c r="MON393" s="455"/>
      <c r="MOO393" s="104"/>
      <c r="MOP393" s="104"/>
      <c r="MOQ393" s="109"/>
      <c r="MOR393" s="104"/>
      <c r="MOS393" s="104"/>
      <c r="MOT393" s="119"/>
      <c r="MOU393" s="104"/>
      <c r="MOV393" s="455"/>
      <c r="MOW393" s="104"/>
      <c r="MOX393" s="104"/>
      <c r="MOY393" s="109"/>
      <c r="MOZ393" s="104"/>
      <c r="MPA393" s="104"/>
      <c r="MPB393" s="119"/>
      <c r="MPC393" s="104"/>
      <c r="MPD393" s="455"/>
      <c r="MPE393" s="104"/>
      <c r="MPF393" s="104"/>
      <c r="MPG393" s="109"/>
      <c r="MPH393" s="104"/>
      <c r="MPI393" s="104"/>
      <c r="MPJ393" s="119"/>
      <c r="MPK393" s="104"/>
      <c r="MPL393" s="455"/>
      <c r="MPM393" s="104"/>
      <c r="MPN393" s="104"/>
      <c r="MPO393" s="109"/>
      <c r="MPP393" s="104"/>
      <c r="MPQ393" s="104"/>
      <c r="MPR393" s="119"/>
      <c r="MPS393" s="104"/>
      <c r="MPT393" s="455"/>
      <c r="MPU393" s="104"/>
      <c r="MPV393" s="104"/>
      <c r="MPW393" s="109"/>
      <c r="MPX393" s="104"/>
      <c r="MPY393" s="104"/>
      <c r="MPZ393" s="119"/>
      <c r="MQA393" s="104"/>
      <c r="MQB393" s="455"/>
      <c r="MQC393" s="104"/>
      <c r="MQD393" s="104"/>
      <c r="MQE393" s="109"/>
      <c r="MQF393" s="104"/>
      <c r="MQG393" s="104"/>
      <c r="MQH393" s="119"/>
      <c r="MQI393" s="104"/>
      <c r="MQJ393" s="455"/>
      <c r="MQK393" s="104"/>
      <c r="MQL393" s="104"/>
      <c r="MQM393" s="109"/>
      <c r="MQN393" s="104"/>
      <c r="MQO393" s="104"/>
      <c r="MQP393" s="119"/>
      <c r="MQQ393" s="104"/>
      <c r="MQR393" s="455"/>
      <c r="MQS393" s="104"/>
      <c r="MQT393" s="104"/>
      <c r="MQU393" s="109"/>
      <c r="MQV393" s="104"/>
      <c r="MQW393" s="104"/>
      <c r="MQX393" s="119"/>
      <c r="MQY393" s="104"/>
      <c r="MQZ393" s="455"/>
      <c r="MRA393" s="104"/>
      <c r="MRB393" s="104"/>
      <c r="MRC393" s="109"/>
      <c r="MRD393" s="104"/>
      <c r="MRE393" s="104"/>
      <c r="MRF393" s="119"/>
      <c r="MRG393" s="104"/>
      <c r="MRH393" s="455"/>
      <c r="MRI393" s="104"/>
      <c r="MRJ393" s="104"/>
      <c r="MRK393" s="109"/>
      <c r="MRL393" s="104"/>
      <c r="MRM393" s="104"/>
      <c r="MRN393" s="119"/>
      <c r="MRO393" s="104"/>
      <c r="MRP393" s="455"/>
      <c r="MRQ393" s="104"/>
      <c r="MRR393" s="104"/>
      <c r="MRS393" s="109"/>
      <c r="MRT393" s="104"/>
      <c r="MRU393" s="104"/>
      <c r="MRV393" s="119"/>
      <c r="MRW393" s="104"/>
      <c r="MRX393" s="455"/>
      <c r="MRY393" s="104"/>
      <c r="MRZ393" s="104"/>
      <c r="MSA393" s="109"/>
      <c r="MSB393" s="104"/>
      <c r="MSC393" s="104"/>
      <c r="MSD393" s="119"/>
      <c r="MSE393" s="104"/>
      <c r="MSF393" s="455"/>
      <c r="MSG393" s="104"/>
      <c r="MSH393" s="104"/>
      <c r="MSI393" s="109"/>
      <c r="MSJ393" s="104"/>
      <c r="MSK393" s="104"/>
      <c r="MSL393" s="119"/>
      <c r="MSM393" s="104"/>
      <c r="MSN393" s="455"/>
      <c r="MSO393" s="104"/>
      <c r="MSP393" s="104"/>
      <c r="MSQ393" s="109"/>
      <c r="MSR393" s="104"/>
      <c r="MSS393" s="104"/>
      <c r="MST393" s="119"/>
      <c r="MSU393" s="104"/>
      <c r="MSV393" s="455"/>
      <c r="MSW393" s="104"/>
      <c r="MSX393" s="104"/>
      <c r="MSY393" s="109"/>
      <c r="MSZ393" s="104"/>
      <c r="MTA393" s="104"/>
      <c r="MTB393" s="119"/>
      <c r="MTC393" s="104"/>
      <c r="MTD393" s="455"/>
      <c r="MTE393" s="104"/>
      <c r="MTF393" s="104"/>
      <c r="MTG393" s="109"/>
      <c r="MTH393" s="104"/>
      <c r="MTI393" s="104"/>
      <c r="MTJ393" s="119"/>
      <c r="MTK393" s="104"/>
      <c r="MTL393" s="455"/>
      <c r="MTM393" s="104"/>
      <c r="MTN393" s="104"/>
      <c r="MTO393" s="109"/>
      <c r="MTP393" s="104"/>
      <c r="MTQ393" s="104"/>
      <c r="MTR393" s="119"/>
      <c r="MTS393" s="104"/>
      <c r="MTT393" s="455"/>
      <c r="MTU393" s="104"/>
      <c r="MTV393" s="104"/>
      <c r="MTW393" s="109"/>
      <c r="MTX393" s="104"/>
      <c r="MTY393" s="104"/>
      <c r="MTZ393" s="119"/>
      <c r="MUA393" s="104"/>
      <c r="MUB393" s="455"/>
      <c r="MUC393" s="104"/>
      <c r="MUD393" s="104"/>
      <c r="MUE393" s="109"/>
      <c r="MUF393" s="104"/>
      <c r="MUG393" s="104"/>
      <c r="MUH393" s="119"/>
      <c r="MUI393" s="104"/>
      <c r="MUJ393" s="455"/>
      <c r="MUK393" s="104"/>
      <c r="MUL393" s="104"/>
      <c r="MUM393" s="109"/>
      <c r="MUN393" s="104"/>
      <c r="MUO393" s="104"/>
      <c r="MUP393" s="119"/>
      <c r="MUQ393" s="104"/>
      <c r="MUR393" s="455"/>
      <c r="MUS393" s="104"/>
      <c r="MUT393" s="104"/>
      <c r="MUU393" s="109"/>
      <c r="MUV393" s="104"/>
      <c r="MUW393" s="104"/>
      <c r="MUX393" s="119"/>
      <c r="MUY393" s="104"/>
      <c r="MUZ393" s="455"/>
      <c r="MVA393" s="104"/>
      <c r="MVB393" s="104"/>
      <c r="MVC393" s="109"/>
      <c r="MVD393" s="104"/>
      <c r="MVE393" s="104"/>
      <c r="MVF393" s="119"/>
      <c r="MVG393" s="104"/>
      <c r="MVH393" s="455"/>
      <c r="MVI393" s="104"/>
      <c r="MVJ393" s="104"/>
      <c r="MVK393" s="109"/>
      <c r="MVL393" s="104"/>
      <c r="MVM393" s="104"/>
      <c r="MVN393" s="119"/>
      <c r="MVO393" s="104"/>
      <c r="MVP393" s="455"/>
      <c r="MVQ393" s="104"/>
      <c r="MVR393" s="104"/>
      <c r="MVS393" s="109"/>
      <c r="MVT393" s="104"/>
      <c r="MVU393" s="104"/>
      <c r="MVV393" s="119"/>
      <c r="MVW393" s="104"/>
      <c r="MVX393" s="455"/>
      <c r="MVY393" s="104"/>
      <c r="MVZ393" s="104"/>
      <c r="MWA393" s="109"/>
      <c r="MWB393" s="104"/>
      <c r="MWC393" s="104"/>
      <c r="MWD393" s="119"/>
      <c r="MWE393" s="104"/>
      <c r="MWF393" s="455"/>
      <c r="MWG393" s="104"/>
      <c r="MWH393" s="104"/>
      <c r="MWI393" s="109"/>
      <c r="MWJ393" s="104"/>
      <c r="MWK393" s="104"/>
      <c r="MWL393" s="119"/>
      <c r="MWM393" s="104"/>
      <c r="MWN393" s="455"/>
      <c r="MWO393" s="104"/>
      <c r="MWP393" s="104"/>
      <c r="MWQ393" s="109"/>
      <c r="MWR393" s="104"/>
      <c r="MWS393" s="104"/>
      <c r="MWT393" s="119"/>
      <c r="MWU393" s="104"/>
      <c r="MWV393" s="455"/>
      <c r="MWW393" s="104"/>
      <c r="MWX393" s="104"/>
      <c r="MWY393" s="109"/>
      <c r="MWZ393" s="104"/>
      <c r="MXA393" s="104"/>
      <c r="MXB393" s="119"/>
      <c r="MXC393" s="104"/>
      <c r="MXD393" s="455"/>
      <c r="MXE393" s="104"/>
      <c r="MXF393" s="104"/>
      <c r="MXG393" s="109"/>
      <c r="MXH393" s="104"/>
      <c r="MXI393" s="104"/>
      <c r="MXJ393" s="119"/>
      <c r="MXK393" s="104"/>
      <c r="MXL393" s="455"/>
      <c r="MXM393" s="104"/>
      <c r="MXN393" s="104"/>
      <c r="MXO393" s="109"/>
      <c r="MXP393" s="104"/>
      <c r="MXQ393" s="104"/>
      <c r="MXR393" s="119"/>
      <c r="MXS393" s="104"/>
      <c r="MXT393" s="455"/>
      <c r="MXU393" s="104"/>
      <c r="MXV393" s="104"/>
      <c r="MXW393" s="109"/>
      <c r="MXX393" s="104"/>
      <c r="MXY393" s="104"/>
      <c r="MXZ393" s="119"/>
      <c r="MYA393" s="104"/>
      <c r="MYB393" s="455"/>
      <c r="MYC393" s="104"/>
      <c r="MYD393" s="104"/>
      <c r="MYE393" s="109"/>
      <c r="MYF393" s="104"/>
      <c r="MYG393" s="104"/>
      <c r="MYH393" s="119"/>
      <c r="MYI393" s="104"/>
      <c r="MYJ393" s="455"/>
      <c r="MYK393" s="104"/>
      <c r="MYL393" s="104"/>
      <c r="MYM393" s="109"/>
      <c r="MYN393" s="104"/>
      <c r="MYO393" s="104"/>
      <c r="MYP393" s="119"/>
      <c r="MYQ393" s="104"/>
      <c r="MYR393" s="455"/>
      <c r="MYS393" s="104"/>
      <c r="MYT393" s="104"/>
      <c r="MYU393" s="109"/>
      <c r="MYV393" s="104"/>
      <c r="MYW393" s="104"/>
      <c r="MYX393" s="119"/>
      <c r="MYY393" s="104"/>
      <c r="MYZ393" s="455"/>
      <c r="MZA393" s="104"/>
      <c r="MZB393" s="104"/>
      <c r="MZC393" s="109"/>
      <c r="MZD393" s="104"/>
      <c r="MZE393" s="104"/>
      <c r="MZF393" s="119"/>
      <c r="MZG393" s="104"/>
      <c r="MZH393" s="455"/>
      <c r="MZI393" s="104"/>
      <c r="MZJ393" s="104"/>
      <c r="MZK393" s="109"/>
      <c r="MZL393" s="104"/>
      <c r="MZM393" s="104"/>
      <c r="MZN393" s="119"/>
      <c r="MZO393" s="104"/>
      <c r="MZP393" s="455"/>
      <c r="MZQ393" s="104"/>
      <c r="MZR393" s="104"/>
      <c r="MZS393" s="109"/>
      <c r="MZT393" s="104"/>
      <c r="MZU393" s="104"/>
      <c r="MZV393" s="119"/>
      <c r="MZW393" s="104"/>
      <c r="MZX393" s="455"/>
      <c r="MZY393" s="104"/>
      <c r="MZZ393" s="104"/>
      <c r="NAA393" s="109"/>
      <c r="NAB393" s="104"/>
      <c r="NAC393" s="104"/>
      <c r="NAD393" s="119"/>
      <c r="NAE393" s="104"/>
      <c r="NAF393" s="455"/>
      <c r="NAG393" s="104"/>
      <c r="NAH393" s="104"/>
      <c r="NAI393" s="109"/>
      <c r="NAJ393" s="104"/>
      <c r="NAK393" s="104"/>
      <c r="NAL393" s="119"/>
      <c r="NAM393" s="104"/>
      <c r="NAN393" s="455"/>
      <c r="NAO393" s="104"/>
      <c r="NAP393" s="104"/>
      <c r="NAQ393" s="109"/>
      <c r="NAR393" s="104"/>
      <c r="NAS393" s="104"/>
      <c r="NAT393" s="119"/>
      <c r="NAU393" s="104"/>
      <c r="NAV393" s="455"/>
      <c r="NAW393" s="104"/>
      <c r="NAX393" s="104"/>
      <c r="NAY393" s="109"/>
      <c r="NAZ393" s="104"/>
      <c r="NBA393" s="104"/>
      <c r="NBB393" s="119"/>
      <c r="NBC393" s="104"/>
      <c r="NBD393" s="455"/>
      <c r="NBE393" s="104"/>
      <c r="NBF393" s="104"/>
      <c r="NBG393" s="109"/>
      <c r="NBH393" s="104"/>
      <c r="NBI393" s="104"/>
      <c r="NBJ393" s="119"/>
      <c r="NBK393" s="104"/>
      <c r="NBL393" s="455"/>
      <c r="NBM393" s="104"/>
      <c r="NBN393" s="104"/>
      <c r="NBO393" s="109"/>
      <c r="NBP393" s="104"/>
      <c r="NBQ393" s="104"/>
      <c r="NBR393" s="119"/>
      <c r="NBS393" s="104"/>
      <c r="NBT393" s="455"/>
      <c r="NBU393" s="104"/>
      <c r="NBV393" s="104"/>
      <c r="NBW393" s="109"/>
      <c r="NBX393" s="104"/>
      <c r="NBY393" s="104"/>
      <c r="NBZ393" s="119"/>
      <c r="NCA393" s="104"/>
      <c r="NCB393" s="455"/>
      <c r="NCC393" s="104"/>
      <c r="NCD393" s="104"/>
      <c r="NCE393" s="109"/>
      <c r="NCF393" s="104"/>
      <c r="NCG393" s="104"/>
      <c r="NCH393" s="119"/>
      <c r="NCI393" s="104"/>
      <c r="NCJ393" s="455"/>
      <c r="NCK393" s="104"/>
      <c r="NCL393" s="104"/>
      <c r="NCM393" s="109"/>
      <c r="NCN393" s="104"/>
      <c r="NCO393" s="104"/>
      <c r="NCP393" s="119"/>
      <c r="NCQ393" s="104"/>
      <c r="NCR393" s="455"/>
      <c r="NCS393" s="104"/>
      <c r="NCT393" s="104"/>
      <c r="NCU393" s="109"/>
      <c r="NCV393" s="104"/>
      <c r="NCW393" s="104"/>
      <c r="NCX393" s="119"/>
      <c r="NCY393" s="104"/>
      <c r="NCZ393" s="455"/>
      <c r="NDA393" s="104"/>
      <c r="NDB393" s="104"/>
      <c r="NDC393" s="109"/>
      <c r="NDD393" s="104"/>
      <c r="NDE393" s="104"/>
      <c r="NDF393" s="119"/>
      <c r="NDG393" s="104"/>
      <c r="NDH393" s="455"/>
      <c r="NDI393" s="104"/>
      <c r="NDJ393" s="104"/>
      <c r="NDK393" s="109"/>
      <c r="NDL393" s="104"/>
      <c r="NDM393" s="104"/>
      <c r="NDN393" s="119"/>
      <c r="NDO393" s="104"/>
      <c r="NDP393" s="455"/>
      <c r="NDQ393" s="104"/>
      <c r="NDR393" s="104"/>
      <c r="NDS393" s="109"/>
      <c r="NDT393" s="104"/>
      <c r="NDU393" s="104"/>
      <c r="NDV393" s="119"/>
      <c r="NDW393" s="104"/>
      <c r="NDX393" s="455"/>
      <c r="NDY393" s="104"/>
      <c r="NDZ393" s="104"/>
      <c r="NEA393" s="109"/>
      <c r="NEB393" s="104"/>
      <c r="NEC393" s="104"/>
      <c r="NED393" s="119"/>
      <c r="NEE393" s="104"/>
      <c r="NEF393" s="455"/>
      <c r="NEG393" s="104"/>
      <c r="NEH393" s="104"/>
      <c r="NEI393" s="109"/>
      <c r="NEJ393" s="104"/>
      <c r="NEK393" s="104"/>
      <c r="NEL393" s="119"/>
      <c r="NEM393" s="104"/>
      <c r="NEN393" s="455"/>
      <c r="NEO393" s="104"/>
      <c r="NEP393" s="104"/>
      <c r="NEQ393" s="109"/>
      <c r="NER393" s="104"/>
      <c r="NES393" s="104"/>
      <c r="NET393" s="119"/>
      <c r="NEU393" s="104"/>
      <c r="NEV393" s="455"/>
      <c r="NEW393" s="104"/>
      <c r="NEX393" s="104"/>
      <c r="NEY393" s="109"/>
      <c r="NEZ393" s="104"/>
      <c r="NFA393" s="104"/>
      <c r="NFB393" s="119"/>
      <c r="NFC393" s="104"/>
      <c r="NFD393" s="455"/>
      <c r="NFE393" s="104"/>
      <c r="NFF393" s="104"/>
      <c r="NFG393" s="109"/>
      <c r="NFH393" s="104"/>
      <c r="NFI393" s="104"/>
      <c r="NFJ393" s="119"/>
      <c r="NFK393" s="104"/>
      <c r="NFL393" s="455"/>
      <c r="NFM393" s="104"/>
      <c r="NFN393" s="104"/>
      <c r="NFO393" s="109"/>
      <c r="NFP393" s="104"/>
      <c r="NFQ393" s="104"/>
      <c r="NFR393" s="119"/>
      <c r="NFS393" s="104"/>
      <c r="NFT393" s="455"/>
      <c r="NFU393" s="104"/>
      <c r="NFV393" s="104"/>
      <c r="NFW393" s="109"/>
      <c r="NFX393" s="104"/>
      <c r="NFY393" s="104"/>
      <c r="NFZ393" s="119"/>
      <c r="NGA393" s="104"/>
      <c r="NGB393" s="455"/>
      <c r="NGC393" s="104"/>
      <c r="NGD393" s="104"/>
      <c r="NGE393" s="109"/>
      <c r="NGF393" s="104"/>
      <c r="NGG393" s="104"/>
      <c r="NGH393" s="119"/>
      <c r="NGI393" s="104"/>
      <c r="NGJ393" s="455"/>
      <c r="NGK393" s="104"/>
      <c r="NGL393" s="104"/>
      <c r="NGM393" s="109"/>
      <c r="NGN393" s="104"/>
      <c r="NGO393" s="104"/>
      <c r="NGP393" s="119"/>
      <c r="NGQ393" s="104"/>
      <c r="NGR393" s="455"/>
      <c r="NGS393" s="104"/>
      <c r="NGT393" s="104"/>
      <c r="NGU393" s="109"/>
      <c r="NGV393" s="104"/>
      <c r="NGW393" s="104"/>
      <c r="NGX393" s="119"/>
      <c r="NGY393" s="104"/>
      <c r="NGZ393" s="455"/>
      <c r="NHA393" s="104"/>
      <c r="NHB393" s="104"/>
      <c r="NHC393" s="109"/>
      <c r="NHD393" s="104"/>
      <c r="NHE393" s="104"/>
      <c r="NHF393" s="119"/>
      <c r="NHG393" s="104"/>
      <c r="NHH393" s="455"/>
      <c r="NHI393" s="104"/>
      <c r="NHJ393" s="104"/>
      <c r="NHK393" s="109"/>
      <c r="NHL393" s="104"/>
      <c r="NHM393" s="104"/>
      <c r="NHN393" s="119"/>
      <c r="NHO393" s="104"/>
      <c r="NHP393" s="455"/>
      <c r="NHQ393" s="104"/>
      <c r="NHR393" s="104"/>
      <c r="NHS393" s="109"/>
      <c r="NHT393" s="104"/>
      <c r="NHU393" s="104"/>
      <c r="NHV393" s="119"/>
      <c r="NHW393" s="104"/>
      <c r="NHX393" s="455"/>
      <c r="NHY393" s="104"/>
      <c r="NHZ393" s="104"/>
      <c r="NIA393" s="109"/>
      <c r="NIB393" s="104"/>
      <c r="NIC393" s="104"/>
      <c r="NID393" s="119"/>
      <c r="NIE393" s="104"/>
      <c r="NIF393" s="455"/>
      <c r="NIG393" s="104"/>
      <c r="NIH393" s="104"/>
      <c r="NII393" s="109"/>
      <c r="NIJ393" s="104"/>
      <c r="NIK393" s="104"/>
      <c r="NIL393" s="119"/>
      <c r="NIM393" s="104"/>
      <c r="NIN393" s="455"/>
      <c r="NIO393" s="104"/>
      <c r="NIP393" s="104"/>
      <c r="NIQ393" s="109"/>
      <c r="NIR393" s="104"/>
      <c r="NIS393" s="104"/>
      <c r="NIT393" s="119"/>
      <c r="NIU393" s="104"/>
      <c r="NIV393" s="455"/>
      <c r="NIW393" s="104"/>
      <c r="NIX393" s="104"/>
      <c r="NIY393" s="109"/>
      <c r="NIZ393" s="104"/>
      <c r="NJA393" s="104"/>
      <c r="NJB393" s="119"/>
      <c r="NJC393" s="104"/>
      <c r="NJD393" s="455"/>
      <c r="NJE393" s="104"/>
      <c r="NJF393" s="104"/>
      <c r="NJG393" s="109"/>
      <c r="NJH393" s="104"/>
      <c r="NJI393" s="104"/>
      <c r="NJJ393" s="119"/>
      <c r="NJK393" s="104"/>
      <c r="NJL393" s="455"/>
      <c r="NJM393" s="104"/>
      <c r="NJN393" s="104"/>
      <c r="NJO393" s="109"/>
      <c r="NJP393" s="104"/>
      <c r="NJQ393" s="104"/>
      <c r="NJR393" s="119"/>
      <c r="NJS393" s="104"/>
      <c r="NJT393" s="455"/>
      <c r="NJU393" s="104"/>
      <c r="NJV393" s="104"/>
      <c r="NJW393" s="109"/>
      <c r="NJX393" s="104"/>
      <c r="NJY393" s="104"/>
      <c r="NJZ393" s="119"/>
      <c r="NKA393" s="104"/>
      <c r="NKB393" s="455"/>
      <c r="NKC393" s="104"/>
      <c r="NKD393" s="104"/>
      <c r="NKE393" s="109"/>
      <c r="NKF393" s="104"/>
      <c r="NKG393" s="104"/>
      <c r="NKH393" s="119"/>
      <c r="NKI393" s="104"/>
      <c r="NKJ393" s="455"/>
      <c r="NKK393" s="104"/>
      <c r="NKL393" s="104"/>
      <c r="NKM393" s="109"/>
      <c r="NKN393" s="104"/>
      <c r="NKO393" s="104"/>
      <c r="NKP393" s="119"/>
      <c r="NKQ393" s="104"/>
      <c r="NKR393" s="455"/>
      <c r="NKS393" s="104"/>
      <c r="NKT393" s="104"/>
      <c r="NKU393" s="109"/>
      <c r="NKV393" s="104"/>
      <c r="NKW393" s="104"/>
      <c r="NKX393" s="119"/>
      <c r="NKY393" s="104"/>
      <c r="NKZ393" s="455"/>
      <c r="NLA393" s="104"/>
      <c r="NLB393" s="104"/>
      <c r="NLC393" s="109"/>
      <c r="NLD393" s="104"/>
      <c r="NLE393" s="104"/>
      <c r="NLF393" s="119"/>
      <c r="NLG393" s="104"/>
      <c r="NLH393" s="455"/>
      <c r="NLI393" s="104"/>
      <c r="NLJ393" s="104"/>
      <c r="NLK393" s="109"/>
      <c r="NLL393" s="104"/>
      <c r="NLM393" s="104"/>
      <c r="NLN393" s="119"/>
      <c r="NLO393" s="104"/>
      <c r="NLP393" s="455"/>
      <c r="NLQ393" s="104"/>
      <c r="NLR393" s="104"/>
      <c r="NLS393" s="109"/>
      <c r="NLT393" s="104"/>
      <c r="NLU393" s="104"/>
      <c r="NLV393" s="119"/>
      <c r="NLW393" s="104"/>
      <c r="NLX393" s="455"/>
      <c r="NLY393" s="104"/>
      <c r="NLZ393" s="104"/>
      <c r="NMA393" s="109"/>
      <c r="NMB393" s="104"/>
      <c r="NMC393" s="104"/>
      <c r="NMD393" s="119"/>
      <c r="NME393" s="104"/>
      <c r="NMF393" s="455"/>
      <c r="NMG393" s="104"/>
      <c r="NMH393" s="104"/>
      <c r="NMI393" s="109"/>
      <c r="NMJ393" s="104"/>
      <c r="NMK393" s="104"/>
      <c r="NML393" s="119"/>
      <c r="NMM393" s="104"/>
      <c r="NMN393" s="455"/>
      <c r="NMO393" s="104"/>
      <c r="NMP393" s="104"/>
      <c r="NMQ393" s="109"/>
      <c r="NMR393" s="104"/>
      <c r="NMS393" s="104"/>
      <c r="NMT393" s="119"/>
      <c r="NMU393" s="104"/>
      <c r="NMV393" s="455"/>
      <c r="NMW393" s="104"/>
      <c r="NMX393" s="104"/>
      <c r="NMY393" s="109"/>
      <c r="NMZ393" s="104"/>
      <c r="NNA393" s="104"/>
      <c r="NNB393" s="119"/>
      <c r="NNC393" s="104"/>
      <c r="NND393" s="455"/>
      <c r="NNE393" s="104"/>
      <c r="NNF393" s="104"/>
      <c r="NNG393" s="109"/>
      <c r="NNH393" s="104"/>
      <c r="NNI393" s="104"/>
      <c r="NNJ393" s="119"/>
      <c r="NNK393" s="104"/>
      <c r="NNL393" s="455"/>
      <c r="NNM393" s="104"/>
      <c r="NNN393" s="104"/>
      <c r="NNO393" s="109"/>
      <c r="NNP393" s="104"/>
      <c r="NNQ393" s="104"/>
      <c r="NNR393" s="119"/>
      <c r="NNS393" s="104"/>
      <c r="NNT393" s="455"/>
      <c r="NNU393" s="104"/>
      <c r="NNV393" s="104"/>
      <c r="NNW393" s="109"/>
      <c r="NNX393" s="104"/>
      <c r="NNY393" s="104"/>
      <c r="NNZ393" s="119"/>
      <c r="NOA393" s="104"/>
      <c r="NOB393" s="455"/>
      <c r="NOC393" s="104"/>
      <c r="NOD393" s="104"/>
      <c r="NOE393" s="109"/>
      <c r="NOF393" s="104"/>
      <c r="NOG393" s="104"/>
      <c r="NOH393" s="119"/>
      <c r="NOI393" s="104"/>
      <c r="NOJ393" s="455"/>
      <c r="NOK393" s="104"/>
      <c r="NOL393" s="104"/>
      <c r="NOM393" s="109"/>
      <c r="NON393" s="104"/>
      <c r="NOO393" s="104"/>
      <c r="NOP393" s="119"/>
      <c r="NOQ393" s="104"/>
      <c r="NOR393" s="455"/>
      <c r="NOS393" s="104"/>
      <c r="NOT393" s="104"/>
      <c r="NOU393" s="109"/>
      <c r="NOV393" s="104"/>
      <c r="NOW393" s="104"/>
      <c r="NOX393" s="119"/>
      <c r="NOY393" s="104"/>
      <c r="NOZ393" s="455"/>
      <c r="NPA393" s="104"/>
      <c r="NPB393" s="104"/>
      <c r="NPC393" s="109"/>
      <c r="NPD393" s="104"/>
      <c r="NPE393" s="104"/>
      <c r="NPF393" s="119"/>
      <c r="NPG393" s="104"/>
      <c r="NPH393" s="455"/>
      <c r="NPI393" s="104"/>
      <c r="NPJ393" s="104"/>
      <c r="NPK393" s="109"/>
      <c r="NPL393" s="104"/>
      <c r="NPM393" s="104"/>
      <c r="NPN393" s="119"/>
      <c r="NPO393" s="104"/>
      <c r="NPP393" s="455"/>
      <c r="NPQ393" s="104"/>
      <c r="NPR393" s="104"/>
      <c r="NPS393" s="109"/>
      <c r="NPT393" s="104"/>
      <c r="NPU393" s="104"/>
      <c r="NPV393" s="119"/>
      <c r="NPW393" s="104"/>
      <c r="NPX393" s="455"/>
      <c r="NPY393" s="104"/>
      <c r="NPZ393" s="104"/>
      <c r="NQA393" s="109"/>
      <c r="NQB393" s="104"/>
      <c r="NQC393" s="104"/>
      <c r="NQD393" s="119"/>
      <c r="NQE393" s="104"/>
      <c r="NQF393" s="455"/>
      <c r="NQG393" s="104"/>
      <c r="NQH393" s="104"/>
      <c r="NQI393" s="109"/>
      <c r="NQJ393" s="104"/>
      <c r="NQK393" s="104"/>
      <c r="NQL393" s="119"/>
      <c r="NQM393" s="104"/>
      <c r="NQN393" s="455"/>
      <c r="NQO393" s="104"/>
      <c r="NQP393" s="104"/>
      <c r="NQQ393" s="109"/>
      <c r="NQR393" s="104"/>
      <c r="NQS393" s="104"/>
      <c r="NQT393" s="119"/>
      <c r="NQU393" s="104"/>
      <c r="NQV393" s="455"/>
      <c r="NQW393" s="104"/>
      <c r="NQX393" s="104"/>
      <c r="NQY393" s="109"/>
      <c r="NQZ393" s="104"/>
      <c r="NRA393" s="104"/>
      <c r="NRB393" s="119"/>
      <c r="NRC393" s="104"/>
      <c r="NRD393" s="455"/>
      <c r="NRE393" s="104"/>
      <c r="NRF393" s="104"/>
      <c r="NRG393" s="109"/>
      <c r="NRH393" s="104"/>
      <c r="NRI393" s="104"/>
      <c r="NRJ393" s="119"/>
      <c r="NRK393" s="104"/>
      <c r="NRL393" s="455"/>
      <c r="NRM393" s="104"/>
      <c r="NRN393" s="104"/>
      <c r="NRO393" s="109"/>
      <c r="NRP393" s="104"/>
      <c r="NRQ393" s="104"/>
      <c r="NRR393" s="119"/>
      <c r="NRS393" s="104"/>
      <c r="NRT393" s="455"/>
      <c r="NRU393" s="104"/>
      <c r="NRV393" s="104"/>
      <c r="NRW393" s="109"/>
      <c r="NRX393" s="104"/>
      <c r="NRY393" s="104"/>
      <c r="NRZ393" s="119"/>
      <c r="NSA393" s="104"/>
      <c r="NSB393" s="455"/>
      <c r="NSC393" s="104"/>
      <c r="NSD393" s="104"/>
      <c r="NSE393" s="109"/>
      <c r="NSF393" s="104"/>
      <c r="NSG393" s="104"/>
      <c r="NSH393" s="119"/>
      <c r="NSI393" s="104"/>
      <c r="NSJ393" s="455"/>
      <c r="NSK393" s="104"/>
      <c r="NSL393" s="104"/>
      <c r="NSM393" s="109"/>
      <c r="NSN393" s="104"/>
      <c r="NSO393" s="104"/>
      <c r="NSP393" s="119"/>
      <c r="NSQ393" s="104"/>
      <c r="NSR393" s="455"/>
      <c r="NSS393" s="104"/>
      <c r="NST393" s="104"/>
      <c r="NSU393" s="109"/>
      <c r="NSV393" s="104"/>
      <c r="NSW393" s="104"/>
      <c r="NSX393" s="119"/>
      <c r="NSY393" s="104"/>
      <c r="NSZ393" s="455"/>
      <c r="NTA393" s="104"/>
      <c r="NTB393" s="104"/>
      <c r="NTC393" s="109"/>
      <c r="NTD393" s="104"/>
      <c r="NTE393" s="104"/>
      <c r="NTF393" s="119"/>
      <c r="NTG393" s="104"/>
      <c r="NTH393" s="455"/>
      <c r="NTI393" s="104"/>
      <c r="NTJ393" s="104"/>
      <c r="NTK393" s="109"/>
      <c r="NTL393" s="104"/>
      <c r="NTM393" s="104"/>
      <c r="NTN393" s="119"/>
      <c r="NTO393" s="104"/>
      <c r="NTP393" s="455"/>
      <c r="NTQ393" s="104"/>
      <c r="NTR393" s="104"/>
      <c r="NTS393" s="109"/>
      <c r="NTT393" s="104"/>
      <c r="NTU393" s="104"/>
      <c r="NTV393" s="119"/>
      <c r="NTW393" s="104"/>
      <c r="NTX393" s="455"/>
      <c r="NTY393" s="104"/>
      <c r="NTZ393" s="104"/>
      <c r="NUA393" s="109"/>
      <c r="NUB393" s="104"/>
      <c r="NUC393" s="104"/>
      <c r="NUD393" s="119"/>
      <c r="NUE393" s="104"/>
      <c r="NUF393" s="455"/>
      <c r="NUG393" s="104"/>
      <c r="NUH393" s="104"/>
      <c r="NUI393" s="109"/>
      <c r="NUJ393" s="104"/>
      <c r="NUK393" s="104"/>
      <c r="NUL393" s="119"/>
      <c r="NUM393" s="104"/>
      <c r="NUN393" s="455"/>
      <c r="NUO393" s="104"/>
      <c r="NUP393" s="104"/>
      <c r="NUQ393" s="109"/>
      <c r="NUR393" s="104"/>
      <c r="NUS393" s="104"/>
      <c r="NUT393" s="119"/>
      <c r="NUU393" s="104"/>
      <c r="NUV393" s="455"/>
      <c r="NUW393" s="104"/>
      <c r="NUX393" s="104"/>
      <c r="NUY393" s="109"/>
      <c r="NUZ393" s="104"/>
      <c r="NVA393" s="104"/>
      <c r="NVB393" s="119"/>
      <c r="NVC393" s="104"/>
      <c r="NVD393" s="455"/>
      <c r="NVE393" s="104"/>
      <c r="NVF393" s="104"/>
      <c r="NVG393" s="109"/>
      <c r="NVH393" s="104"/>
      <c r="NVI393" s="104"/>
      <c r="NVJ393" s="119"/>
      <c r="NVK393" s="104"/>
      <c r="NVL393" s="455"/>
      <c r="NVM393" s="104"/>
      <c r="NVN393" s="104"/>
      <c r="NVO393" s="109"/>
      <c r="NVP393" s="104"/>
      <c r="NVQ393" s="104"/>
      <c r="NVR393" s="119"/>
      <c r="NVS393" s="104"/>
      <c r="NVT393" s="455"/>
      <c r="NVU393" s="104"/>
      <c r="NVV393" s="104"/>
      <c r="NVW393" s="109"/>
      <c r="NVX393" s="104"/>
      <c r="NVY393" s="104"/>
      <c r="NVZ393" s="119"/>
      <c r="NWA393" s="104"/>
      <c r="NWB393" s="455"/>
      <c r="NWC393" s="104"/>
      <c r="NWD393" s="104"/>
      <c r="NWE393" s="109"/>
      <c r="NWF393" s="104"/>
      <c r="NWG393" s="104"/>
      <c r="NWH393" s="119"/>
      <c r="NWI393" s="104"/>
      <c r="NWJ393" s="455"/>
      <c r="NWK393" s="104"/>
      <c r="NWL393" s="104"/>
      <c r="NWM393" s="109"/>
      <c r="NWN393" s="104"/>
      <c r="NWO393" s="104"/>
      <c r="NWP393" s="119"/>
      <c r="NWQ393" s="104"/>
      <c r="NWR393" s="455"/>
      <c r="NWS393" s="104"/>
      <c r="NWT393" s="104"/>
      <c r="NWU393" s="109"/>
      <c r="NWV393" s="104"/>
      <c r="NWW393" s="104"/>
      <c r="NWX393" s="119"/>
      <c r="NWY393" s="104"/>
      <c r="NWZ393" s="455"/>
      <c r="NXA393" s="104"/>
      <c r="NXB393" s="104"/>
      <c r="NXC393" s="109"/>
      <c r="NXD393" s="104"/>
      <c r="NXE393" s="104"/>
      <c r="NXF393" s="119"/>
      <c r="NXG393" s="104"/>
      <c r="NXH393" s="455"/>
      <c r="NXI393" s="104"/>
      <c r="NXJ393" s="104"/>
      <c r="NXK393" s="109"/>
      <c r="NXL393" s="104"/>
      <c r="NXM393" s="104"/>
      <c r="NXN393" s="119"/>
      <c r="NXO393" s="104"/>
      <c r="NXP393" s="455"/>
      <c r="NXQ393" s="104"/>
      <c r="NXR393" s="104"/>
      <c r="NXS393" s="109"/>
      <c r="NXT393" s="104"/>
      <c r="NXU393" s="104"/>
      <c r="NXV393" s="119"/>
      <c r="NXW393" s="104"/>
      <c r="NXX393" s="455"/>
      <c r="NXY393" s="104"/>
      <c r="NXZ393" s="104"/>
      <c r="NYA393" s="109"/>
      <c r="NYB393" s="104"/>
      <c r="NYC393" s="104"/>
      <c r="NYD393" s="119"/>
      <c r="NYE393" s="104"/>
      <c r="NYF393" s="455"/>
      <c r="NYG393" s="104"/>
      <c r="NYH393" s="104"/>
      <c r="NYI393" s="109"/>
      <c r="NYJ393" s="104"/>
      <c r="NYK393" s="104"/>
      <c r="NYL393" s="119"/>
      <c r="NYM393" s="104"/>
      <c r="NYN393" s="455"/>
      <c r="NYO393" s="104"/>
      <c r="NYP393" s="104"/>
      <c r="NYQ393" s="109"/>
      <c r="NYR393" s="104"/>
      <c r="NYS393" s="104"/>
      <c r="NYT393" s="119"/>
      <c r="NYU393" s="104"/>
      <c r="NYV393" s="455"/>
      <c r="NYW393" s="104"/>
      <c r="NYX393" s="104"/>
      <c r="NYY393" s="109"/>
      <c r="NYZ393" s="104"/>
      <c r="NZA393" s="104"/>
      <c r="NZB393" s="119"/>
      <c r="NZC393" s="104"/>
      <c r="NZD393" s="455"/>
      <c r="NZE393" s="104"/>
      <c r="NZF393" s="104"/>
      <c r="NZG393" s="109"/>
      <c r="NZH393" s="104"/>
      <c r="NZI393" s="104"/>
      <c r="NZJ393" s="119"/>
      <c r="NZK393" s="104"/>
      <c r="NZL393" s="455"/>
      <c r="NZM393" s="104"/>
      <c r="NZN393" s="104"/>
      <c r="NZO393" s="109"/>
      <c r="NZP393" s="104"/>
      <c r="NZQ393" s="104"/>
      <c r="NZR393" s="119"/>
      <c r="NZS393" s="104"/>
      <c r="NZT393" s="455"/>
      <c r="NZU393" s="104"/>
      <c r="NZV393" s="104"/>
      <c r="NZW393" s="109"/>
      <c r="NZX393" s="104"/>
      <c r="NZY393" s="104"/>
      <c r="NZZ393" s="119"/>
      <c r="OAA393" s="104"/>
      <c r="OAB393" s="455"/>
      <c r="OAC393" s="104"/>
      <c r="OAD393" s="104"/>
      <c r="OAE393" s="109"/>
      <c r="OAF393" s="104"/>
      <c r="OAG393" s="104"/>
      <c r="OAH393" s="119"/>
      <c r="OAI393" s="104"/>
      <c r="OAJ393" s="455"/>
      <c r="OAK393" s="104"/>
      <c r="OAL393" s="104"/>
      <c r="OAM393" s="109"/>
      <c r="OAN393" s="104"/>
      <c r="OAO393" s="104"/>
      <c r="OAP393" s="119"/>
      <c r="OAQ393" s="104"/>
      <c r="OAR393" s="455"/>
      <c r="OAS393" s="104"/>
      <c r="OAT393" s="104"/>
      <c r="OAU393" s="109"/>
      <c r="OAV393" s="104"/>
      <c r="OAW393" s="104"/>
      <c r="OAX393" s="119"/>
      <c r="OAY393" s="104"/>
      <c r="OAZ393" s="455"/>
      <c r="OBA393" s="104"/>
      <c r="OBB393" s="104"/>
      <c r="OBC393" s="109"/>
      <c r="OBD393" s="104"/>
      <c r="OBE393" s="104"/>
      <c r="OBF393" s="119"/>
      <c r="OBG393" s="104"/>
      <c r="OBH393" s="455"/>
      <c r="OBI393" s="104"/>
      <c r="OBJ393" s="104"/>
      <c r="OBK393" s="109"/>
      <c r="OBL393" s="104"/>
      <c r="OBM393" s="104"/>
      <c r="OBN393" s="119"/>
      <c r="OBO393" s="104"/>
      <c r="OBP393" s="455"/>
      <c r="OBQ393" s="104"/>
      <c r="OBR393" s="104"/>
      <c r="OBS393" s="109"/>
      <c r="OBT393" s="104"/>
      <c r="OBU393" s="104"/>
      <c r="OBV393" s="119"/>
      <c r="OBW393" s="104"/>
      <c r="OBX393" s="455"/>
      <c r="OBY393" s="104"/>
      <c r="OBZ393" s="104"/>
      <c r="OCA393" s="109"/>
      <c r="OCB393" s="104"/>
      <c r="OCC393" s="104"/>
      <c r="OCD393" s="119"/>
      <c r="OCE393" s="104"/>
      <c r="OCF393" s="455"/>
      <c r="OCG393" s="104"/>
      <c r="OCH393" s="104"/>
      <c r="OCI393" s="109"/>
      <c r="OCJ393" s="104"/>
      <c r="OCK393" s="104"/>
      <c r="OCL393" s="119"/>
      <c r="OCM393" s="104"/>
      <c r="OCN393" s="455"/>
      <c r="OCO393" s="104"/>
      <c r="OCP393" s="104"/>
      <c r="OCQ393" s="109"/>
      <c r="OCR393" s="104"/>
      <c r="OCS393" s="104"/>
      <c r="OCT393" s="119"/>
      <c r="OCU393" s="104"/>
      <c r="OCV393" s="455"/>
      <c r="OCW393" s="104"/>
      <c r="OCX393" s="104"/>
      <c r="OCY393" s="109"/>
      <c r="OCZ393" s="104"/>
      <c r="ODA393" s="104"/>
      <c r="ODB393" s="119"/>
      <c r="ODC393" s="104"/>
      <c r="ODD393" s="455"/>
      <c r="ODE393" s="104"/>
      <c r="ODF393" s="104"/>
      <c r="ODG393" s="109"/>
      <c r="ODH393" s="104"/>
      <c r="ODI393" s="104"/>
      <c r="ODJ393" s="119"/>
      <c r="ODK393" s="104"/>
      <c r="ODL393" s="455"/>
      <c r="ODM393" s="104"/>
      <c r="ODN393" s="104"/>
      <c r="ODO393" s="109"/>
      <c r="ODP393" s="104"/>
      <c r="ODQ393" s="104"/>
      <c r="ODR393" s="119"/>
      <c r="ODS393" s="104"/>
      <c r="ODT393" s="455"/>
      <c r="ODU393" s="104"/>
      <c r="ODV393" s="104"/>
      <c r="ODW393" s="109"/>
      <c r="ODX393" s="104"/>
      <c r="ODY393" s="104"/>
      <c r="ODZ393" s="119"/>
      <c r="OEA393" s="104"/>
      <c r="OEB393" s="455"/>
      <c r="OEC393" s="104"/>
      <c r="OED393" s="104"/>
      <c r="OEE393" s="109"/>
      <c r="OEF393" s="104"/>
      <c r="OEG393" s="104"/>
      <c r="OEH393" s="119"/>
      <c r="OEI393" s="104"/>
      <c r="OEJ393" s="455"/>
      <c r="OEK393" s="104"/>
      <c r="OEL393" s="104"/>
      <c r="OEM393" s="109"/>
      <c r="OEN393" s="104"/>
      <c r="OEO393" s="104"/>
      <c r="OEP393" s="119"/>
      <c r="OEQ393" s="104"/>
      <c r="OER393" s="455"/>
      <c r="OES393" s="104"/>
      <c r="OET393" s="104"/>
      <c r="OEU393" s="109"/>
      <c r="OEV393" s="104"/>
      <c r="OEW393" s="104"/>
      <c r="OEX393" s="119"/>
      <c r="OEY393" s="104"/>
      <c r="OEZ393" s="455"/>
      <c r="OFA393" s="104"/>
      <c r="OFB393" s="104"/>
      <c r="OFC393" s="109"/>
      <c r="OFD393" s="104"/>
      <c r="OFE393" s="104"/>
      <c r="OFF393" s="119"/>
      <c r="OFG393" s="104"/>
      <c r="OFH393" s="455"/>
      <c r="OFI393" s="104"/>
      <c r="OFJ393" s="104"/>
      <c r="OFK393" s="109"/>
      <c r="OFL393" s="104"/>
      <c r="OFM393" s="104"/>
      <c r="OFN393" s="119"/>
      <c r="OFO393" s="104"/>
      <c r="OFP393" s="455"/>
      <c r="OFQ393" s="104"/>
      <c r="OFR393" s="104"/>
      <c r="OFS393" s="109"/>
      <c r="OFT393" s="104"/>
      <c r="OFU393" s="104"/>
      <c r="OFV393" s="119"/>
      <c r="OFW393" s="104"/>
      <c r="OFX393" s="455"/>
      <c r="OFY393" s="104"/>
      <c r="OFZ393" s="104"/>
      <c r="OGA393" s="109"/>
      <c r="OGB393" s="104"/>
      <c r="OGC393" s="104"/>
      <c r="OGD393" s="119"/>
      <c r="OGE393" s="104"/>
      <c r="OGF393" s="455"/>
      <c r="OGG393" s="104"/>
      <c r="OGH393" s="104"/>
      <c r="OGI393" s="109"/>
      <c r="OGJ393" s="104"/>
      <c r="OGK393" s="104"/>
      <c r="OGL393" s="119"/>
      <c r="OGM393" s="104"/>
      <c r="OGN393" s="455"/>
      <c r="OGO393" s="104"/>
      <c r="OGP393" s="104"/>
      <c r="OGQ393" s="109"/>
      <c r="OGR393" s="104"/>
      <c r="OGS393" s="104"/>
      <c r="OGT393" s="119"/>
      <c r="OGU393" s="104"/>
      <c r="OGV393" s="455"/>
      <c r="OGW393" s="104"/>
      <c r="OGX393" s="104"/>
      <c r="OGY393" s="109"/>
      <c r="OGZ393" s="104"/>
      <c r="OHA393" s="104"/>
      <c r="OHB393" s="119"/>
      <c r="OHC393" s="104"/>
      <c r="OHD393" s="455"/>
      <c r="OHE393" s="104"/>
      <c r="OHF393" s="104"/>
      <c r="OHG393" s="109"/>
      <c r="OHH393" s="104"/>
      <c r="OHI393" s="104"/>
      <c r="OHJ393" s="119"/>
      <c r="OHK393" s="104"/>
      <c r="OHL393" s="455"/>
      <c r="OHM393" s="104"/>
      <c r="OHN393" s="104"/>
      <c r="OHO393" s="109"/>
      <c r="OHP393" s="104"/>
      <c r="OHQ393" s="104"/>
      <c r="OHR393" s="119"/>
      <c r="OHS393" s="104"/>
      <c r="OHT393" s="455"/>
      <c r="OHU393" s="104"/>
      <c r="OHV393" s="104"/>
      <c r="OHW393" s="109"/>
      <c r="OHX393" s="104"/>
      <c r="OHY393" s="104"/>
      <c r="OHZ393" s="119"/>
      <c r="OIA393" s="104"/>
      <c r="OIB393" s="455"/>
      <c r="OIC393" s="104"/>
      <c r="OID393" s="104"/>
      <c r="OIE393" s="109"/>
      <c r="OIF393" s="104"/>
      <c r="OIG393" s="104"/>
      <c r="OIH393" s="119"/>
      <c r="OII393" s="104"/>
      <c r="OIJ393" s="455"/>
      <c r="OIK393" s="104"/>
      <c r="OIL393" s="104"/>
      <c r="OIM393" s="109"/>
      <c r="OIN393" s="104"/>
      <c r="OIO393" s="104"/>
      <c r="OIP393" s="119"/>
      <c r="OIQ393" s="104"/>
      <c r="OIR393" s="455"/>
      <c r="OIS393" s="104"/>
      <c r="OIT393" s="104"/>
      <c r="OIU393" s="109"/>
      <c r="OIV393" s="104"/>
      <c r="OIW393" s="104"/>
      <c r="OIX393" s="119"/>
      <c r="OIY393" s="104"/>
      <c r="OIZ393" s="455"/>
      <c r="OJA393" s="104"/>
      <c r="OJB393" s="104"/>
      <c r="OJC393" s="109"/>
      <c r="OJD393" s="104"/>
      <c r="OJE393" s="104"/>
      <c r="OJF393" s="119"/>
      <c r="OJG393" s="104"/>
      <c r="OJH393" s="455"/>
      <c r="OJI393" s="104"/>
      <c r="OJJ393" s="104"/>
      <c r="OJK393" s="109"/>
      <c r="OJL393" s="104"/>
      <c r="OJM393" s="104"/>
      <c r="OJN393" s="119"/>
      <c r="OJO393" s="104"/>
      <c r="OJP393" s="455"/>
      <c r="OJQ393" s="104"/>
      <c r="OJR393" s="104"/>
      <c r="OJS393" s="109"/>
      <c r="OJT393" s="104"/>
      <c r="OJU393" s="104"/>
      <c r="OJV393" s="119"/>
      <c r="OJW393" s="104"/>
      <c r="OJX393" s="455"/>
      <c r="OJY393" s="104"/>
      <c r="OJZ393" s="104"/>
      <c r="OKA393" s="109"/>
      <c r="OKB393" s="104"/>
      <c r="OKC393" s="104"/>
      <c r="OKD393" s="119"/>
      <c r="OKE393" s="104"/>
      <c r="OKF393" s="455"/>
      <c r="OKG393" s="104"/>
      <c r="OKH393" s="104"/>
      <c r="OKI393" s="109"/>
      <c r="OKJ393" s="104"/>
      <c r="OKK393" s="104"/>
      <c r="OKL393" s="119"/>
      <c r="OKM393" s="104"/>
      <c r="OKN393" s="455"/>
      <c r="OKO393" s="104"/>
      <c r="OKP393" s="104"/>
      <c r="OKQ393" s="109"/>
      <c r="OKR393" s="104"/>
      <c r="OKS393" s="104"/>
      <c r="OKT393" s="119"/>
      <c r="OKU393" s="104"/>
      <c r="OKV393" s="455"/>
      <c r="OKW393" s="104"/>
      <c r="OKX393" s="104"/>
      <c r="OKY393" s="109"/>
      <c r="OKZ393" s="104"/>
      <c r="OLA393" s="104"/>
      <c r="OLB393" s="119"/>
      <c r="OLC393" s="104"/>
      <c r="OLD393" s="455"/>
      <c r="OLE393" s="104"/>
      <c r="OLF393" s="104"/>
      <c r="OLG393" s="109"/>
      <c r="OLH393" s="104"/>
      <c r="OLI393" s="104"/>
      <c r="OLJ393" s="119"/>
      <c r="OLK393" s="104"/>
      <c r="OLL393" s="455"/>
      <c r="OLM393" s="104"/>
      <c r="OLN393" s="104"/>
      <c r="OLO393" s="109"/>
      <c r="OLP393" s="104"/>
      <c r="OLQ393" s="104"/>
      <c r="OLR393" s="119"/>
      <c r="OLS393" s="104"/>
      <c r="OLT393" s="455"/>
      <c r="OLU393" s="104"/>
      <c r="OLV393" s="104"/>
      <c r="OLW393" s="109"/>
      <c r="OLX393" s="104"/>
      <c r="OLY393" s="104"/>
      <c r="OLZ393" s="119"/>
      <c r="OMA393" s="104"/>
      <c r="OMB393" s="455"/>
      <c r="OMC393" s="104"/>
      <c r="OMD393" s="104"/>
      <c r="OME393" s="109"/>
      <c r="OMF393" s="104"/>
      <c r="OMG393" s="104"/>
      <c r="OMH393" s="119"/>
      <c r="OMI393" s="104"/>
      <c r="OMJ393" s="455"/>
      <c r="OMK393" s="104"/>
      <c r="OML393" s="104"/>
      <c r="OMM393" s="109"/>
      <c r="OMN393" s="104"/>
      <c r="OMO393" s="104"/>
      <c r="OMP393" s="119"/>
      <c r="OMQ393" s="104"/>
      <c r="OMR393" s="455"/>
      <c r="OMS393" s="104"/>
      <c r="OMT393" s="104"/>
      <c r="OMU393" s="109"/>
      <c r="OMV393" s="104"/>
      <c r="OMW393" s="104"/>
      <c r="OMX393" s="119"/>
      <c r="OMY393" s="104"/>
      <c r="OMZ393" s="455"/>
      <c r="ONA393" s="104"/>
      <c r="ONB393" s="104"/>
      <c r="ONC393" s="109"/>
      <c r="OND393" s="104"/>
      <c r="ONE393" s="104"/>
      <c r="ONF393" s="119"/>
      <c r="ONG393" s="104"/>
      <c r="ONH393" s="455"/>
      <c r="ONI393" s="104"/>
      <c r="ONJ393" s="104"/>
      <c r="ONK393" s="109"/>
      <c r="ONL393" s="104"/>
      <c r="ONM393" s="104"/>
      <c r="ONN393" s="119"/>
      <c r="ONO393" s="104"/>
      <c r="ONP393" s="455"/>
      <c r="ONQ393" s="104"/>
      <c r="ONR393" s="104"/>
      <c r="ONS393" s="109"/>
      <c r="ONT393" s="104"/>
      <c r="ONU393" s="104"/>
      <c r="ONV393" s="119"/>
      <c r="ONW393" s="104"/>
      <c r="ONX393" s="455"/>
      <c r="ONY393" s="104"/>
      <c r="ONZ393" s="104"/>
      <c r="OOA393" s="109"/>
      <c r="OOB393" s="104"/>
      <c r="OOC393" s="104"/>
      <c r="OOD393" s="119"/>
      <c r="OOE393" s="104"/>
      <c r="OOF393" s="455"/>
      <c r="OOG393" s="104"/>
      <c r="OOH393" s="104"/>
      <c r="OOI393" s="109"/>
      <c r="OOJ393" s="104"/>
      <c r="OOK393" s="104"/>
      <c r="OOL393" s="119"/>
      <c r="OOM393" s="104"/>
      <c r="OON393" s="455"/>
      <c r="OOO393" s="104"/>
      <c r="OOP393" s="104"/>
      <c r="OOQ393" s="109"/>
      <c r="OOR393" s="104"/>
      <c r="OOS393" s="104"/>
      <c r="OOT393" s="119"/>
      <c r="OOU393" s="104"/>
      <c r="OOV393" s="455"/>
      <c r="OOW393" s="104"/>
      <c r="OOX393" s="104"/>
      <c r="OOY393" s="109"/>
      <c r="OOZ393" s="104"/>
      <c r="OPA393" s="104"/>
      <c r="OPB393" s="119"/>
      <c r="OPC393" s="104"/>
      <c r="OPD393" s="455"/>
      <c r="OPE393" s="104"/>
      <c r="OPF393" s="104"/>
      <c r="OPG393" s="109"/>
      <c r="OPH393" s="104"/>
      <c r="OPI393" s="104"/>
      <c r="OPJ393" s="119"/>
      <c r="OPK393" s="104"/>
      <c r="OPL393" s="455"/>
      <c r="OPM393" s="104"/>
      <c r="OPN393" s="104"/>
      <c r="OPO393" s="109"/>
      <c r="OPP393" s="104"/>
      <c r="OPQ393" s="104"/>
      <c r="OPR393" s="119"/>
      <c r="OPS393" s="104"/>
      <c r="OPT393" s="455"/>
      <c r="OPU393" s="104"/>
      <c r="OPV393" s="104"/>
      <c r="OPW393" s="109"/>
      <c r="OPX393" s="104"/>
      <c r="OPY393" s="104"/>
      <c r="OPZ393" s="119"/>
      <c r="OQA393" s="104"/>
      <c r="OQB393" s="455"/>
      <c r="OQC393" s="104"/>
      <c r="OQD393" s="104"/>
      <c r="OQE393" s="109"/>
      <c r="OQF393" s="104"/>
      <c r="OQG393" s="104"/>
      <c r="OQH393" s="119"/>
      <c r="OQI393" s="104"/>
      <c r="OQJ393" s="455"/>
      <c r="OQK393" s="104"/>
      <c r="OQL393" s="104"/>
      <c r="OQM393" s="109"/>
      <c r="OQN393" s="104"/>
      <c r="OQO393" s="104"/>
      <c r="OQP393" s="119"/>
      <c r="OQQ393" s="104"/>
      <c r="OQR393" s="455"/>
      <c r="OQS393" s="104"/>
      <c r="OQT393" s="104"/>
      <c r="OQU393" s="109"/>
      <c r="OQV393" s="104"/>
      <c r="OQW393" s="104"/>
      <c r="OQX393" s="119"/>
      <c r="OQY393" s="104"/>
      <c r="OQZ393" s="455"/>
      <c r="ORA393" s="104"/>
      <c r="ORB393" s="104"/>
      <c r="ORC393" s="109"/>
      <c r="ORD393" s="104"/>
      <c r="ORE393" s="104"/>
      <c r="ORF393" s="119"/>
      <c r="ORG393" s="104"/>
      <c r="ORH393" s="455"/>
      <c r="ORI393" s="104"/>
      <c r="ORJ393" s="104"/>
      <c r="ORK393" s="109"/>
      <c r="ORL393" s="104"/>
      <c r="ORM393" s="104"/>
      <c r="ORN393" s="119"/>
      <c r="ORO393" s="104"/>
      <c r="ORP393" s="455"/>
      <c r="ORQ393" s="104"/>
      <c r="ORR393" s="104"/>
      <c r="ORS393" s="109"/>
      <c r="ORT393" s="104"/>
      <c r="ORU393" s="104"/>
      <c r="ORV393" s="119"/>
      <c r="ORW393" s="104"/>
      <c r="ORX393" s="455"/>
      <c r="ORY393" s="104"/>
      <c r="ORZ393" s="104"/>
      <c r="OSA393" s="109"/>
      <c r="OSB393" s="104"/>
      <c r="OSC393" s="104"/>
      <c r="OSD393" s="119"/>
      <c r="OSE393" s="104"/>
      <c r="OSF393" s="455"/>
      <c r="OSG393" s="104"/>
      <c r="OSH393" s="104"/>
      <c r="OSI393" s="109"/>
      <c r="OSJ393" s="104"/>
      <c r="OSK393" s="104"/>
      <c r="OSL393" s="119"/>
      <c r="OSM393" s="104"/>
      <c r="OSN393" s="455"/>
      <c r="OSO393" s="104"/>
      <c r="OSP393" s="104"/>
      <c r="OSQ393" s="109"/>
      <c r="OSR393" s="104"/>
      <c r="OSS393" s="104"/>
      <c r="OST393" s="119"/>
      <c r="OSU393" s="104"/>
      <c r="OSV393" s="455"/>
      <c r="OSW393" s="104"/>
      <c r="OSX393" s="104"/>
      <c r="OSY393" s="109"/>
      <c r="OSZ393" s="104"/>
      <c r="OTA393" s="104"/>
      <c r="OTB393" s="119"/>
      <c r="OTC393" s="104"/>
      <c r="OTD393" s="455"/>
      <c r="OTE393" s="104"/>
      <c r="OTF393" s="104"/>
      <c r="OTG393" s="109"/>
      <c r="OTH393" s="104"/>
      <c r="OTI393" s="104"/>
      <c r="OTJ393" s="119"/>
      <c r="OTK393" s="104"/>
      <c r="OTL393" s="455"/>
      <c r="OTM393" s="104"/>
      <c r="OTN393" s="104"/>
      <c r="OTO393" s="109"/>
      <c r="OTP393" s="104"/>
      <c r="OTQ393" s="104"/>
      <c r="OTR393" s="119"/>
      <c r="OTS393" s="104"/>
      <c r="OTT393" s="455"/>
      <c r="OTU393" s="104"/>
      <c r="OTV393" s="104"/>
      <c r="OTW393" s="109"/>
      <c r="OTX393" s="104"/>
      <c r="OTY393" s="104"/>
      <c r="OTZ393" s="119"/>
      <c r="OUA393" s="104"/>
      <c r="OUB393" s="455"/>
      <c r="OUC393" s="104"/>
      <c r="OUD393" s="104"/>
      <c r="OUE393" s="109"/>
      <c r="OUF393" s="104"/>
      <c r="OUG393" s="104"/>
      <c r="OUH393" s="119"/>
      <c r="OUI393" s="104"/>
      <c r="OUJ393" s="455"/>
      <c r="OUK393" s="104"/>
      <c r="OUL393" s="104"/>
      <c r="OUM393" s="109"/>
      <c r="OUN393" s="104"/>
      <c r="OUO393" s="104"/>
      <c r="OUP393" s="119"/>
      <c r="OUQ393" s="104"/>
      <c r="OUR393" s="455"/>
      <c r="OUS393" s="104"/>
      <c r="OUT393" s="104"/>
      <c r="OUU393" s="109"/>
      <c r="OUV393" s="104"/>
      <c r="OUW393" s="104"/>
      <c r="OUX393" s="119"/>
      <c r="OUY393" s="104"/>
      <c r="OUZ393" s="455"/>
      <c r="OVA393" s="104"/>
      <c r="OVB393" s="104"/>
      <c r="OVC393" s="109"/>
      <c r="OVD393" s="104"/>
      <c r="OVE393" s="104"/>
      <c r="OVF393" s="119"/>
      <c r="OVG393" s="104"/>
      <c r="OVH393" s="455"/>
      <c r="OVI393" s="104"/>
      <c r="OVJ393" s="104"/>
      <c r="OVK393" s="109"/>
      <c r="OVL393" s="104"/>
      <c r="OVM393" s="104"/>
      <c r="OVN393" s="119"/>
      <c r="OVO393" s="104"/>
      <c r="OVP393" s="455"/>
      <c r="OVQ393" s="104"/>
      <c r="OVR393" s="104"/>
      <c r="OVS393" s="109"/>
      <c r="OVT393" s="104"/>
      <c r="OVU393" s="104"/>
      <c r="OVV393" s="119"/>
      <c r="OVW393" s="104"/>
      <c r="OVX393" s="455"/>
      <c r="OVY393" s="104"/>
      <c r="OVZ393" s="104"/>
      <c r="OWA393" s="109"/>
      <c r="OWB393" s="104"/>
      <c r="OWC393" s="104"/>
      <c r="OWD393" s="119"/>
      <c r="OWE393" s="104"/>
      <c r="OWF393" s="455"/>
      <c r="OWG393" s="104"/>
      <c r="OWH393" s="104"/>
      <c r="OWI393" s="109"/>
      <c r="OWJ393" s="104"/>
      <c r="OWK393" s="104"/>
      <c r="OWL393" s="119"/>
      <c r="OWM393" s="104"/>
      <c r="OWN393" s="455"/>
      <c r="OWO393" s="104"/>
      <c r="OWP393" s="104"/>
      <c r="OWQ393" s="109"/>
      <c r="OWR393" s="104"/>
      <c r="OWS393" s="104"/>
      <c r="OWT393" s="119"/>
      <c r="OWU393" s="104"/>
      <c r="OWV393" s="455"/>
      <c r="OWW393" s="104"/>
      <c r="OWX393" s="104"/>
      <c r="OWY393" s="109"/>
      <c r="OWZ393" s="104"/>
      <c r="OXA393" s="104"/>
      <c r="OXB393" s="119"/>
      <c r="OXC393" s="104"/>
      <c r="OXD393" s="455"/>
      <c r="OXE393" s="104"/>
      <c r="OXF393" s="104"/>
      <c r="OXG393" s="109"/>
      <c r="OXH393" s="104"/>
      <c r="OXI393" s="104"/>
      <c r="OXJ393" s="119"/>
      <c r="OXK393" s="104"/>
      <c r="OXL393" s="455"/>
      <c r="OXM393" s="104"/>
      <c r="OXN393" s="104"/>
      <c r="OXO393" s="109"/>
      <c r="OXP393" s="104"/>
      <c r="OXQ393" s="104"/>
      <c r="OXR393" s="119"/>
      <c r="OXS393" s="104"/>
      <c r="OXT393" s="455"/>
      <c r="OXU393" s="104"/>
      <c r="OXV393" s="104"/>
      <c r="OXW393" s="109"/>
      <c r="OXX393" s="104"/>
      <c r="OXY393" s="104"/>
      <c r="OXZ393" s="119"/>
      <c r="OYA393" s="104"/>
      <c r="OYB393" s="455"/>
      <c r="OYC393" s="104"/>
      <c r="OYD393" s="104"/>
      <c r="OYE393" s="109"/>
      <c r="OYF393" s="104"/>
      <c r="OYG393" s="104"/>
      <c r="OYH393" s="119"/>
      <c r="OYI393" s="104"/>
      <c r="OYJ393" s="455"/>
      <c r="OYK393" s="104"/>
      <c r="OYL393" s="104"/>
      <c r="OYM393" s="109"/>
      <c r="OYN393" s="104"/>
      <c r="OYO393" s="104"/>
      <c r="OYP393" s="119"/>
      <c r="OYQ393" s="104"/>
      <c r="OYR393" s="455"/>
      <c r="OYS393" s="104"/>
      <c r="OYT393" s="104"/>
      <c r="OYU393" s="109"/>
      <c r="OYV393" s="104"/>
      <c r="OYW393" s="104"/>
      <c r="OYX393" s="119"/>
      <c r="OYY393" s="104"/>
      <c r="OYZ393" s="455"/>
      <c r="OZA393" s="104"/>
      <c r="OZB393" s="104"/>
      <c r="OZC393" s="109"/>
      <c r="OZD393" s="104"/>
      <c r="OZE393" s="104"/>
      <c r="OZF393" s="119"/>
      <c r="OZG393" s="104"/>
      <c r="OZH393" s="455"/>
      <c r="OZI393" s="104"/>
      <c r="OZJ393" s="104"/>
      <c r="OZK393" s="109"/>
      <c r="OZL393" s="104"/>
      <c r="OZM393" s="104"/>
      <c r="OZN393" s="119"/>
      <c r="OZO393" s="104"/>
      <c r="OZP393" s="455"/>
      <c r="OZQ393" s="104"/>
      <c r="OZR393" s="104"/>
      <c r="OZS393" s="109"/>
      <c r="OZT393" s="104"/>
      <c r="OZU393" s="104"/>
      <c r="OZV393" s="119"/>
      <c r="OZW393" s="104"/>
      <c r="OZX393" s="455"/>
      <c r="OZY393" s="104"/>
      <c r="OZZ393" s="104"/>
      <c r="PAA393" s="109"/>
      <c r="PAB393" s="104"/>
      <c r="PAC393" s="104"/>
      <c r="PAD393" s="119"/>
      <c r="PAE393" s="104"/>
      <c r="PAF393" s="455"/>
      <c r="PAG393" s="104"/>
      <c r="PAH393" s="104"/>
      <c r="PAI393" s="109"/>
      <c r="PAJ393" s="104"/>
      <c r="PAK393" s="104"/>
      <c r="PAL393" s="119"/>
      <c r="PAM393" s="104"/>
      <c r="PAN393" s="455"/>
      <c r="PAO393" s="104"/>
      <c r="PAP393" s="104"/>
      <c r="PAQ393" s="109"/>
      <c r="PAR393" s="104"/>
      <c r="PAS393" s="104"/>
      <c r="PAT393" s="119"/>
      <c r="PAU393" s="104"/>
      <c r="PAV393" s="455"/>
      <c r="PAW393" s="104"/>
      <c r="PAX393" s="104"/>
      <c r="PAY393" s="109"/>
      <c r="PAZ393" s="104"/>
      <c r="PBA393" s="104"/>
      <c r="PBB393" s="119"/>
      <c r="PBC393" s="104"/>
      <c r="PBD393" s="455"/>
      <c r="PBE393" s="104"/>
      <c r="PBF393" s="104"/>
      <c r="PBG393" s="109"/>
      <c r="PBH393" s="104"/>
      <c r="PBI393" s="104"/>
      <c r="PBJ393" s="119"/>
      <c r="PBK393" s="104"/>
      <c r="PBL393" s="455"/>
      <c r="PBM393" s="104"/>
      <c r="PBN393" s="104"/>
      <c r="PBO393" s="109"/>
      <c r="PBP393" s="104"/>
      <c r="PBQ393" s="104"/>
      <c r="PBR393" s="119"/>
      <c r="PBS393" s="104"/>
      <c r="PBT393" s="455"/>
      <c r="PBU393" s="104"/>
      <c r="PBV393" s="104"/>
      <c r="PBW393" s="109"/>
      <c r="PBX393" s="104"/>
      <c r="PBY393" s="104"/>
      <c r="PBZ393" s="119"/>
      <c r="PCA393" s="104"/>
      <c r="PCB393" s="455"/>
      <c r="PCC393" s="104"/>
      <c r="PCD393" s="104"/>
      <c r="PCE393" s="109"/>
      <c r="PCF393" s="104"/>
      <c r="PCG393" s="104"/>
      <c r="PCH393" s="119"/>
      <c r="PCI393" s="104"/>
      <c r="PCJ393" s="455"/>
      <c r="PCK393" s="104"/>
      <c r="PCL393" s="104"/>
      <c r="PCM393" s="109"/>
      <c r="PCN393" s="104"/>
      <c r="PCO393" s="104"/>
      <c r="PCP393" s="119"/>
      <c r="PCQ393" s="104"/>
      <c r="PCR393" s="455"/>
      <c r="PCS393" s="104"/>
      <c r="PCT393" s="104"/>
      <c r="PCU393" s="109"/>
      <c r="PCV393" s="104"/>
      <c r="PCW393" s="104"/>
      <c r="PCX393" s="119"/>
      <c r="PCY393" s="104"/>
      <c r="PCZ393" s="455"/>
      <c r="PDA393" s="104"/>
      <c r="PDB393" s="104"/>
      <c r="PDC393" s="109"/>
      <c r="PDD393" s="104"/>
      <c r="PDE393" s="104"/>
      <c r="PDF393" s="119"/>
      <c r="PDG393" s="104"/>
      <c r="PDH393" s="455"/>
      <c r="PDI393" s="104"/>
      <c r="PDJ393" s="104"/>
      <c r="PDK393" s="109"/>
      <c r="PDL393" s="104"/>
      <c r="PDM393" s="104"/>
      <c r="PDN393" s="119"/>
      <c r="PDO393" s="104"/>
      <c r="PDP393" s="455"/>
      <c r="PDQ393" s="104"/>
      <c r="PDR393" s="104"/>
      <c r="PDS393" s="109"/>
      <c r="PDT393" s="104"/>
      <c r="PDU393" s="104"/>
      <c r="PDV393" s="119"/>
      <c r="PDW393" s="104"/>
      <c r="PDX393" s="455"/>
      <c r="PDY393" s="104"/>
      <c r="PDZ393" s="104"/>
      <c r="PEA393" s="109"/>
      <c r="PEB393" s="104"/>
      <c r="PEC393" s="104"/>
      <c r="PED393" s="119"/>
      <c r="PEE393" s="104"/>
      <c r="PEF393" s="455"/>
      <c r="PEG393" s="104"/>
      <c r="PEH393" s="104"/>
      <c r="PEI393" s="109"/>
      <c r="PEJ393" s="104"/>
      <c r="PEK393" s="104"/>
      <c r="PEL393" s="119"/>
      <c r="PEM393" s="104"/>
      <c r="PEN393" s="455"/>
      <c r="PEO393" s="104"/>
      <c r="PEP393" s="104"/>
      <c r="PEQ393" s="109"/>
      <c r="PER393" s="104"/>
      <c r="PES393" s="104"/>
      <c r="PET393" s="119"/>
      <c r="PEU393" s="104"/>
      <c r="PEV393" s="455"/>
      <c r="PEW393" s="104"/>
      <c r="PEX393" s="104"/>
      <c r="PEY393" s="109"/>
      <c r="PEZ393" s="104"/>
      <c r="PFA393" s="104"/>
      <c r="PFB393" s="119"/>
      <c r="PFC393" s="104"/>
      <c r="PFD393" s="455"/>
      <c r="PFE393" s="104"/>
      <c r="PFF393" s="104"/>
      <c r="PFG393" s="109"/>
      <c r="PFH393" s="104"/>
      <c r="PFI393" s="104"/>
      <c r="PFJ393" s="119"/>
      <c r="PFK393" s="104"/>
      <c r="PFL393" s="455"/>
      <c r="PFM393" s="104"/>
      <c r="PFN393" s="104"/>
      <c r="PFO393" s="109"/>
      <c r="PFP393" s="104"/>
      <c r="PFQ393" s="104"/>
      <c r="PFR393" s="119"/>
      <c r="PFS393" s="104"/>
      <c r="PFT393" s="455"/>
      <c r="PFU393" s="104"/>
      <c r="PFV393" s="104"/>
      <c r="PFW393" s="109"/>
      <c r="PFX393" s="104"/>
      <c r="PFY393" s="104"/>
      <c r="PFZ393" s="119"/>
      <c r="PGA393" s="104"/>
      <c r="PGB393" s="455"/>
      <c r="PGC393" s="104"/>
      <c r="PGD393" s="104"/>
      <c r="PGE393" s="109"/>
      <c r="PGF393" s="104"/>
      <c r="PGG393" s="104"/>
      <c r="PGH393" s="119"/>
      <c r="PGI393" s="104"/>
      <c r="PGJ393" s="455"/>
      <c r="PGK393" s="104"/>
      <c r="PGL393" s="104"/>
      <c r="PGM393" s="109"/>
      <c r="PGN393" s="104"/>
      <c r="PGO393" s="104"/>
      <c r="PGP393" s="119"/>
      <c r="PGQ393" s="104"/>
      <c r="PGR393" s="455"/>
      <c r="PGS393" s="104"/>
      <c r="PGT393" s="104"/>
      <c r="PGU393" s="109"/>
      <c r="PGV393" s="104"/>
      <c r="PGW393" s="104"/>
      <c r="PGX393" s="119"/>
      <c r="PGY393" s="104"/>
      <c r="PGZ393" s="455"/>
      <c r="PHA393" s="104"/>
      <c r="PHB393" s="104"/>
      <c r="PHC393" s="109"/>
      <c r="PHD393" s="104"/>
      <c r="PHE393" s="104"/>
      <c r="PHF393" s="119"/>
      <c r="PHG393" s="104"/>
      <c r="PHH393" s="455"/>
      <c r="PHI393" s="104"/>
      <c r="PHJ393" s="104"/>
      <c r="PHK393" s="109"/>
      <c r="PHL393" s="104"/>
      <c r="PHM393" s="104"/>
      <c r="PHN393" s="119"/>
      <c r="PHO393" s="104"/>
      <c r="PHP393" s="455"/>
      <c r="PHQ393" s="104"/>
      <c r="PHR393" s="104"/>
      <c r="PHS393" s="109"/>
      <c r="PHT393" s="104"/>
      <c r="PHU393" s="104"/>
      <c r="PHV393" s="119"/>
      <c r="PHW393" s="104"/>
      <c r="PHX393" s="455"/>
      <c r="PHY393" s="104"/>
      <c r="PHZ393" s="104"/>
      <c r="PIA393" s="109"/>
      <c r="PIB393" s="104"/>
      <c r="PIC393" s="104"/>
      <c r="PID393" s="119"/>
      <c r="PIE393" s="104"/>
      <c r="PIF393" s="455"/>
      <c r="PIG393" s="104"/>
      <c r="PIH393" s="104"/>
      <c r="PII393" s="109"/>
      <c r="PIJ393" s="104"/>
      <c r="PIK393" s="104"/>
      <c r="PIL393" s="119"/>
      <c r="PIM393" s="104"/>
      <c r="PIN393" s="455"/>
      <c r="PIO393" s="104"/>
      <c r="PIP393" s="104"/>
      <c r="PIQ393" s="109"/>
      <c r="PIR393" s="104"/>
      <c r="PIS393" s="104"/>
      <c r="PIT393" s="119"/>
      <c r="PIU393" s="104"/>
      <c r="PIV393" s="455"/>
      <c r="PIW393" s="104"/>
      <c r="PIX393" s="104"/>
      <c r="PIY393" s="109"/>
      <c r="PIZ393" s="104"/>
      <c r="PJA393" s="104"/>
      <c r="PJB393" s="119"/>
      <c r="PJC393" s="104"/>
      <c r="PJD393" s="455"/>
      <c r="PJE393" s="104"/>
      <c r="PJF393" s="104"/>
      <c r="PJG393" s="109"/>
      <c r="PJH393" s="104"/>
      <c r="PJI393" s="104"/>
      <c r="PJJ393" s="119"/>
      <c r="PJK393" s="104"/>
      <c r="PJL393" s="455"/>
      <c r="PJM393" s="104"/>
      <c r="PJN393" s="104"/>
      <c r="PJO393" s="109"/>
      <c r="PJP393" s="104"/>
      <c r="PJQ393" s="104"/>
      <c r="PJR393" s="119"/>
      <c r="PJS393" s="104"/>
      <c r="PJT393" s="455"/>
      <c r="PJU393" s="104"/>
      <c r="PJV393" s="104"/>
      <c r="PJW393" s="109"/>
      <c r="PJX393" s="104"/>
      <c r="PJY393" s="104"/>
      <c r="PJZ393" s="119"/>
      <c r="PKA393" s="104"/>
      <c r="PKB393" s="455"/>
      <c r="PKC393" s="104"/>
      <c r="PKD393" s="104"/>
      <c r="PKE393" s="109"/>
      <c r="PKF393" s="104"/>
      <c r="PKG393" s="104"/>
      <c r="PKH393" s="119"/>
      <c r="PKI393" s="104"/>
      <c r="PKJ393" s="455"/>
      <c r="PKK393" s="104"/>
      <c r="PKL393" s="104"/>
      <c r="PKM393" s="109"/>
      <c r="PKN393" s="104"/>
      <c r="PKO393" s="104"/>
      <c r="PKP393" s="119"/>
      <c r="PKQ393" s="104"/>
      <c r="PKR393" s="455"/>
      <c r="PKS393" s="104"/>
      <c r="PKT393" s="104"/>
      <c r="PKU393" s="109"/>
      <c r="PKV393" s="104"/>
      <c r="PKW393" s="104"/>
      <c r="PKX393" s="119"/>
      <c r="PKY393" s="104"/>
      <c r="PKZ393" s="455"/>
      <c r="PLA393" s="104"/>
      <c r="PLB393" s="104"/>
      <c r="PLC393" s="109"/>
      <c r="PLD393" s="104"/>
      <c r="PLE393" s="104"/>
      <c r="PLF393" s="119"/>
      <c r="PLG393" s="104"/>
      <c r="PLH393" s="455"/>
      <c r="PLI393" s="104"/>
      <c r="PLJ393" s="104"/>
      <c r="PLK393" s="109"/>
      <c r="PLL393" s="104"/>
      <c r="PLM393" s="104"/>
      <c r="PLN393" s="119"/>
      <c r="PLO393" s="104"/>
      <c r="PLP393" s="455"/>
      <c r="PLQ393" s="104"/>
      <c r="PLR393" s="104"/>
      <c r="PLS393" s="109"/>
      <c r="PLT393" s="104"/>
      <c r="PLU393" s="104"/>
      <c r="PLV393" s="119"/>
      <c r="PLW393" s="104"/>
      <c r="PLX393" s="455"/>
      <c r="PLY393" s="104"/>
      <c r="PLZ393" s="104"/>
      <c r="PMA393" s="109"/>
      <c r="PMB393" s="104"/>
      <c r="PMC393" s="104"/>
      <c r="PMD393" s="119"/>
      <c r="PME393" s="104"/>
      <c r="PMF393" s="455"/>
      <c r="PMG393" s="104"/>
      <c r="PMH393" s="104"/>
      <c r="PMI393" s="109"/>
      <c r="PMJ393" s="104"/>
      <c r="PMK393" s="104"/>
      <c r="PML393" s="119"/>
      <c r="PMM393" s="104"/>
      <c r="PMN393" s="455"/>
      <c r="PMO393" s="104"/>
      <c r="PMP393" s="104"/>
      <c r="PMQ393" s="109"/>
      <c r="PMR393" s="104"/>
      <c r="PMS393" s="104"/>
      <c r="PMT393" s="119"/>
      <c r="PMU393" s="104"/>
      <c r="PMV393" s="455"/>
      <c r="PMW393" s="104"/>
      <c r="PMX393" s="104"/>
      <c r="PMY393" s="109"/>
      <c r="PMZ393" s="104"/>
      <c r="PNA393" s="104"/>
      <c r="PNB393" s="119"/>
      <c r="PNC393" s="104"/>
      <c r="PND393" s="455"/>
      <c r="PNE393" s="104"/>
      <c r="PNF393" s="104"/>
      <c r="PNG393" s="109"/>
      <c r="PNH393" s="104"/>
      <c r="PNI393" s="104"/>
      <c r="PNJ393" s="119"/>
      <c r="PNK393" s="104"/>
      <c r="PNL393" s="455"/>
      <c r="PNM393" s="104"/>
      <c r="PNN393" s="104"/>
      <c r="PNO393" s="109"/>
      <c r="PNP393" s="104"/>
      <c r="PNQ393" s="104"/>
      <c r="PNR393" s="119"/>
      <c r="PNS393" s="104"/>
      <c r="PNT393" s="455"/>
      <c r="PNU393" s="104"/>
      <c r="PNV393" s="104"/>
      <c r="PNW393" s="109"/>
      <c r="PNX393" s="104"/>
      <c r="PNY393" s="104"/>
      <c r="PNZ393" s="119"/>
      <c r="POA393" s="104"/>
      <c r="POB393" s="455"/>
      <c r="POC393" s="104"/>
      <c r="POD393" s="104"/>
      <c r="POE393" s="109"/>
      <c r="POF393" s="104"/>
      <c r="POG393" s="104"/>
      <c r="POH393" s="119"/>
      <c r="POI393" s="104"/>
      <c r="POJ393" s="455"/>
      <c r="POK393" s="104"/>
      <c r="POL393" s="104"/>
      <c r="POM393" s="109"/>
      <c r="PON393" s="104"/>
      <c r="POO393" s="104"/>
      <c r="POP393" s="119"/>
      <c r="POQ393" s="104"/>
      <c r="POR393" s="455"/>
      <c r="POS393" s="104"/>
      <c r="POT393" s="104"/>
      <c r="POU393" s="109"/>
      <c r="POV393" s="104"/>
      <c r="POW393" s="104"/>
      <c r="POX393" s="119"/>
      <c r="POY393" s="104"/>
      <c r="POZ393" s="455"/>
      <c r="PPA393" s="104"/>
      <c r="PPB393" s="104"/>
      <c r="PPC393" s="109"/>
      <c r="PPD393" s="104"/>
      <c r="PPE393" s="104"/>
      <c r="PPF393" s="119"/>
      <c r="PPG393" s="104"/>
      <c r="PPH393" s="455"/>
      <c r="PPI393" s="104"/>
      <c r="PPJ393" s="104"/>
      <c r="PPK393" s="109"/>
      <c r="PPL393" s="104"/>
      <c r="PPM393" s="104"/>
      <c r="PPN393" s="119"/>
      <c r="PPO393" s="104"/>
      <c r="PPP393" s="455"/>
      <c r="PPQ393" s="104"/>
      <c r="PPR393" s="104"/>
      <c r="PPS393" s="109"/>
      <c r="PPT393" s="104"/>
      <c r="PPU393" s="104"/>
      <c r="PPV393" s="119"/>
      <c r="PPW393" s="104"/>
      <c r="PPX393" s="455"/>
      <c r="PPY393" s="104"/>
      <c r="PPZ393" s="104"/>
      <c r="PQA393" s="109"/>
      <c r="PQB393" s="104"/>
      <c r="PQC393" s="104"/>
      <c r="PQD393" s="119"/>
      <c r="PQE393" s="104"/>
      <c r="PQF393" s="455"/>
      <c r="PQG393" s="104"/>
      <c r="PQH393" s="104"/>
      <c r="PQI393" s="109"/>
      <c r="PQJ393" s="104"/>
      <c r="PQK393" s="104"/>
      <c r="PQL393" s="119"/>
      <c r="PQM393" s="104"/>
      <c r="PQN393" s="455"/>
      <c r="PQO393" s="104"/>
      <c r="PQP393" s="104"/>
      <c r="PQQ393" s="109"/>
      <c r="PQR393" s="104"/>
      <c r="PQS393" s="104"/>
      <c r="PQT393" s="119"/>
      <c r="PQU393" s="104"/>
      <c r="PQV393" s="455"/>
      <c r="PQW393" s="104"/>
      <c r="PQX393" s="104"/>
      <c r="PQY393" s="109"/>
      <c r="PQZ393" s="104"/>
      <c r="PRA393" s="104"/>
      <c r="PRB393" s="119"/>
      <c r="PRC393" s="104"/>
      <c r="PRD393" s="455"/>
      <c r="PRE393" s="104"/>
      <c r="PRF393" s="104"/>
      <c r="PRG393" s="109"/>
      <c r="PRH393" s="104"/>
      <c r="PRI393" s="104"/>
      <c r="PRJ393" s="119"/>
      <c r="PRK393" s="104"/>
      <c r="PRL393" s="455"/>
      <c r="PRM393" s="104"/>
      <c r="PRN393" s="104"/>
      <c r="PRO393" s="109"/>
      <c r="PRP393" s="104"/>
      <c r="PRQ393" s="104"/>
      <c r="PRR393" s="119"/>
      <c r="PRS393" s="104"/>
      <c r="PRT393" s="455"/>
      <c r="PRU393" s="104"/>
      <c r="PRV393" s="104"/>
      <c r="PRW393" s="109"/>
      <c r="PRX393" s="104"/>
      <c r="PRY393" s="104"/>
      <c r="PRZ393" s="119"/>
      <c r="PSA393" s="104"/>
      <c r="PSB393" s="455"/>
      <c r="PSC393" s="104"/>
      <c r="PSD393" s="104"/>
      <c r="PSE393" s="109"/>
      <c r="PSF393" s="104"/>
      <c r="PSG393" s="104"/>
      <c r="PSH393" s="119"/>
      <c r="PSI393" s="104"/>
      <c r="PSJ393" s="455"/>
      <c r="PSK393" s="104"/>
      <c r="PSL393" s="104"/>
      <c r="PSM393" s="109"/>
      <c r="PSN393" s="104"/>
      <c r="PSO393" s="104"/>
      <c r="PSP393" s="119"/>
      <c r="PSQ393" s="104"/>
      <c r="PSR393" s="455"/>
      <c r="PSS393" s="104"/>
      <c r="PST393" s="104"/>
      <c r="PSU393" s="109"/>
      <c r="PSV393" s="104"/>
      <c r="PSW393" s="104"/>
      <c r="PSX393" s="119"/>
      <c r="PSY393" s="104"/>
      <c r="PSZ393" s="455"/>
      <c r="PTA393" s="104"/>
      <c r="PTB393" s="104"/>
      <c r="PTC393" s="109"/>
      <c r="PTD393" s="104"/>
      <c r="PTE393" s="104"/>
      <c r="PTF393" s="119"/>
      <c r="PTG393" s="104"/>
      <c r="PTH393" s="455"/>
      <c r="PTI393" s="104"/>
      <c r="PTJ393" s="104"/>
      <c r="PTK393" s="109"/>
      <c r="PTL393" s="104"/>
      <c r="PTM393" s="104"/>
      <c r="PTN393" s="119"/>
      <c r="PTO393" s="104"/>
      <c r="PTP393" s="455"/>
      <c r="PTQ393" s="104"/>
      <c r="PTR393" s="104"/>
      <c r="PTS393" s="109"/>
      <c r="PTT393" s="104"/>
      <c r="PTU393" s="104"/>
      <c r="PTV393" s="119"/>
      <c r="PTW393" s="104"/>
      <c r="PTX393" s="455"/>
      <c r="PTY393" s="104"/>
      <c r="PTZ393" s="104"/>
      <c r="PUA393" s="109"/>
      <c r="PUB393" s="104"/>
      <c r="PUC393" s="104"/>
      <c r="PUD393" s="119"/>
      <c r="PUE393" s="104"/>
      <c r="PUF393" s="455"/>
      <c r="PUG393" s="104"/>
      <c r="PUH393" s="104"/>
      <c r="PUI393" s="109"/>
      <c r="PUJ393" s="104"/>
      <c r="PUK393" s="104"/>
      <c r="PUL393" s="119"/>
      <c r="PUM393" s="104"/>
      <c r="PUN393" s="455"/>
      <c r="PUO393" s="104"/>
      <c r="PUP393" s="104"/>
      <c r="PUQ393" s="109"/>
      <c r="PUR393" s="104"/>
      <c r="PUS393" s="104"/>
      <c r="PUT393" s="119"/>
      <c r="PUU393" s="104"/>
      <c r="PUV393" s="455"/>
      <c r="PUW393" s="104"/>
      <c r="PUX393" s="104"/>
      <c r="PUY393" s="109"/>
      <c r="PUZ393" s="104"/>
      <c r="PVA393" s="104"/>
      <c r="PVB393" s="119"/>
      <c r="PVC393" s="104"/>
      <c r="PVD393" s="455"/>
      <c r="PVE393" s="104"/>
      <c r="PVF393" s="104"/>
      <c r="PVG393" s="109"/>
      <c r="PVH393" s="104"/>
      <c r="PVI393" s="104"/>
      <c r="PVJ393" s="119"/>
      <c r="PVK393" s="104"/>
      <c r="PVL393" s="455"/>
      <c r="PVM393" s="104"/>
      <c r="PVN393" s="104"/>
      <c r="PVO393" s="109"/>
      <c r="PVP393" s="104"/>
      <c r="PVQ393" s="104"/>
      <c r="PVR393" s="119"/>
      <c r="PVS393" s="104"/>
      <c r="PVT393" s="455"/>
      <c r="PVU393" s="104"/>
      <c r="PVV393" s="104"/>
      <c r="PVW393" s="109"/>
      <c r="PVX393" s="104"/>
      <c r="PVY393" s="104"/>
      <c r="PVZ393" s="119"/>
      <c r="PWA393" s="104"/>
      <c r="PWB393" s="455"/>
      <c r="PWC393" s="104"/>
      <c r="PWD393" s="104"/>
      <c r="PWE393" s="109"/>
      <c r="PWF393" s="104"/>
      <c r="PWG393" s="104"/>
      <c r="PWH393" s="119"/>
      <c r="PWI393" s="104"/>
      <c r="PWJ393" s="455"/>
      <c r="PWK393" s="104"/>
      <c r="PWL393" s="104"/>
      <c r="PWM393" s="109"/>
      <c r="PWN393" s="104"/>
      <c r="PWO393" s="104"/>
      <c r="PWP393" s="119"/>
      <c r="PWQ393" s="104"/>
      <c r="PWR393" s="455"/>
      <c r="PWS393" s="104"/>
      <c r="PWT393" s="104"/>
      <c r="PWU393" s="109"/>
      <c r="PWV393" s="104"/>
      <c r="PWW393" s="104"/>
      <c r="PWX393" s="119"/>
      <c r="PWY393" s="104"/>
      <c r="PWZ393" s="455"/>
      <c r="PXA393" s="104"/>
      <c r="PXB393" s="104"/>
      <c r="PXC393" s="109"/>
      <c r="PXD393" s="104"/>
      <c r="PXE393" s="104"/>
      <c r="PXF393" s="119"/>
      <c r="PXG393" s="104"/>
      <c r="PXH393" s="455"/>
      <c r="PXI393" s="104"/>
      <c r="PXJ393" s="104"/>
      <c r="PXK393" s="109"/>
      <c r="PXL393" s="104"/>
      <c r="PXM393" s="104"/>
      <c r="PXN393" s="119"/>
      <c r="PXO393" s="104"/>
      <c r="PXP393" s="455"/>
      <c r="PXQ393" s="104"/>
      <c r="PXR393" s="104"/>
      <c r="PXS393" s="109"/>
      <c r="PXT393" s="104"/>
      <c r="PXU393" s="104"/>
      <c r="PXV393" s="119"/>
      <c r="PXW393" s="104"/>
      <c r="PXX393" s="455"/>
      <c r="PXY393" s="104"/>
      <c r="PXZ393" s="104"/>
      <c r="PYA393" s="109"/>
      <c r="PYB393" s="104"/>
      <c r="PYC393" s="104"/>
      <c r="PYD393" s="119"/>
      <c r="PYE393" s="104"/>
      <c r="PYF393" s="455"/>
      <c r="PYG393" s="104"/>
      <c r="PYH393" s="104"/>
      <c r="PYI393" s="109"/>
      <c r="PYJ393" s="104"/>
      <c r="PYK393" s="104"/>
      <c r="PYL393" s="119"/>
      <c r="PYM393" s="104"/>
      <c r="PYN393" s="455"/>
      <c r="PYO393" s="104"/>
      <c r="PYP393" s="104"/>
      <c r="PYQ393" s="109"/>
      <c r="PYR393" s="104"/>
      <c r="PYS393" s="104"/>
      <c r="PYT393" s="119"/>
      <c r="PYU393" s="104"/>
      <c r="PYV393" s="455"/>
      <c r="PYW393" s="104"/>
      <c r="PYX393" s="104"/>
      <c r="PYY393" s="109"/>
      <c r="PYZ393" s="104"/>
      <c r="PZA393" s="104"/>
      <c r="PZB393" s="119"/>
      <c r="PZC393" s="104"/>
      <c r="PZD393" s="455"/>
      <c r="PZE393" s="104"/>
      <c r="PZF393" s="104"/>
      <c r="PZG393" s="109"/>
      <c r="PZH393" s="104"/>
      <c r="PZI393" s="104"/>
      <c r="PZJ393" s="119"/>
      <c r="PZK393" s="104"/>
      <c r="PZL393" s="455"/>
      <c r="PZM393" s="104"/>
      <c r="PZN393" s="104"/>
      <c r="PZO393" s="109"/>
      <c r="PZP393" s="104"/>
      <c r="PZQ393" s="104"/>
      <c r="PZR393" s="119"/>
      <c r="PZS393" s="104"/>
      <c r="PZT393" s="455"/>
      <c r="PZU393" s="104"/>
      <c r="PZV393" s="104"/>
      <c r="PZW393" s="109"/>
      <c r="PZX393" s="104"/>
      <c r="PZY393" s="104"/>
      <c r="PZZ393" s="119"/>
      <c r="QAA393" s="104"/>
      <c r="QAB393" s="455"/>
      <c r="QAC393" s="104"/>
      <c r="QAD393" s="104"/>
      <c r="QAE393" s="109"/>
      <c r="QAF393" s="104"/>
      <c r="QAG393" s="104"/>
      <c r="QAH393" s="119"/>
      <c r="QAI393" s="104"/>
      <c r="QAJ393" s="455"/>
      <c r="QAK393" s="104"/>
      <c r="QAL393" s="104"/>
      <c r="QAM393" s="109"/>
      <c r="QAN393" s="104"/>
      <c r="QAO393" s="104"/>
      <c r="QAP393" s="119"/>
      <c r="QAQ393" s="104"/>
      <c r="QAR393" s="455"/>
      <c r="QAS393" s="104"/>
      <c r="QAT393" s="104"/>
      <c r="QAU393" s="109"/>
      <c r="QAV393" s="104"/>
      <c r="QAW393" s="104"/>
      <c r="QAX393" s="119"/>
      <c r="QAY393" s="104"/>
      <c r="QAZ393" s="455"/>
      <c r="QBA393" s="104"/>
      <c r="QBB393" s="104"/>
      <c r="QBC393" s="109"/>
      <c r="QBD393" s="104"/>
      <c r="QBE393" s="104"/>
      <c r="QBF393" s="119"/>
      <c r="QBG393" s="104"/>
      <c r="QBH393" s="455"/>
      <c r="QBI393" s="104"/>
      <c r="QBJ393" s="104"/>
      <c r="QBK393" s="109"/>
      <c r="QBL393" s="104"/>
      <c r="QBM393" s="104"/>
      <c r="QBN393" s="119"/>
      <c r="QBO393" s="104"/>
      <c r="QBP393" s="455"/>
      <c r="QBQ393" s="104"/>
      <c r="QBR393" s="104"/>
      <c r="QBS393" s="109"/>
      <c r="QBT393" s="104"/>
      <c r="QBU393" s="104"/>
      <c r="QBV393" s="119"/>
      <c r="QBW393" s="104"/>
      <c r="QBX393" s="455"/>
      <c r="QBY393" s="104"/>
      <c r="QBZ393" s="104"/>
      <c r="QCA393" s="109"/>
      <c r="QCB393" s="104"/>
      <c r="QCC393" s="104"/>
      <c r="QCD393" s="119"/>
      <c r="QCE393" s="104"/>
      <c r="QCF393" s="455"/>
      <c r="QCG393" s="104"/>
      <c r="QCH393" s="104"/>
      <c r="QCI393" s="109"/>
      <c r="QCJ393" s="104"/>
      <c r="QCK393" s="104"/>
      <c r="QCL393" s="119"/>
      <c r="QCM393" s="104"/>
      <c r="QCN393" s="455"/>
      <c r="QCO393" s="104"/>
      <c r="QCP393" s="104"/>
      <c r="QCQ393" s="109"/>
      <c r="QCR393" s="104"/>
      <c r="QCS393" s="104"/>
      <c r="QCT393" s="119"/>
      <c r="QCU393" s="104"/>
      <c r="QCV393" s="455"/>
      <c r="QCW393" s="104"/>
      <c r="QCX393" s="104"/>
      <c r="QCY393" s="109"/>
      <c r="QCZ393" s="104"/>
      <c r="QDA393" s="104"/>
      <c r="QDB393" s="119"/>
      <c r="QDC393" s="104"/>
      <c r="QDD393" s="455"/>
      <c r="QDE393" s="104"/>
      <c r="QDF393" s="104"/>
      <c r="QDG393" s="109"/>
      <c r="QDH393" s="104"/>
      <c r="QDI393" s="104"/>
      <c r="QDJ393" s="119"/>
      <c r="QDK393" s="104"/>
      <c r="QDL393" s="455"/>
      <c r="QDM393" s="104"/>
      <c r="QDN393" s="104"/>
      <c r="QDO393" s="109"/>
      <c r="QDP393" s="104"/>
      <c r="QDQ393" s="104"/>
      <c r="QDR393" s="119"/>
      <c r="QDS393" s="104"/>
      <c r="QDT393" s="455"/>
      <c r="QDU393" s="104"/>
      <c r="QDV393" s="104"/>
      <c r="QDW393" s="109"/>
      <c r="QDX393" s="104"/>
      <c r="QDY393" s="104"/>
      <c r="QDZ393" s="119"/>
      <c r="QEA393" s="104"/>
      <c r="QEB393" s="455"/>
      <c r="QEC393" s="104"/>
      <c r="QED393" s="104"/>
      <c r="QEE393" s="109"/>
      <c r="QEF393" s="104"/>
      <c r="QEG393" s="104"/>
      <c r="QEH393" s="119"/>
      <c r="QEI393" s="104"/>
      <c r="QEJ393" s="455"/>
      <c r="QEK393" s="104"/>
      <c r="QEL393" s="104"/>
      <c r="QEM393" s="109"/>
      <c r="QEN393" s="104"/>
      <c r="QEO393" s="104"/>
      <c r="QEP393" s="119"/>
      <c r="QEQ393" s="104"/>
      <c r="QER393" s="455"/>
      <c r="QES393" s="104"/>
      <c r="QET393" s="104"/>
      <c r="QEU393" s="109"/>
      <c r="QEV393" s="104"/>
      <c r="QEW393" s="104"/>
      <c r="QEX393" s="119"/>
      <c r="QEY393" s="104"/>
      <c r="QEZ393" s="455"/>
      <c r="QFA393" s="104"/>
      <c r="QFB393" s="104"/>
      <c r="QFC393" s="109"/>
      <c r="QFD393" s="104"/>
      <c r="QFE393" s="104"/>
      <c r="QFF393" s="119"/>
      <c r="QFG393" s="104"/>
      <c r="QFH393" s="455"/>
      <c r="QFI393" s="104"/>
      <c r="QFJ393" s="104"/>
      <c r="QFK393" s="109"/>
      <c r="QFL393" s="104"/>
      <c r="QFM393" s="104"/>
      <c r="QFN393" s="119"/>
      <c r="QFO393" s="104"/>
      <c r="QFP393" s="455"/>
      <c r="QFQ393" s="104"/>
      <c r="QFR393" s="104"/>
      <c r="QFS393" s="109"/>
      <c r="QFT393" s="104"/>
      <c r="QFU393" s="104"/>
      <c r="QFV393" s="119"/>
      <c r="QFW393" s="104"/>
      <c r="QFX393" s="455"/>
      <c r="QFY393" s="104"/>
      <c r="QFZ393" s="104"/>
      <c r="QGA393" s="109"/>
      <c r="QGB393" s="104"/>
      <c r="QGC393" s="104"/>
      <c r="QGD393" s="119"/>
      <c r="QGE393" s="104"/>
      <c r="QGF393" s="455"/>
      <c r="QGG393" s="104"/>
      <c r="QGH393" s="104"/>
      <c r="QGI393" s="109"/>
      <c r="QGJ393" s="104"/>
      <c r="QGK393" s="104"/>
      <c r="QGL393" s="119"/>
      <c r="QGM393" s="104"/>
      <c r="QGN393" s="455"/>
      <c r="QGO393" s="104"/>
      <c r="QGP393" s="104"/>
      <c r="QGQ393" s="109"/>
      <c r="QGR393" s="104"/>
      <c r="QGS393" s="104"/>
      <c r="QGT393" s="119"/>
      <c r="QGU393" s="104"/>
      <c r="QGV393" s="455"/>
      <c r="QGW393" s="104"/>
      <c r="QGX393" s="104"/>
      <c r="QGY393" s="109"/>
      <c r="QGZ393" s="104"/>
      <c r="QHA393" s="104"/>
      <c r="QHB393" s="119"/>
      <c r="QHC393" s="104"/>
      <c r="QHD393" s="455"/>
      <c r="QHE393" s="104"/>
      <c r="QHF393" s="104"/>
      <c r="QHG393" s="109"/>
      <c r="QHH393" s="104"/>
      <c r="QHI393" s="104"/>
      <c r="QHJ393" s="119"/>
      <c r="QHK393" s="104"/>
      <c r="QHL393" s="455"/>
      <c r="QHM393" s="104"/>
      <c r="QHN393" s="104"/>
      <c r="QHO393" s="109"/>
      <c r="QHP393" s="104"/>
      <c r="QHQ393" s="104"/>
      <c r="QHR393" s="119"/>
      <c r="QHS393" s="104"/>
      <c r="QHT393" s="455"/>
      <c r="QHU393" s="104"/>
      <c r="QHV393" s="104"/>
      <c r="QHW393" s="109"/>
      <c r="QHX393" s="104"/>
      <c r="QHY393" s="104"/>
      <c r="QHZ393" s="119"/>
      <c r="QIA393" s="104"/>
      <c r="QIB393" s="455"/>
      <c r="QIC393" s="104"/>
      <c r="QID393" s="104"/>
      <c r="QIE393" s="109"/>
      <c r="QIF393" s="104"/>
      <c r="QIG393" s="104"/>
      <c r="QIH393" s="119"/>
      <c r="QII393" s="104"/>
      <c r="QIJ393" s="455"/>
      <c r="QIK393" s="104"/>
      <c r="QIL393" s="104"/>
      <c r="QIM393" s="109"/>
      <c r="QIN393" s="104"/>
      <c r="QIO393" s="104"/>
      <c r="QIP393" s="119"/>
      <c r="QIQ393" s="104"/>
      <c r="QIR393" s="455"/>
      <c r="QIS393" s="104"/>
      <c r="QIT393" s="104"/>
      <c r="QIU393" s="109"/>
      <c r="QIV393" s="104"/>
      <c r="QIW393" s="104"/>
      <c r="QIX393" s="119"/>
      <c r="QIY393" s="104"/>
      <c r="QIZ393" s="455"/>
      <c r="QJA393" s="104"/>
      <c r="QJB393" s="104"/>
      <c r="QJC393" s="109"/>
      <c r="QJD393" s="104"/>
      <c r="QJE393" s="104"/>
      <c r="QJF393" s="119"/>
      <c r="QJG393" s="104"/>
      <c r="QJH393" s="455"/>
      <c r="QJI393" s="104"/>
      <c r="QJJ393" s="104"/>
      <c r="QJK393" s="109"/>
      <c r="QJL393" s="104"/>
      <c r="QJM393" s="104"/>
      <c r="QJN393" s="119"/>
      <c r="QJO393" s="104"/>
      <c r="QJP393" s="455"/>
      <c r="QJQ393" s="104"/>
      <c r="QJR393" s="104"/>
      <c r="QJS393" s="109"/>
      <c r="QJT393" s="104"/>
      <c r="QJU393" s="104"/>
      <c r="QJV393" s="119"/>
      <c r="QJW393" s="104"/>
      <c r="QJX393" s="455"/>
      <c r="QJY393" s="104"/>
      <c r="QJZ393" s="104"/>
      <c r="QKA393" s="109"/>
      <c r="QKB393" s="104"/>
      <c r="QKC393" s="104"/>
      <c r="QKD393" s="119"/>
      <c r="QKE393" s="104"/>
      <c r="QKF393" s="455"/>
      <c r="QKG393" s="104"/>
      <c r="QKH393" s="104"/>
      <c r="QKI393" s="109"/>
      <c r="QKJ393" s="104"/>
      <c r="QKK393" s="104"/>
      <c r="QKL393" s="119"/>
      <c r="QKM393" s="104"/>
      <c r="QKN393" s="455"/>
      <c r="QKO393" s="104"/>
      <c r="QKP393" s="104"/>
      <c r="QKQ393" s="109"/>
      <c r="QKR393" s="104"/>
      <c r="QKS393" s="104"/>
      <c r="QKT393" s="119"/>
      <c r="QKU393" s="104"/>
      <c r="QKV393" s="455"/>
      <c r="QKW393" s="104"/>
      <c r="QKX393" s="104"/>
      <c r="QKY393" s="109"/>
      <c r="QKZ393" s="104"/>
      <c r="QLA393" s="104"/>
      <c r="QLB393" s="119"/>
      <c r="QLC393" s="104"/>
      <c r="QLD393" s="455"/>
      <c r="QLE393" s="104"/>
      <c r="QLF393" s="104"/>
      <c r="QLG393" s="109"/>
      <c r="QLH393" s="104"/>
      <c r="QLI393" s="104"/>
      <c r="QLJ393" s="119"/>
      <c r="QLK393" s="104"/>
      <c r="QLL393" s="455"/>
      <c r="QLM393" s="104"/>
      <c r="QLN393" s="104"/>
      <c r="QLO393" s="109"/>
      <c r="QLP393" s="104"/>
      <c r="QLQ393" s="104"/>
      <c r="QLR393" s="119"/>
      <c r="QLS393" s="104"/>
      <c r="QLT393" s="455"/>
      <c r="QLU393" s="104"/>
      <c r="QLV393" s="104"/>
      <c r="QLW393" s="109"/>
      <c r="QLX393" s="104"/>
      <c r="QLY393" s="104"/>
      <c r="QLZ393" s="119"/>
      <c r="QMA393" s="104"/>
      <c r="QMB393" s="455"/>
      <c r="QMC393" s="104"/>
      <c r="QMD393" s="104"/>
      <c r="QME393" s="109"/>
      <c r="QMF393" s="104"/>
      <c r="QMG393" s="104"/>
      <c r="QMH393" s="119"/>
      <c r="QMI393" s="104"/>
      <c r="QMJ393" s="455"/>
      <c r="QMK393" s="104"/>
      <c r="QML393" s="104"/>
      <c r="QMM393" s="109"/>
      <c r="QMN393" s="104"/>
      <c r="QMO393" s="104"/>
      <c r="QMP393" s="119"/>
      <c r="QMQ393" s="104"/>
      <c r="QMR393" s="455"/>
      <c r="QMS393" s="104"/>
      <c r="QMT393" s="104"/>
      <c r="QMU393" s="109"/>
      <c r="QMV393" s="104"/>
      <c r="QMW393" s="104"/>
      <c r="QMX393" s="119"/>
      <c r="QMY393" s="104"/>
      <c r="QMZ393" s="455"/>
      <c r="QNA393" s="104"/>
      <c r="QNB393" s="104"/>
      <c r="QNC393" s="109"/>
      <c r="QND393" s="104"/>
      <c r="QNE393" s="104"/>
      <c r="QNF393" s="119"/>
      <c r="QNG393" s="104"/>
      <c r="QNH393" s="455"/>
      <c r="QNI393" s="104"/>
      <c r="QNJ393" s="104"/>
      <c r="QNK393" s="109"/>
      <c r="QNL393" s="104"/>
      <c r="QNM393" s="104"/>
      <c r="QNN393" s="119"/>
      <c r="QNO393" s="104"/>
      <c r="QNP393" s="455"/>
      <c r="QNQ393" s="104"/>
      <c r="QNR393" s="104"/>
      <c r="QNS393" s="109"/>
      <c r="QNT393" s="104"/>
      <c r="QNU393" s="104"/>
      <c r="QNV393" s="119"/>
      <c r="QNW393" s="104"/>
      <c r="QNX393" s="455"/>
      <c r="QNY393" s="104"/>
      <c r="QNZ393" s="104"/>
      <c r="QOA393" s="109"/>
      <c r="QOB393" s="104"/>
      <c r="QOC393" s="104"/>
      <c r="QOD393" s="119"/>
      <c r="QOE393" s="104"/>
      <c r="QOF393" s="455"/>
      <c r="QOG393" s="104"/>
      <c r="QOH393" s="104"/>
      <c r="QOI393" s="109"/>
      <c r="QOJ393" s="104"/>
      <c r="QOK393" s="104"/>
      <c r="QOL393" s="119"/>
      <c r="QOM393" s="104"/>
      <c r="QON393" s="455"/>
      <c r="QOO393" s="104"/>
      <c r="QOP393" s="104"/>
      <c r="QOQ393" s="109"/>
      <c r="QOR393" s="104"/>
      <c r="QOS393" s="104"/>
      <c r="QOT393" s="119"/>
      <c r="QOU393" s="104"/>
      <c r="QOV393" s="455"/>
      <c r="QOW393" s="104"/>
      <c r="QOX393" s="104"/>
      <c r="QOY393" s="109"/>
      <c r="QOZ393" s="104"/>
      <c r="QPA393" s="104"/>
      <c r="QPB393" s="119"/>
      <c r="QPC393" s="104"/>
      <c r="QPD393" s="455"/>
      <c r="QPE393" s="104"/>
      <c r="QPF393" s="104"/>
      <c r="QPG393" s="109"/>
      <c r="QPH393" s="104"/>
      <c r="QPI393" s="104"/>
      <c r="QPJ393" s="119"/>
      <c r="QPK393" s="104"/>
      <c r="QPL393" s="455"/>
      <c r="QPM393" s="104"/>
      <c r="QPN393" s="104"/>
      <c r="QPO393" s="109"/>
      <c r="QPP393" s="104"/>
      <c r="QPQ393" s="104"/>
      <c r="QPR393" s="119"/>
      <c r="QPS393" s="104"/>
      <c r="QPT393" s="455"/>
      <c r="QPU393" s="104"/>
      <c r="QPV393" s="104"/>
      <c r="QPW393" s="109"/>
      <c r="QPX393" s="104"/>
      <c r="QPY393" s="104"/>
      <c r="QPZ393" s="119"/>
      <c r="QQA393" s="104"/>
      <c r="QQB393" s="455"/>
      <c r="QQC393" s="104"/>
      <c r="QQD393" s="104"/>
      <c r="QQE393" s="109"/>
      <c r="QQF393" s="104"/>
      <c r="QQG393" s="104"/>
      <c r="QQH393" s="119"/>
      <c r="QQI393" s="104"/>
      <c r="QQJ393" s="455"/>
      <c r="QQK393" s="104"/>
      <c r="QQL393" s="104"/>
      <c r="QQM393" s="109"/>
      <c r="QQN393" s="104"/>
      <c r="QQO393" s="104"/>
      <c r="QQP393" s="119"/>
      <c r="QQQ393" s="104"/>
      <c r="QQR393" s="455"/>
      <c r="QQS393" s="104"/>
      <c r="QQT393" s="104"/>
      <c r="QQU393" s="109"/>
      <c r="QQV393" s="104"/>
      <c r="QQW393" s="104"/>
      <c r="QQX393" s="119"/>
      <c r="QQY393" s="104"/>
      <c r="QQZ393" s="455"/>
      <c r="QRA393" s="104"/>
      <c r="QRB393" s="104"/>
      <c r="QRC393" s="109"/>
      <c r="QRD393" s="104"/>
      <c r="QRE393" s="104"/>
      <c r="QRF393" s="119"/>
      <c r="QRG393" s="104"/>
      <c r="QRH393" s="455"/>
      <c r="QRI393" s="104"/>
      <c r="QRJ393" s="104"/>
      <c r="QRK393" s="109"/>
      <c r="QRL393" s="104"/>
      <c r="QRM393" s="104"/>
      <c r="QRN393" s="119"/>
      <c r="QRO393" s="104"/>
      <c r="QRP393" s="455"/>
      <c r="QRQ393" s="104"/>
      <c r="QRR393" s="104"/>
      <c r="QRS393" s="109"/>
      <c r="QRT393" s="104"/>
      <c r="QRU393" s="104"/>
      <c r="QRV393" s="119"/>
      <c r="QRW393" s="104"/>
      <c r="QRX393" s="455"/>
      <c r="QRY393" s="104"/>
      <c r="QRZ393" s="104"/>
      <c r="QSA393" s="109"/>
      <c r="QSB393" s="104"/>
      <c r="QSC393" s="104"/>
      <c r="QSD393" s="119"/>
      <c r="QSE393" s="104"/>
      <c r="QSF393" s="455"/>
      <c r="QSG393" s="104"/>
      <c r="QSH393" s="104"/>
      <c r="QSI393" s="109"/>
      <c r="QSJ393" s="104"/>
      <c r="QSK393" s="104"/>
      <c r="QSL393" s="119"/>
      <c r="QSM393" s="104"/>
      <c r="QSN393" s="455"/>
      <c r="QSO393" s="104"/>
      <c r="QSP393" s="104"/>
      <c r="QSQ393" s="109"/>
      <c r="QSR393" s="104"/>
      <c r="QSS393" s="104"/>
      <c r="QST393" s="119"/>
      <c r="QSU393" s="104"/>
      <c r="QSV393" s="455"/>
      <c r="QSW393" s="104"/>
      <c r="QSX393" s="104"/>
      <c r="QSY393" s="109"/>
      <c r="QSZ393" s="104"/>
      <c r="QTA393" s="104"/>
      <c r="QTB393" s="119"/>
      <c r="QTC393" s="104"/>
      <c r="QTD393" s="455"/>
      <c r="QTE393" s="104"/>
      <c r="QTF393" s="104"/>
      <c r="QTG393" s="109"/>
      <c r="QTH393" s="104"/>
      <c r="QTI393" s="104"/>
      <c r="QTJ393" s="119"/>
      <c r="QTK393" s="104"/>
      <c r="QTL393" s="455"/>
      <c r="QTM393" s="104"/>
      <c r="QTN393" s="104"/>
      <c r="QTO393" s="109"/>
      <c r="QTP393" s="104"/>
      <c r="QTQ393" s="104"/>
      <c r="QTR393" s="119"/>
      <c r="QTS393" s="104"/>
      <c r="QTT393" s="455"/>
      <c r="QTU393" s="104"/>
      <c r="QTV393" s="104"/>
      <c r="QTW393" s="109"/>
      <c r="QTX393" s="104"/>
      <c r="QTY393" s="104"/>
      <c r="QTZ393" s="119"/>
      <c r="QUA393" s="104"/>
      <c r="QUB393" s="455"/>
      <c r="QUC393" s="104"/>
      <c r="QUD393" s="104"/>
      <c r="QUE393" s="109"/>
      <c r="QUF393" s="104"/>
      <c r="QUG393" s="104"/>
      <c r="QUH393" s="119"/>
      <c r="QUI393" s="104"/>
      <c r="QUJ393" s="455"/>
      <c r="QUK393" s="104"/>
      <c r="QUL393" s="104"/>
      <c r="QUM393" s="109"/>
      <c r="QUN393" s="104"/>
      <c r="QUO393" s="104"/>
      <c r="QUP393" s="119"/>
      <c r="QUQ393" s="104"/>
      <c r="QUR393" s="455"/>
      <c r="QUS393" s="104"/>
      <c r="QUT393" s="104"/>
      <c r="QUU393" s="109"/>
      <c r="QUV393" s="104"/>
      <c r="QUW393" s="104"/>
      <c r="QUX393" s="119"/>
      <c r="QUY393" s="104"/>
      <c r="QUZ393" s="455"/>
      <c r="QVA393" s="104"/>
      <c r="QVB393" s="104"/>
      <c r="QVC393" s="109"/>
      <c r="QVD393" s="104"/>
      <c r="QVE393" s="104"/>
      <c r="QVF393" s="119"/>
      <c r="QVG393" s="104"/>
      <c r="QVH393" s="455"/>
      <c r="QVI393" s="104"/>
      <c r="QVJ393" s="104"/>
      <c r="QVK393" s="109"/>
      <c r="QVL393" s="104"/>
      <c r="QVM393" s="104"/>
      <c r="QVN393" s="119"/>
      <c r="QVO393" s="104"/>
      <c r="QVP393" s="455"/>
      <c r="QVQ393" s="104"/>
      <c r="QVR393" s="104"/>
      <c r="QVS393" s="109"/>
      <c r="QVT393" s="104"/>
      <c r="QVU393" s="104"/>
      <c r="QVV393" s="119"/>
      <c r="QVW393" s="104"/>
      <c r="QVX393" s="455"/>
      <c r="QVY393" s="104"/>
      <c r="QVZ393" s="104"/>
      <c r="QWA393" s="109"/>
      <c r="QWB393" s="104"/>
      <c r="QWC393" s="104"/>
      <c r="QWD393" s="119"/>
      <c r="QWE393" s="104"/>
      <c r="QWF393" s="455"/>
      <c r="QWG393" s="104"/>
      <c r="QWH393" s="104"/>
      <c r="QWI393" s="109"/>
      <c r="QWJ393" s="104"/>
      <c r="QWK393" s="104"/>
      <c r="QWL393" s="119"/>
      <c r="QWM393" s="104"/>
      <c r="QWN393" s="455"/>
      <c r="QWO393" s="104"/>
      <c r="QWP393" s="104"/>
      <c r="QWQ393" s="109"/>
      <c r="QWR393" s="104"/>
      <c r="QWS393" s="104"/>
      <c r="QWT393" s="119"/>
      <c r="QWU393" s="104"/>
      <c r="QWV393" s="455"/>
      <c r="QWW393" s="104"/>
      <c r="QWX393" s="104"/>
      <c r="QWY393" s="109"/>
      <c r="QWZ393" s="104"/>
      <c r="QXA393" s="104"/>
      <c r="QXB393" s="119"/>
      <c r="QXC393" s="104"/>
      <c r="QXD393" s="455"/>
      <c r="QXE393" s="104"/>
      <c r="QXF393" s="104"/>
      <c r="QXG393" s="109"/>
      <c r="QXH393" s="104"/>
      <c r="QXI393" s="104"/>
      <c r="QXJ393" s="119"/>
      <c r="QXK393" s="104"/>
      <c r="QXL393" s="455"/>
      <c r="QXM393" s="104"/>
      <c r="QXN393" s="104"/>
      <c r="QXO393" s="109"/>
      <c r="QXP393" s="104"/>
      <c r="QXQ393" s="104"/>
      <c r="QXR393" s="119"/>
      <c r="QXS393" s="104"/>
      <c r="QXT393" s="455"/>
      <c r="QXU393" s="104"/>
      <c r="QXV393" s="104"/>
      <c r="QXW393" s="109"/>
      <c r="QXX393" s="104"/>
      <c r="QXY393" s="104"/>
      <c r="QXZ393" s="119"/>
      <c r="QYA393" s="104"/>
      <c r="QYB393" s="455"/>
      <c r="QYC393" s="104"/>
      <c r="QYD393" s="104"/>
      <c r="QYE393" s="109"/>
      <c r="QYF393" s="104"/>
      <c r="QYG393" s="104"/>
      <c r="QYH393" s="119"/>
      <c r="QYI393" s="104"/>
      <c r="QYJ393" s="455"/>
      <c r="QYK393" s="104"/>
      <c r="QYL393" s="104"/>
      <c r="QYM393" s="109"/>
      <c r="QYN393" s="104"/>
      <c r="QYO393" s="104"/>
      <c r="QYP393" s="119"/>
      <c r="QYQ393" s="104"/>
      <c r="QYR393" s="455"/>
      <c r="QYS393" s="104"/>
      <c r="QYT393" s="104"/>
      <c r="QYU393" s="109"/>
      <c r="QYV393" s="104"/>
      <c r="QYW393" s="104"/>
      <c r="QYX393" s="119"/>
      <c r="QYY393" s="104"/>
      <c r="QYZ393" s="455"/>
      <c r="QZA393" s="104"/>
      <c r="QZB393" s="104"/>
      <c r="QZC393" s="109"/>
      <c r="QZD393" s="104"/>
      <c r="QZE393" s="104"/>
      <c r="QZF393" s="119"/>
      <c r="QZG393" s="104"/>
      <c r="QZH393" s="455"/>
      <c r="QZI393" s="104"/>
      <c r="QZJ393" s="104"/>
      <c r="QZK393" s="109"/>
      <c r="QZL393" s="104"/>
      <c r="QZM393" s="104"/>
      <c r="QZN393" s="119"/>
      <c r="QZO393" s="104"/>
      <c r="QZP393" s="455"/>
      <c r="QZQ393" s="104"/>
      <c r="QZR393" s="104"/>
      <c r="QZS393" s="109"/>
      <c r="QZT393" s="104"/>
      <c r="QZU393" s="104"/>
      <c r="QZV393" s="119"/>
      <c r="QZW393" s="104"/>
      <c r="QZX393" s="455"/>
      <c r="QZY393" s="104"/>
      <c r="QZZ393" s="104"/>
      <c r="RAA393" s="109"/>
      <c r="RAB393" s="104"/>
      <c r="RAC393" s="104"/>
      <c r="RAD393" s="119"/>
      <c r="RAE393" s="104"/>
      <c r="RAF393" s="455"/>
      <c r="RAG393" s="104"/>
      <c r="RAH393" s="104"/>
      <c r="RAI393" s="109"/>
      <c r="RAJ393" s="104"/>
      <c r="RAK393" s="104"/>
      <c r="RAL393" s="119"/>
      <c r="RAM393" s="104"/>
      <c r="RAN393" s="455"/>
      <c r="RAO393" s="104"/>
      <c r="RAP393" s="104"/>
      <c r="RAQ393" s="109"/>
      <c r="RAR393" s="104"/>
      <c r="RAS393" s="104"/>
      <c r="RAT393" s="119"/>
      <c r="RAU393" s="104"/>
      <c r="RAV393" s="455"/>
      <c r="RAW393" s="104"/>
      <c r="RAX393" s="104"/>
      <c r="RAY393" s="109"/>
      <c r="RAZ393" s="104"/>
      <c r="RBA393" s="104"/>
      <c r="RBB393" s="119"/>
      <c r="RBC393" s="104"/>
      <c r="RBD393" s="455"/>
      <c r="RBE393" s="104"/>
      <c r="RBF393" s="104"/>
      <c r="RBG393" s="109"/>
      <c r="RBH393" s="104"/>
      <c r="RBI393" s="104"/>
      <c r="RBJ393" s="119"/>
      <c r="RBK393" s="104"/>
      <c r="RBL393" s="455"/>
      <c r="RBM393" s="104"/>
      <c r="RBN393" s="104"/>
      <c r="RBO393" s="109"/>
      <c r="RBP393" s="104"/>
      <c r="RBQ393" s="104"/>
      <c r="RBR393" s="119"/>
      <c r="RBS393" s="104"/>
      <c r="RBT393" s="455"/>
      <c r="RBU393" s="104"/>
      <c r="RBV393" s="104"/>
      <c r="RBW393" s="109"/>
      <c r="RBX393" s="104"/>
      <c r="RBY393" s="104"/>
      <c r="RBZ393" s="119"/>
      <c r="RCA393" s="104"/>
      <c r="RCB393" s="455"/>
      <c r="RCC393" s="104"/>
      <c r="RCD393" s="104"/>
      <c r="RCE393" s="109"/>
      <c r="RCF393" s="104"/>
      <c r="RCG393" s="104"/>
      <c r="RCH393" s="119"/>
      <c r="RCI393" s="104"/>
      <c r="RCJ393" s="455"/>
      <c r="RCK393" s="104"/>
      <c r="RCL393" s="104"/>
      <c r="RCM393" s="109"/>
      <c r="RCN393" s="104"/>
      <c r="RCO393" s="104"/>
      <c r="RCP393" s="119"/>
      <c r="RCQ393" s="104"/>
      <c r="RCR393" s="455"/>
      <c r="RCS393" s="104"/>
      <c r="RCT393" s="104"/>
      <c r="RCU393" s="109"/>
      <c r="RCV393" s="104"/>
      <c r="RCW393" s="104"/>
      <c r="RCX393" s="119"/>
      <c r="RCY393" s="104"/>
      <c r="RCZ393" s="455"/>
      <c r="RDA393" s="104"/>
      <c r="RDB393" s="104"/>
      <c r="RDC393" s="109"/>
      <c r="RDD393" s="104"/>
      <c r="RDE393" s="104"/>
      <c r="RDF393" s="119"/>
      <c r="RDG393" s="104"/>
      <c r="RDH393" s="455"/>
      <c r="RDI393" s="104"/>
      <c r="RDJ393" s="104"/>
      <c r="RDK393" s="109"/>
      <c r="RDL393" s="104"/>
      <c r="RDM393" s="104"/>
      <c r="RDN393" s="119"/>
      <c r="RDO393" s="104"/>
      <c r="RDP393" s="455"/>
      <c r="RDQ393" s="104"/>
      <c r="RDR393" s="104"/>
      <c r="RDS393" s="109"/>
      <c r="RDT393" s="104"/>
      <c r="RDU393" s="104"/>
      <c r="RDV393" s="119"/>
      <c r="RDW393" s="104"/>
      <c r="RDX393" s="455"/>
      <c r="RDY393" s="104"/>
      <c r="RDZ393" s="104"/>
      <c r="REA393" s="109"/>
      <c r="REB393" s="104"/>
      <c r="REC393" s="104"/>
      <c r="RED393" s="119"/>
      <c r="REE393" s="104"/>
      <c r="REF393" s="455"/>
      <c r="REG393" s="104"/>
      <c r="REH393" s="104"/>
      <c r="REI393" s="109"/>
      <c r="REJ393" s="104"/>
      <c r="REK393" s="104"/>
      <c r="REL393" s="119"/>
      <c r="REM393" s="104"/>
      <c r="REN393" s="455"/>
      <c r="REO393" s="104"/>
      <c r="REP393" s="104"/>
      <c r="REQ393" s="109"/>
      <c r="RER393" s="104"/>
      <c r="RES393" s="104"/>
      <c r="RET393" s="119"/>
      <c r="REU393" s="104"/>
      <c r="REV393" s="455"/>
      <c r="REW393" s="104"/>
      <c r="REX393" s="104"/>
      <c r="REY393" s="109"/>
      <c r="REZ393" s="104"/>
      <c r="RFA393" s="104"/>
      <c r="RFB393" s="119"/>
      <c r="RFC393" s="104"/>
      <c r="RFD393" s="455"/>
      <c r="RFE393" s="104"/>
      <c r="RFF393" s="104"/>
      <c r="RFG393" s="109"/>
      <c r="RFH393" s="104"/>
      <c r="RFI393" s="104"/>
      <c r="RFJ393" s="119"/>
      <c r="RFK393" s="104"/>
      <c r="RFL393" s="455"/>
      <c r="RFM393" s="104"/>
      <c r="RFN393" s="104"/>
      <c r="RFO393" s="109"/>
      <c r="RFP393" s="104"/>
      <c r="RFQ393" s="104"/>
      <c r="RFR393" s="119"/>
      <c r="RFS393" s="104"/>
      <c r="RFT393" s="455"/>
      <c r="RFU393" s="104"/>
      <c r="RFV393" s="104"/>
      <c r="RFW393" s="109"/>
      <c r="RFX393" s="104"/>
      <c r="RFY393" s="104"/>
      <c r="RFZ393" s="119"/>
      <c r="RGA393" s="104"/>
      <c r="RGB393" s="455"/>
      <c r="RGC393" s="104"/>
      <c r="RGD393" s="104"/>
      <c r="RGE393" s="109"/>
      <c r="RGF393" s="104"/>
      <c r="RGG393" s="104"/>
      <c r="RGH393" s="119"/>
      <c r="RGI393" s="104"/>
      <c r="RGJ393" s="455"/>
      <c r="RGK393" s="104"/>
      <c r="RGL393" s="104"/>
      <c r="RGM393" s="109"/>
      <c r="RGN393" s="104"/>
      <c r="RGO393" s="104"/>
      <c r="RGP393" s="119"/>
      <c r="RGQ393" s="104"/>
      <c r="RGR393" s="455"/>
      <c r="RGS393" s="104"/>
      <c r="RGT393" s="104"/>
      <c r="RGU393" s="109"/>
      <c r="RGV393" s="104"/>
      <c r="RGW393" s="104"/>
      <c r="RGX393" s="119"/>
      <c r="RGY393" s="104"/>
      <c r="RGZ393" s="455"/>
      <c r="RHA393" s="104"/>
      <c r="RHB393" s="104"/>
      <c r="RHC393" s="109"/>
      <c r="RHD393" s="104"/>
      <c r="RHE393" s="104"/>
      <c r="RHF393" s="119"/>
      <c r="RHG393" s="104"/>
      <c r="RHH393" s="455"/>
      <c r="RHI393" s="104"/>
      <c r="RHJ393" s="104"/>
      <c r="RHK393" s="109"/>
      <c r="RHL393" s="104"/>
      <c r="RHM393" s="104"/>
      <c r="RHN393" s="119"/>
      <c r="RHO393" s="104"/>
      <c r="RHP393" s="455"/>
      <c r="RHQ393" s="104"/>
      <c r="RHR393" s="104"/>
      <c r="RHS393" s="109"/>
      <c r="RHT393" s="104"/>
      <c r="RHU393" s="104"/>
      <c r="RHV393" s="119"/>
      <c r="RHW393" s="104"/>
      <c r="RHX393" s="455"/>
      <c r="RHY393" s="104"/>
      <c r="RHZ393" s="104"/>
      <c r="RIA393" s="109"/>
      <c r="RIB393" s="104"/>
      <c r="RIC393" s="104"/>
      <c r="RID393" s="119"/>
      <c r="RIE393" s="104"/>
      <c r="RIF393" s="455"/>
      <c r="RIG393" s="104"/>
      <c r="RIH393" s="104"/>
      <c r="RII393" s="109"/>
      <c r="RIJ393" s="104"/>
      <c r="RIK393" s="104"/>
      <c r="RIL393" s="119"/>
      <c r="RIM393" s="104"/>
      <c r="RIN393" s="455"/>
      <c r="RIO393" s="104"/>
      <c r="RIP393" s="104"/>
      <c r="RIQ393" s="109"/>
      <c r="RIR393" s="104"/>
      <c r="RIS393" s="104"/>
      <c r="RIT393" s="119"/>
      <c r="RIU393" s="104"/>
      <c r="RIV393" s="455"/>
      <c r="RIW393" s="104"/>
      <c r="RIX393" s="104"/>
      <c r="RIY393" s="109"/>
      <c r="RIZ393" s="104"/>
      <c r="RJA393" s="104"/>
      <c r="RJB393" s="119"/>
      <c r="RJC393" s="104"/>
      <c r="RJD393" s="455"/>
      <c r="RJE393" s="104"/>
      <c r="RJF393" s="104"/>
      <c r="RJG393" s="109"/>
      <c r="RJH393" s="104"/>
      <c r="RJI393" s="104"/>
      <c r="RJJ393" s="119"/>
      <c r="RJK393" s="104"/>
      <c r="RJL393" s="455"/>
      <c r="RJM393" s="104"/>
      <c r="RJN393" s="104"/>
      <c r="RJO393" s="109"/>
      <c r="RJP393" s="104"/>
      <c r="RJQ393" s="104"/>
      <c r="RJR393" s="119"/>
      <c r="RJS393" s="104"/>
      <c r="RJT393" s="455"/>
      <c r="RJU393" s="104"/>
      <c r="RJV393" s="104"/>
      <c r="RJW393" s="109"/>
      <c r="RJX393" s="104"/>
      <c r="RJY393" s="104"/>
      <c r="RJZ393" s="119"/>
      <c r="RKA393" s="104"/>
      <c r="RKB393" s="455"/>
      <c r="RKC393" s="104"/>
      <c r="RKD393" s="104"/>
      <c r="RKE393" s="109"/>
      <c r="RKF393" s="104"/>
      <c r="RKG393" s="104"/>
      <c r="RKH393" s="119"/>
      <c r="RKI393" s="104"/>
      <c r="RKJ393" s="455"/>
      <c r="RKK393" s="104"/>
      <c r="RKL393" s="104"/>
      <c r="RKM393" s="109"/>
      <c r="RKN393" s="104"/>
      <c r="RKO393" s="104"/>
      <c r="RKP393" s="119"/>
      <c r="RKQ393" s="104"/>
      <c r="RKR393" s="455"/>
      <c r="RKS393" s="104"/>
      <c r="RKT393" s="104"/>
      <c r="RKU393" s="109"/>
      <c r="RKV393" s="104"/>
      <c r="RKW393" s="104"/>
      <c r="RKX393" s="119"/>
      <c r="RKY393" s="104"/>
      <c r="RKZ393" s="455"/>
      <c r="RLA393" s="104"/>
      <c r="RLB393" s="104"/>
      <c r="RLC393" s="109"/>
      <c r="RLD393" s="104"/>
      <c r="RLE393" s="104"/>
      <c r="RLF393" s="119"/>
      <c r="RLG393" s="104"/>
      <c r="RLH393" s="455"/>
      <c r="RLI393" s="104"/>
      <c r="RLJ393" s="104"/>
      <c r="RLK393" s="109"/>
      <c r="RLL393" s="104"/>
      <c r="RLM393" s="104"/>
      <c r="RLN393" s="119"/>
      <c r="RLO393" s="104"/>
      <c r="RLP393" s="455"/>
      <c r="RLQ393" s="104"/>
      <c r="RLR393" s="104"/>
      <c r="RLS393" s="109"/>
      <c r="RLT393" s="104"/>
      <c r="RLU393" s="104"/>
      <c r="RLV393" s="119"/>
      <c r="RLW393" s="104"/>
      <c r="RLX393" s="455"/>
      <c r="RLY393" s="104"/>
      <c r="RLZ393" s="104"/>
      <c r="RMA393" s="109"/>
      <c r="RMB393" s="104"/>
      <c r="RMC393" s="104"/>
      <c r="RMD393" s="119"/>
      <c r="RME393" s="104"/>
      <c r="RMF393" s="455"/>
      <c r="RMG393" s="104"/>
      <c r="RMH393" s="104"/>
      <c r="RMI393" s="109"/>
      <c r="RMJ393" s="104"/>
      <c r="RMK393" s="104"/>
      <c r="RML393" s="119"/>
      <c r="RMM393" s="104"/>
      <c r="RMN393" s="455"/>
      <c r="RMO393" s="104"/>
      <c r="RMP393" s="104"/>
      <c r="RMQ393" s="109"/>
      <c r="RMR393" s="104"/>
      <c r="RMS393" s="104"/>
      <c r="RMT393" s="119"/>
      <c r="RMU393" s="104"/>
      <c r="RMV393" s="455"/>
      <c r="RMW393" s="104"/>
      <c r="RMX393" s="104"/>
      <c r="RMY393" s="109"/>
      <c r="RMZ393" s="104"/>
      <c r="RNA393" s="104"/>
      <c r="RNB393" s="119"/>
      <c r="RNC393" s="104"/>
      <c r="RND393" s="455"/>
      <c r="RNE393" s="104"/>
      <c r="RNF393" s="104"/>
      <c r="RNG393" s="109"/>
      <c r="RNH393" s="104"/>
      <c r="RNI393" s="104"/>
      <c r="RNJ393" s="119"/>
      <c r="RNK393" s="104"/>
      <c r="RNL393" s="455"/>
      <c r="RNM393" s="104"/>
      <c r="RNN393" s="104"/>
      <c r="RNO393" s="109"/>
      <c r="RNP393" s="104"/>
      <c r="RNQ393" s="104"/>
      <c r="RNR393" s="119"/>
      <c r="RNS393" s="104"/>
      <c r="RNT393" s="455"/>
      <c r="RNU393" s="104"/>
      <c r="RNV393" s="104"/>
      <c r="RNW393" s="109"/>
      <c r="RNX393" s="104"/>
      <c r="RNY393" s="104"/>
      <c r="RNZ393" s="119"/>
      <c r="ROA393" s="104"/>
      <c r="ROB393" s="455"/>
      <c r="ROC393" s="104"/>
      <c r="ROD393" s="104"/>
      <c r="ROE393" s="109"/>
      <c r="ROF393" s="104"/>
      <c r="ROG393" s="104"/>
      <c r="ROH393" s="119"/>
      <c r="ROI393" s="104"/>
      <c r="ROJ393" s="455"/>
      <c r="ROK393" s="104"/>
      <c r="ROL393" s="104"/>
      <c r="ROM393" s="109"/>
      <c r="RON393" s="104"/>
      <c r="ROO393" s="104"/>
      <c r="ROP393" s="119"/>
      <c r="ROQ393" s="104"/>
      <c r="ROR393" s="455"/>
      <c r="ROS393" s="104"/>
      <c r="ROT393" s="104"/>
      <c r="ROU393" s="109"/>
      <c r="ROV393" s="104"/>
      <c r="ROW393" s="104"/>
      <c r="ROX393" s="119"/>
      <c r="ROY393" s="104"/>
      <c r="ROZ393" s="455"/>
      <c r="RPA393" s="104"/>
      <c r="RPB393" s="104"/>
      <c r="RPC393" s="109"/>
      <c r="RPD393" s="104"/>
      <c r="RPE393" s="104"/>
      <c r="RPF393" s="119"/>
      <c r="RPG393" s="104"/>
      <c r="RPH393" s="455"/>
      <c r="RPI393" s="104"/>
      <c r="RPJ393" s="104"/>
      <c r="RPK393" s="109"/>
      <c r="RPL393" s="104"/>
      <c r="RPM393" s="104"/>
      <c r="RPN393" s="119"/>
      <c r="RPO393" s="104"/>
      <c r="RPP393" s="455"/>
      <c r="RPQ393" s="104"/>
      <c r="RPR393" s="104"/>
      <c r="RPS393" s="109"/>
      <c r="RPT393" s="104"/>
      <c r="RPU393" s="104"/>
      <c r="RPV393" s="119"/>
      <c r="RPW393" s="104"/>
      <c r="RPX393" s="455"/>
      <c r="RPY393" s="104"/>
      <c r="RPZ393" s="104"/>
      <c r="RQA393" s="109"/>
      <c r="RQB393" s="104"/>
      <c r="RQC393" s="104"/>
      <c r="RQD393" s="119"/>
      <c r="RQE393" s="104"/>
      <c r="RQF393" s="455"/>
      <c r="RQG393" s="104"/>
      <c r="RQH393" s="104"/>
      <c r="RQI393" s="109"/>
      <c r="RQJ393" s="104"/>
      <c r="RQK393" s="104"/>
      <c r="RQL393" s="119"/>
      <c r="RQM393" s="104"/>
      <c r="RQN393" s="455"/>
      <c r="RQO393" s="104"/>
      <c r="RQP393" s="104"/>
      <c r="RQQ393" s="109"/>
      <c r="RQR393" s="104"/>
      <c r="RQS393" s="104"/>
      <c r="RQT393" s="119"/>
      <c r="RQU393" s="104"/>
      <c r="RQV393" s="455"/>
      <c r="RQW393" s="104"/>
      <c r="RQX393" s="104"/>
      <c r="RQY393" s="109"/>
      <c r="RQZ393" s="104"/>
      <c r="RRA393" s="104"/>
      <c r="RRB393" s="119"/>
      <c r="RRC393" s="104"/>
      <c r="RRD393" s="455"/>
      <c r="RRE393" s="104"/>
      <c r="RRF393" s="104"/>
      <c r="RRG393" s="109"/>
      <c r="RRH393" s="104"/>
      <c r="RRI393" s="104"/>
      <c r="RRJ393" s="119"/>
      <c r="RRK393" s="104"/>
      <c r="RRL393" s="455"/>
      <c r="RRM393" s="104"/>
      <c r="RRN393" s="104"/>
      <c r="RRO393" s="109"/>
      <c r="RRP393" s="104"/>
      <c r="RRQ393" s="104"/>
      <c r="RRR393" s="119"/>
      <c r="RRS393" s="104"/>
      <c r="RRT393" s="455"/>
      <c r="RRU393" s="104"/>
      <c r="RRV393" s="104"/>
      <c r="RRW393" s="109"/>
      <c r="RRX393" s="104"/>
      <c r="RRY393" s="104"/>
      <c r="RRZ393" s="119"/>
      <c r="RSA393" s="104"/>
      <c r="RSB393" s="455"/>
      <c r="RSC393" s="104"/>
      <c r="RSD393" s="104"/>
      <c r="RSE393" s="109"/>
      <c r="RSF393" s="104"/>
      <c r="RSG393" s="104"/>
      <c r="RSH393" s="119"/>
      <c r="RSI393" s="104"/>
      <c r="RSJ393" s="455"/>
      <c r="RSK393" s="104"/>
      <c r="RSL393" s="104"/>
      <c r="RSM393" s="109"/>
      <c r="RSN393" s="104"/>
      <c r="RSO393" s="104"/>
      <c r="RSP393" s="119"/>
      <c r="RSQ393" s="104"/>
      <c r="RSR393" s="455"/>
      <c r="RSS393" s="104"/>
      <c r="RST393" s="104"/>
      <c r="RSU393" s="109"/>
      <c r="RSV393" s="104"/>
      <c r="RSW393" s="104"/>
      <c r="RSX393" s="119"/>
      <c r="RSY393" s="104"/>
      <c r="RSZ393" s="455"/>
      <c r="RTA393" s="104"/>
      <c r="RTB393" s="104"/>
      <c r="RTC393" s="109"/>
      <c r="RTD393" s="104"/>
      <c r="RTE393" s="104"/>
      <c r="RTF393" s="119"/>
      <c r="RTG393" s="104"/>
      <c r="RTH393" s="455"/>
      <c r="RTI393" s="104"/>
      <c r="RTJ393" s="104"/>
      <c r="RTK393" s="109"/>
      <c r="RTL393" s="104"/>
      <c r="RTM393" s="104"/>
      <c r="RTN393" s="119"/>
      <c r="RTO393" s="104"/>
      <c r="RTP393" s="455"/>
      <c r="RTQ393" s="104"/>
      <c r="RTR393" s="104"/>
      <c r="RTS393" s="109"/>
      <c r="RTT393" s="104"/>
      <c r="RTU393" s="104"/>
      <c r="RTV393" s="119"/>
      <c r="RTW393" s="104"/>
      <c r="RTX393" s="455"/>
      <c r="RTY393" s="104"/>
      <c r="RTZ393" s="104"/>
      <c r="RUA393" s="109"/>
      <c r="RUB393" s="104"/>
      <c r="RUC393" s="104"/>
      <c r="RUD393" s="119"/>
      <c r="RUE393" s="104"/>
      <c r="RUF393" s="455"/>
      <c r="RUG393" s="104"/>
      <c r="RUH393" s="104"/>
      <c r="RUI393" s="109"/>
      <c r="RUJ393" s="104"/>
      <c r="RUK393" s="104"/>
      <c r="RUL393" s="119"/>
      <c r="RUM393" s="104"/>
      <c r="RUN393" s="455"/>
      <c r="RUO393" s="104"/>
      <c r="RUP393" s="104"/>
      <c r="RUQ393" s="109"/>
      <c r="RUR393" s="104"/>
      <c r="RUS393" s="104"/>
      <c r="RUT393" s="119"/>
      <c r="RUU393" s="104"/>
      <c r="RUV393" s="455"/>
      <c r="RUW393" s="104"/>
      <c r="RUX393" s="104"/>
      <c r="RUY393" s="109"/>
      <c r="RUZ393" s="104"/>
      <c r="RVA393" s="104"/>
      <c r="RVB393" s="119"/>
      <c r="RVC393" s="104"/>
      <c r="RVD393" s="455"/>
      <c r="RVE393" s="104"/>
      <c r="RVF393" s="104"/>
      <c r="RVG393" s="109"/>
      <c r="RVH393" s="104"/>
      <c r="RVI393" s="104"/>
      <c r="RVJ393" s="119"/>
      <c r="RVK393" s="104"/>
      <c r="RVL393" s="455"/>
      <c r="RVM393" s="104"/>
      <c r="RVN393" s="104"/>
      <c r="RVO393" s="109"/>
      <c r="RVP393" s="104"/>
      <c r="RVQ393" s="104"/>
      <c r="RVR393" s="119"/>
      <c r="RVS393" s="104"/>
      <c r="RVT393" s="455"/>
      <c r="RVU393" s="104"/>
      <c r="RVV393" s="104"/>
      <c r="RVW393" s="109"/>
      <c r="RVX393" s="104"/>
      <c r="RVY393" s="104"/>
      <c r="RVZ393" s="119"/>
      <c r="RWA393" s="104"/>
      <c r="RWB393" s="455"/>
      <c r="RWC393" s="104"/>
      <c r="RWD393" s="104"/>
      <c r="RWE393" s="109"/>
      <c r="RWF393" s="104"/>
      <c r="RWG393" s="104"/>
      <c r="RWH393" s="119"/>
      <c r="RWI393" s="104"/>
      <c r="RWJ393" s="455"/>
      <c r="RWK393" s="104"/>
      <c r="RWL393" s="104"/>
      <c r="RWM393" s="109"/>
      <c r="RWN393" s="104"/>
      <c r="RWO393" s="104"/>
      <c r="RWP393" s="119"/>
      <c r="RWQ393" s="104"/>
      <c r="RWR393" s="455"/>
      <c r="RWS393" s="104"/>
      <c r="RWT393" s="104"/>
      <c r="RWU393" s="109"/>
      <c r="RWV393" s="104"/>
      <c r="RWW393" s="104"/>
      <c r="RWX393" s="119"/>
      <c r="RWY393" s="104"/>
      <c r="RWZ393" s="455"/>
      <c r="RXA393" s="104"/>
      <c r="RXB393" s="104"/>
      <c r="RXC393" s="109"/>
      <c r="RXD393" s="104"/>
      <c r="RXE393" s="104"/>
      <c r="RXF393" s="119"/>
      <c r="RXG393" s="104"/>
      <c r="RXH393" s="455"/>
      <c r="RXI393" s="104"/>
      <c r="RXJ393" s="104"/>
      <c r="RXK393" s="109"/>
      <c r="RXL393" s="104"/>
      <c r="RXM393" s="104"/>
      <c r="RXN393" s="119"/>
      <c r="RXO393" s="104"/>
      <c r="RXP393" s="455"/>
      <c r="RXQ393" s="104"/>
      <c r="RXR393" s="104"/>
      <c r="RXS393" s="109"/>
      <c r="RXT393" s="104"/>
      <c r="RXU393" s="104"/>
      <c r="RXV393" s="119"/>
      <c r="RXW393" s="104"/>
      <c r="RXX393" s="455"/>
      <c r="RXY393" s="104"/>
      <c r="RXZ393" s="104"/>
      <c r="RYA393" s="109"/>
      <c r="RYB393" s="104"/>
      <c r="RYC393" s="104"/>
      <c r="RYD393" s="119"/>
      <c r="RYE393" s="104"/>
      <c r="RYF393" s="455"/>
      <c r="RYG393" s="104"/>
      <c r="RYH393" s="104"/>
      <c r="RYI393" s="109"/>
      <c r="RYJ393" s="104"/>
      <c r="RYK393" s="104"/>
      <c r="RYL393" s="119"/>
      <c r="RYM393" s="104"/>
      <c r="RYN393" s="455"/>
      <c r="RYO393" s="104"/>
      <c r="RYP393" s="104"/>
      <c r="RYQ393" s="109"/>
      <c r="RYR393" s="104"/>
      <c r="RYS393" s="104"/>
      <c r="RYT393" s="119"/>
      <c r="RYU393" s="104"/>
      <c r="RYV393" s="455"/>
      <c r="RYW393" s="104"/>
      <c r="RYX393" s="104"/>
      <c r="RYY393" s="109"/>
      <c r="RYZ393" s="104"/>
      <c r="RZA393" s="104"/>
      <c r="RZB393" s="119"/>
      <c r="RZC393" s="104"/>
      <c r="RZD393" s="455"/>
      <c r="RZE393" s="104"/>
      <c r="RZF393" s="104"/>
      <c r="RZG393" s="109"/>
      <c r="RZH393" s="104"/>
      <c r="RZI393" s="104"/>
      <c r="RZJ393" s="119"/>
      <c r="RZK393" s="104"/>
      <c r="RZL393" s="455"/>
      <c r="RZM393" s="104"/>
      <c r="RZN393" s="104"/>
      <c r="RZO393" s="109"/>
      <c r="RZP393" s="104"/>
      <c r="RZQ393" s="104"/>
      <c r="RZR393" s="119"/>
      <c r="RZS393" s="104"/>
      <c r="RZT393" s="455"/>
      <c r="RZU393" s="104"/>
      <c r="RZV393" s="104"/>
      <c r="RZW393" s="109"/>
      <c r="RZX393" s="104"/>
      <c r="RZY393" s="104"/>
      <c r="RZZ393" s="119"/>
      <c r="SAA393" s="104"/>
      <c r="SAB393" s="455"/>
      <c r="SAC393" s="104"/>
      <c r="SAD393" s="104"/>
      <c r="SAE393" s="109"/>
      <c r="SAF393" s="104"/>
      <c r="SAG393" s="104"/>
      <c r="SAH393" s="119"/>
      <c r="SAI393" s="104"/>
      <c r="SAJ393" s="455"/>
      <c r="SAK393" s="104"/>
      <c r="SAL393" s="104"/>
      <c r="SAM393" s="109"/>
      <c r="SAN393" s="104"/>
      <c r="SAO393" s="104"/>
      <c r="SAP393" s="119"/>
      <c r="SAQ393" s="104"/>
      <c r="SAR393" s="455"/>
      <c r="SAS393" s="104"/>
      <c r="SAT393" s="104"/>
      <c r="SAU393" s="109"/>
      <c r="SAV393" s="104"/>
      <c r="SAW393" s="104"/>
      <c r="SAX393" s="119"/>
      <c r="SAY393" s="104"/>
      <c r="SAZ393" s="455"/>
      <c r="SBA393" s="104"/>
      <c r="SBB393" s="104"/>
      <c r="SBC393" s="109"/>
      <c r="SBD393" s="104"/>
      <c r="SBE393" s="104"/>
      <c r="SBF393" s="119"/>
      <c r="SBG393" s="104"/>
      <c r="SBH393" s="455"/>
      <c r="SBI393" s="104"/>
      <c r="SBJ393" s="104"/>
      <c r="SBK393" s="109"/>
      <c r="SBL393" s="104"/>
      <c r="SBM393" s="104"/>
      <c r="SBN393" s="119"/>
      <c r="SBO393" s="104"/>
      <c r="SBP393" s="455"/>
      <c r="SBQ393" s="104"/>
      <c r="SBR393" s="104"/>
      <c r="SBS393" s="109"/>
      <c r="SBT393" s="104"/>
      <c r="SBU393" s="104"/>
      <c r="SBV393" s="119"/>
      <c r="SBW393" s="104"/>
      <c r="SBX393" s="455"/>
      <c r="SBY393" s="104"/>
      <c r="SBZ393" s="104"/>
      <c r="SCA393" s="109"/>
      <c r="SCB393" s="104"/>
      <c r="SCC393" s="104"/>
      <c r="SCD393" s="119"/>
      <c r="SCE393" s="104"/>
      <c r="SCF393" s="455"/>
      <c r="SCG393" s="104"/>
      <c r="SCH393" s="104"/>
      <c r="SCI393" s="109"/>
      <c r="SCJ393" s="104"/>
      <c r="SCK393" s="104"/>
      <c r="SCL393" s="119"/>
      <c r="SCM393" s="104"/>
      <c r="SCN393" s="455"/>
      <c r="SCO393" s="104"/>
      <c r="SCP393" s="104"/>
      <c r="SCQ393" s="109"/>
      <c r="SCR393" s="104"/>
      <c r="SCS393" s="104"/>
      <c r="SCT393" s="119"/>
      <c r="SCU393" s="104"/>
      <c r="SCV393" s="455"/>
      <c r="SCW393" s="104"/>
      <c r="SCX393" s="104"/>
      <c r="SCY393" s="109"/>
      <c r="SCZ393" s="104"/>
      <c r="SDA393" s="104"/>
      <c r="SDB393" s="119"/>
      <c r="SDC393" s="104"/>
      <c r="SDD393" s="455"/>
      <c r="SDE393" s="104"/>
      <c r="SDF393" s="104"/>
      <c r="SDG393" s="109"/>
      <c r="SDH393" s="104"/>
      <c r="SDI393" s="104"/>
      <c r="SDJ393" s="119"/>
      <c r="SDK393" s="104"/>
      <c r="SDL393" s="455"/>
      <c r="SDM393" s="104"/>
      <c r="SDN393" s="104"/>
      <c r="SDO393" s="109"/>
      <c r="SDP393" s="104"/>
      <c r="SDQ393" s="104"/>
      <c r="SDR393" s="119"/>
      <c r="SDS393" s="104"/>
      <c r="SDT393" s="455"/>
      <c r="SDU393" s="104"/>
      <c r="SDV393" s="104"/>
      <c r="SDW393" s="109"/>
      <c r="SDX393" s="104"/>
      <c r="SDY393" s="104"/>
      <c r="SDZ393" s="119"/>
      <c r="SEA393" s="104"/>
      <c r="SEB393" s="455"/>
      <c r="SEC393" s="104"/>
      <c r="SED393" s="104"/>
      <c r="SEE393" s="109"/>
      <c r="SEF393" s="104"/>
      <c r="SEG393" s="104"/>
      <c r="SEH393" s="119"/>
      <c r="SEI393" s="104"/>
      <c r="SEJ393" s="455"/>
      <c r="SEK393" s="104"/>
      <c r="SEL393" s="104"/>
      <c r="SEM393" s="109"/>
      <c r="SEN393" s="104"/>
      <c r="SEO393" s="104"/>
      <c r="SEP393" s="119"/>
      <c r="SEQ393" s="104"/>
      <c r="SER393" s="455"/>
      <c r="SES393" s="104"/>
      <c r="SET393" s="104"/>
      <c r="SEU393" s="109"/>
      <c r="SEV393" s="104"/>
      <c r="SEW393" s="104"/>
      <c r="SEX393" s="119"/>
      <c r="SEY393" s="104"/>
      <c r="SEZ393" s="455"/>
      <c r="SFA393" s="104"/>
      <c r="SFB393" s="104"/>
      <c r="SFC393" s="109"/>
      <c r="SFD393" s="104"/>
      <c r="SFE393" s="104"/>
      <c r="SFF393" s="119"/>
      <c r="SFG393" s="104"/>
      <c r="SFH393" s="455"/>
      <c r="SFI393" s="104"/>
      <c r="SFJ393" s="104"/>
      <c r="SFK393" s="109"/>
      <c r="SFL393" s="104"/>
      <c r="SFM393" s="104"/>
      <c r="SFN393" s="119"/>
      <c r="SFO393" s="104"/>
      <c r="SFP393" s="455"/>
      <c r="SFQ393" s="104"/>
      <c r="SFR393" s="104"/>
      <c r="SFS393" s="109"/>
      <c r="SFT393" s="104"/>
      <c r="SFU393" s="104"/>
      <c r="SFV393" s="119"/>
      <c r="SFW393" s="104"/>
      <c r="SFX393" s="455"/>
      <c r="SFY393" s="104"/>
      <c r="SFZ393" s="104"/>
      <c r="SGA393" s="109"/>
      <c r="SGB393" s="104"/>
      <c r="SGC393" s="104"/>
      <c r="SGD393" s="119"/>
      <c r="SGE393" s="104"/>
      <c r="SGF393" s="455"/>
      <c r="SGG393" s="104"/>
      <c r="SGH393" s="104"/>
      <c r="SGI393" s="109"/>
      <c r="SGJ393" s="104"/>
      <c r="SGK393" s="104"/>
      <c r="SGL393" s="119"/>
      <c r="SGM393" s="104"/>
      <c r="SGN393" s="455"/>
      <c r="SGO393" s="104"/>
      <c r="SGP393" s="104"/>
      <c r="SGQ393" s="109"/>
      <c r="SGR393" s="104"/>
      <c r="SGS393" s="104"/>
      <c r="SGT393" s="119"/>
      <c r="SGU393" s="104"/>
      <c r="SGV393" s="455"/>
      <c r="SGW393" s="104"/>
      <c r="SGX393" s="104"/>
      <c r="SGY393" s="109"/>
      <c r="SGZ393" s="104"/>
      <c r="SHA393" s="104"/>
      <c r="SHB393" s="119"/>
      <c r="SHC393" s="104"/>
      <c r="SHD393" s="455"/>
      <c r="SHE393" s="104"/>
      <c r="SHF393" s="104"/>
      <c r="SHG393" s="109"/>
      <c r="SHH393" s="104"/>
      <c r="SHI393" s="104"/>
      <c r="SHJ393" s="119"/>
      <c r="SHK393" s="104"/>
      <c r="SHL393" s="455"/>
      <c r="SHM393" s="104"/>
      <c r="SHN393" s="104"/>
      <c r="SHO393" s="109"/>
      <c r="SHP393" s="104"/>
      <c r="SHQ393" s="104"/>
      <c r="SHR393" s="119"/>
      <c r="SHS393" s="104"/>
      <c r="SHT393" s="455"/>
      <c r="SHU393" s="104"/>
      <c r="SHV393" s="104"/>
      <c r="SHW393" s="109"/>
      <c r="SHX393" s="104"/>
      <c r="SHY393" s="104"/>
      <c r="SHZ393" s="119"/>
      <c r="SIA393" s="104"/>
      <c r="SIB393" s="455"/>
      <c r="SIC393" s="104"/>
      <c r="SID393" s="104"/>
      <c r="SIE393" s="109"/>
      <c r="SIF393" s="104"/>
      <c r="SIG393" s="104"/>
      <c r="SIH393" s="119"/>
      <c r="SII393" s="104"/>
      <c r="SIJ393" s="455"/>
      <c r="SIK393" s="104"/>
      <c r="SIL393" s="104"/>
      <c r="SIM393" s="109"/>
      <c r="SIN393" s="104"/>
      <c r="SIO393" s="104"/>
      <c r="SIP393" s="119"/>
      <c r="SIQ393" s="104"/>
      <c r="SIR393" s="455"/>
      <c r="SIS393" s="104"/>
      <c r="SIT393" s="104"/>
      <c r="SIU393" s="109"/>
      <c r="SIV393" s="104"/>
      <c r="SIW393" s="104"/>
      <c r="SIX393" s="119"/>
      <c r="SIY393" s="104"/>
      <c r="SIZ393" s="455"/>
      <c r="SJA393" s="104"/>
      <c r="SJB393" s="104"/>
      <c r="SJC393" s="109"/>
      <c r="SJD393" s="104"/>
      <c r="SJE393" s="104"/>
      <c r="SJF393" s="119"/>
      <c r="SJG393" s="104"/>
      <c r="SJH393" s="455"/>
      <c r="SJI393" s="104"/>
      <c r="SJJ393" s="104"/>
      <c r="SJK393" s="109"/>
      <c r="SJL393" s="104"/>
      <c r="SJM393" s="104"/>
      <c r="SJN393" s="119"/>
      <c r="SJO393" s="104"/>
      <c r="SJP393" s="455"/>
      <c r="SJQ393" s="104"/>
      <c r="SJR393" s="104"/>
      <c r="SJS393" s="109"/>
      <c r="SJT393" s="104"/>
      <c r="SJU393" s="104"/>
      <c r="SJV393" s="119"/>
      <c r="SJW393" s="104"/>
      <c r="SJX393" s="455"/>
      <c r="SJY393" s="104"/>
      <c r="SJZ393" s="104"/>
      <c r="SKA393" s="109"/>
      <c r="SKB393" s="104"/>
      <c r="SKC393" s="104"/>
      <c r="SKD393" s="119"/>
      <c r="SKE393" s="104"/>
      <c r="SKF393" s="455"/>
      <c r="SKG393" s="104"/>
      <c r="SKH393" s="104"/>
      <c r="SKI393" s="109"/>
      <c r="SKJ393" s="104"/>
      <c r="SKK393" s="104"/>
      <c r="SKL393" s="119"/>
      <c r="SKM393" s="104"/>
      <c r="SKN393" s="455"/>
      <c r="SKO393" s="104"/>
      <c r="SKP393" s="104"/>
      <c r="SKQ393" s="109"/>
      <c r="SKR393" s="104"/>
      <c r="SKS393" s="104"/>
      <c r="SKT393" s="119"/>
      <c r="SKU393" s="104"/>
      <c r="SKV393" s="455"/>
      <c r="SKW393" s="104"/>
      <c r="SKX393" s="104"/>
      <c r="SKY393" s="109"/>
      <c r="SKZ393" s="104"/>
      <c r="SLA393" s="104"/>
      <c r="SLB393" s="119"/>
      <c r="SLC393" s="104"/>
      <c r="SLD393" s="455"/>
      <c r="SLE393" s="104"/>
      <c r="SLF393" s="104"/>
      <c r="SLG393" s="109"/>
      <c r="SLH393" s="104"/>
      <c r="SLI393" s="104"/>
      <c r="SLJ393" s="119"/>
      <c r="SLK393" s="104"/>
      <c r="SLL393" s="455"/>
      <c r="SLM393" s="104"/>
      <c r="SLN393" s="104"/>
      <c r="SLO393" s="109"/>
      <c r="SLP393" s="104"/>
      <c r="SLQ393" s="104"/>
      <c r="SLR393" s="119"/>
      <c r="SLS393" s="104"/>
      <c r="SLT393" s="455"/>
      <c r="SLU393" s="104"/>
      <c r="SLV393" s="104"/>
      <c r="SLW393" s="109"/>
      <c r="SLX393" s="104"/>
      <c r="SLY393" s="104"/>
      <c r="SLZ393" s="119"/>
      <c r="SMA393" s="104"/>
      <c r="SMB393" s="455"/>
      <c r="SMC393" s="104"/>
      <c r="SMD393" s="104"/>
      <c r="SME393" s="109"/>
      <c r="SMF393" s="104"/>
      <c r="SMG393" s="104"/>
      <c r="SMH393" s="119"/>
      <c r="SMI393" s="104"/>
      <c r="SMJ393" s="455"/>
      <c r="SMK393" s="104"/>
      <c r="SML393" s="104"/>
      <c r="SMM393" s="109"/>
      <c r="SMN393" s="104"/>
      <c r="SMO393" s="104"/>
      <c r="SMP393" s="119"/>
      <c r="SMQ393" s="104"/>
      <c r="SMR393" s="455"/>
      <c r="SMS393" s="104"/>
      <c r="SMT393" s="104"/>
      <c r="SMU393" s="109"/>
      <c r="SMV393" s="104"/>
      <c r="SMW393" s="104"/>
      <c r="SMX393" s="119"/>
      <c r="SMY393" s="104"/>
      <c r="SMZ393" s="455"/>
      <c r="SNA393" s="104"/>
      <c r="SNB393" s="104"/>
      <c r="SNC393" s="109"/>
      <c r="SND393" s="104"/>
      <c r="SNE393" s="104"/>
      <c r="SNF393" s="119"/>
      <c r="SNG393" s="104"/>
      <c r="SNH393" s="455"/>
      <c r="SNI393" s="104"/>
      <c r="SNJ393" s="104"/>
      <c r="SNK393" s="109"/>
      <c r="SNL393" s="104"/>
      <c r="SNM393" s="104"/>
      <c r="SNN393" s="119"/>
      <c r="SNO393" s="104"/>
      <c r="SNP393" s="455"/>
      <c r="SNQ393" s="104"/>
      <c r="SNR393" s="104"/>
      <c r="SNS393" s="109"/>
      <c r="SNT393" s="104"/>
      <c r="SNU393" s="104"/>
      <c r="SNV393" s="119"/>
      <c r="SNW393" s="104"/>
      <c r="SNX393" s="455"/>
      <c r="SNY393" s="104"/>
      <c r="SNZ393" s="104"/>
      <c r="SOA393" s="109"/>
      <c r="SOB393" s="104"/>
      <c r="SOC393" s="104"/>
      <c r="SOD393" s="119"/>
      <c r="SOE393" s="104"/>
      <c r="SOF393" s="455"/>
      <c r="SOG393" s="104"/>
      <c r="SOH393" s="104"/>
      <c r="SOI393" s="109"/>
      <c r="SOJ393" s="104"/>
      <c r="SOK393" s="104"/>
      <c r="SOL393" s="119"/>
      <c r="SOM393" s="104"/>
      <c r="SON393" s="455"/>
      <c r="SOO393" s="104"/>
      <c r="SOP393" s="104"/>
      <c r="SOQ393" s="109"/>
      <c r="SOR393" s="104"/>
      <c r="SOS393" s="104"/>
      <c r="SOT393" s="119"/>
      <c r="SOU393" s="104"/>
      <c r="SOV393" s="455"/>
      <c r="SOW393" s="104"/>
      <c r="SOX393" s="104"/>
      <c r="SOY393" s="109"/>
      <c r="SOZ393" s="104"/>
      <c r="SPA393" s="104"/>
      <c r="SPB393" s="119"/>
      <c r="SPC393" s="104"/>
      <c r="SPD393" s="455"/>
      <c r="SPE393" s="104"/>
      <c r="SPF393" s="104"/>
      <c r="SPG393" s="109"/>
      <c r="SPH393" s="104"/>
      <c r="SPI393" s="104"/>
      <c r="SPJ393" s="119"/>
      <c r="SPK393" s="104"/>
      <c r="SPL393" s="455"/>
      <c r="SPM393" s="104"/>
      <c r="SPN393" s="104"/>
      <c r="SPO393" s="109"/>
      <c r="SPP393" s="104"/>
      <c r="SPQ393" s="104"/>
      <c r="SPR393" s="119"/>
      <c r="SPS393" s="104"/>
      <c r="SPT393" s="455"/>
      <c r="SPU393" s="104"/>
      <c r="SPV393" s="104"/>
      <c r="SPW393" s="109"/>
      <c r="SPX393" s="104"/>
      <c r="SPY393" s="104"/>
      <c r="SPZ393" s="119"/>
      <c r="SQA393" s="104"/>
      <c r="SQB393" s="455"/>
      <c r="SQC393" s="104"/>
      <c r="SQD393" s="104"/>
      <c r="SQE393" s="109"/>
      <c r="SQF393" s="104"/>
      <c r="SQG393" s="104"/>
      <c r="SQH393" s="119"/>
      <c r="SQI393" s="104"/>
      <c r="SQJ393" s="455"/>
      <c r="SQK393" s="104"/>
      <c r="SQL393" s="104"/>
      <c r="SQM393" s="109"/>
      <c r="SQN393" s="104"/>
      <c r="SQO393" s="104"/>
      <c r="SQP393" s="119"/>
      <c r="SQQ393" s="104"/>
      <c r="SQR393" s="455"/>
      <c r="SQS393" s="104"/>
      <c r="SQT393" s="104"/>
      <c r="SQU393" s="109"/>
      <c r="SQV393" s="104"/>
      <c r="SQW393" s="104"/>
      <c r="SQX393" s="119"/>
      <c r="SQY393" s="104"/>
      <c r="SQZ393" s="455"/>
      <c r="SRA393" s="104"/>
      <c r="SRB393" s="104"/>
      <c r="SRC393" s="109"/>
      <c r="SRD393" s="104"/>
      <c r="SRE393" s="104"/>
      <c r="SRF393" s="119"/>
      <c r="SRG393" s="104"/>
      <c r="SRH393" s="455"/>
      <c r="SRI393" s="104"/>
      <c r="SRJ393" s="104"/>
      <c r="SRK393" s="109"/>
      <c r="SRL393" s="104"/>
      <c r="SRM393" s="104"/>
      <c r="SRN393" s="119"/>
      <c r="SRO393" s="104"/>
      <c r="SRP393" s="455"/>
      <c r="SRQ393" s="104"/>
      <c r="SRR393" s="104"/>
      <c r="SRS393" s="109"/>
      <c r="SRT393" s="104"/>
      <c r="SRU393" s="104"/>
      <c r="SRV393" s="119"/>
      <c r="SRW393" s="104"/>
      <c r="SRX393" s="455"/>
      <c r="SRY393" s="104"/>
      <c r="SRZ393" s="104"/>
      <c r="SSA393" s="109"/>
      <c r="SSB393" s="104"/>
      <c r="SSC393" s="104"/>
      <c r="SSD393" s="119"/>
      <c r="SSE393" s="104"/>
      <c r="SSF393" s="455"/>
      <c r="SSG393" s="104"/>
      <c r="SSH393" s="104"/>
      <c r="SSI393" s="109"/>
      <c r="SSJ393" s="104"/>
      <c r="SSK393" s="104"/>
      <c r="SSL393" s="119"/>
      <c r="SSM393" s="104"/>
      <c r="SSN393" s="455"/>
      <c r="SSO393" s="104"/>
      <c r="SSP393" s="104"/>
      <c r="SSQ393" s="109"/>
      <c r="SSR393" s="104"/>
      <c r="SSS393" s="104"/>
      <c r="SST393" s="119"/>
      <c r="SSU393" s="104"/>
      <c r="SSV393" s="455"/>
      <c r="SSW393" s="104"/>
      <c r="SSX393" s="104"/>
      <c r="SSY393" s="109"/>
      <c r="SSZ393" s="104"/>
      <c r="STA393" s="104"/>
      <c r="STB393" s="119"/>
      <c r="STC393" s="104"/>
      <c r="STD393" s="455"/>
      <c r="STE393" s="104"/>
      <c r="STF393" s="104"/>
      <c r="STG393" s="109"/>
      <c r="STH393" s="104"/>
      <c r="STI393" s="104"/>
      <c r="STJ393" s="119"/>
      <c r="STK393" s="104"/>
      <c r="STL393" s="455"/>
      <c r="STM393" s="104"/>
      <c r="STN393" s="104"/>
      <c r="STO393" s="109"/>
      <c r="STP393" s="104"/>
      <c r="STQ393" s="104"/>
      <c r="STR393" s="119"/>
      <c r="STS393" s="104"/>
      <c r="STT393" s="455"/>
      <c r="STU393" s="104"/>
      <c r="STV393" s="104"/>
      <c r="STW393" s="109"/>
      <c r="STX393" s="104"/>
      <c r="STY393" s="104"/>
      <c r="STZ393" s="119"/>
      <c r="SUA393" s="104"/>
      <c r="SUB393" s="455"/>
      <c r="SUC393" s="104"/>
      <c r="SUD393" s="104"/>
      <c r="SUE393" s="109"/>
      <c r="SUF393" s="104"/>
      <c r="SUG393" s="104"/>
      <c r="SUH393" s="119"/>
      <c r="SUI393" s="104"/>
      <c r="SUJ393" s="455"/>
      <c r="SUK393" s="104"/>
      <c r="SUL393" s="104"/>
      <c r="SUM393" s="109"/>
      <c r="SUN393" s="104"/>
      <c r="SUO393" s="104"/>
      <c r="SUP393" s="119"/>
      <c r="SUQ393" s="104"/>
      <c r="SUR393" s="455"/>
      <c r="SUS393" s="104"/>
      <c r="SUT393" s="104"/>
      <c r="SUU393" s="109"/>
      <c r="SUV393" s="104"/>
      <c r="SUW393" s="104"/>
      <c r="SUX393" s="119"/>
      <c r="SUY393" s="104"/>
      <c r="SUZ393" s="455"/>
      <c r="SVA393" s="104"/>
      <c r="SVB393" s="104"/>
      <c r="SVC393" s="109"/>
      <c r="SVD393" s="104"/>
      <c r="SVE393" s="104"/>
      <c r="SVF393" s="119"/>
      <c r="SVG393" s="104"/>
      <c r="SVH393" s="455"/>
      <c r="SVI393" s="104"/>
      <c r="SVJ393" s="104"/>
      <c r="SVK393" s="109"/>
      <c r="SVL393" s="104"/>
      <c r="SVM393" s="104"/>
      <c r="SVN393" s="119"/>
      <c r="SVO393" s="104"/>
      <c r="SVP393" s="455"/>
      <c r="SVQ393" s="104"/>
      <c r="SVR393" s="104"/>
      <c r="SVS393" s="109"/>
      <c r="SVT393" s="104"/>
      <c r="SVU393" s="104"/>
      <c r="SVV393" s="119"/>
      <c r="SVW393" s="104"/>
      <c r="SVX393" s="455"/>
      <c r="SVY393" s="104"/>
      <c r="SVZ393" s="104"/>
      <c r="SWA393" s="109"/>
      <c r="SWB393" s="104"/>
      <c r="SWC393" s="104"/>
      <c r="SWD393" s="119"/>
      <c r="SWE393" s="104"/>
      <c r="SWF393" s="455"/>
      <c r="SWG393" s="104"/>
      <c r="SWH393" s="104"/>
      <c r="SWI393" s="109"/>
      <c r="SWJ393" s="104"/>
      <c r="SWK393" s="104"/>
      <c r="SWL393" s="119"/>
      <c r="SWM393" s="104"/>
      <c r="SWN393" s="455"/>
      <c r="SWO393" s="104"/>
      <c r="SWP393" s="104"/>
      <c r="SWQ393" s="109"/>
      <c r="SWR393" s="104"/>
      <c r="SWS393" s="104"/>
      <c r="SWT393" s="119"/>
      <c r="SWU393" s="104"/>
      <c r="SWV393" s="455"/>
      <c r="SWW393" s="104"/>
      <c r="SWX393" s="104"/>
      <c r="SWY393" s="109"/>
      <c r="SWZ393" s="104"/>
      <c r="SXA393" s="104"/>
      <c r="SXB393" s="119"/>
      <c r="SXC393" s="104"/>
      <c r="SXD393" s="455"/>
      <c r="SXE393" s="104"/>
      <c r="SXF393" s="104"/>
      <c r="SXG393" s="109"/>
      <c r="SXH393" s="104"/>
      <c r="SXI393" s="104"/>
      <c r="SXJ393" s="119"/>
      <c r="SXK393" s="104"/>
      <c r="SXL393" s="455"/>
      <c r="SXM393" s="104"/>
      <c r="SXN393" s="104"/>
      <c r="SXO393" s="109"/>
      <c r="SXP393" s="104"/>
      <c r="SXQ393" s="104"/>
      <c r="SXR393" s="119"/>
      <c r="SXS393" s="104"/>
      <c r="SXT393" s="455"/>
      <c r="SXU393" s="104"/>
      <c r="SXV393" s="104"/>
      <c r="SXW393" s="109"/>
      <c r="SXX393" s="104"/>
      <c r="SXY393" s="104"/>
      <c r="SXZ393" s="119"/>
      <c r="SYA393" s="104"/>
      <c r="SYB393" s="455"/>
      <c r="SYC393" s="104"/>
      <c r="SYD393" s="104"/>
      <c r="SYE393" s="109"/>
      <c r="SYF393" s="104"/>
      <c r="SYG393" s="104"/>
      <c r="SYH393" s="119"/>
      <c r="SYI393" s="104"/>
      <c r="SYJ393" s="455"/>
      <c r="SYK393" s="104"/>
      <c r="SYL393" s="104"/>
      <c r="SYM393" s="109"/>
      <c r="SYN393" s="104"/>
      <c r="SYO393" s="104"/>
      <c r="SYP393" s="119"/>
      <c r="SYQ393" s="104"/>
      <c r="SYR393" s="455"/>
      <c r="SYS393" s="104"/>
      <c r="SYT393" s="104"/>
      <c r="SYU393" s="109"/>
      <c r="SYV393" s="104"/>
      <c r="SYW393" s="104"/>
      <c r="SYX393" s="119"/>
      <c r="SYY393" s="104"/>
      <c r="SYZ393" s="455"/>
      <c r="SZA393" s="104"/>
      <c r="SZB393" s="104"/>
      <c r="SZC393" s="109"/>
      <c r="SZD393" s="104"/>
      <c r="SZE393" s="104"/>
      <c r="SZF393" s="119"/>
      <c r="SZG393" s="104"/>
      <c r="SZH393" s="455"/>
      <c r="SZI393" s="104"/>
      <c r="SZJ393" s="104"/>
      <c r="SZK393" s="109"/>
      <c r="SZL393" s="104"/>
      <c r="SZM393" s="104"/>
      <c r="SZN393" s="119"/>
      <c r="SZO393" s="104"/>
      <c r="SZP393" s="455"/>
      <c r="SZQ393" s="104"/>
      <c r="SZR393" s="104"/>
      <c r="SZS393" s="109"/>
      <c r="SZT393" s="104"/>
      <c r="SZU393" s="104"/>
      <c r="SZV393" s="119"/>
      <c r="SZW393" s="104"/>
      <c r="SZX393" s="455"/>
      <c r="SZY393" s="104"/>
      <c r="SZZ393" s="104"/>
      <c r="TAA393" s="109"/>
      <c r="TAB393" s="104"/>
      <c r="TAC393" s="104"/>
      <c r="TAD393" s="119"/>
      <c r="TAE393" s="104"/>
      <c r="TAF393" s="455"/>
      <c r="TAG393" s="104"/>
      <c r="TAH393" s="104"/>
      <c r="TAI393" s="109"/>
      <c r="TAJ393" s="104"/>
      <c r="TAK393" s="104"/>
      <c r="TAL393" s="119"/>
      <c r="TAM393" s="104"/>
      <c r="TAN393" s="455"/>
      <c r="TAO393" s="104"/>
      <c r="TAP393" s="104"/>
      <c r="TAQ393" s="109"/>
      <c r="TAR393" s="104"/>
      <c r="TAS393" s="104"/>
      <c r="TAT393" s="119"/>
      <c r="TAU393" s="104"/>
      <c r="TAV393" s="455"/>
      <c r="TAW393" s="104"/>
      <c r="TAX393" s="104"/>
      <c r="TAY393" s="109"/>
      <c r="TAZ393" s="104"/>
      <c r="TBA393" s="104"/>
      <c r="TBB393" s="119"/>
      <c r="TBC393" s="104"/>
      <c r="TBD393" s="455"/>
      <c r="TBE393" s="104"/>
      <c r="TBF393" s="104"/>
      <c r="TBG393" s="109"/>
      <c r="TBH393" s="104"/>
      <c r="TBI393" s="104"/>
      <c r="TBJ393" s="119"/>
      <c r="TBK393" s="104"/>
      <c r="TBL393" s="455"/>
      <c r="TBM393" s="104"/>
      <c r="TBN393" s="104"/>
      <c r="TBO393" s="109"/>
      <c r="TBP393" s="104"/>
      <c r="TBQ393" s="104"/>
      <c r="TBR393" s="119"/>
      <c r="TBS393" s="104"/>
      <c r="TBT393" s="455"/>
      <c r="TBU393" s="104"/>
      <c r="TBV393" s="104"/>
      <c r="TBW393" s="109"/>
      <c r="TBX393" s="104"/>
      <c r="TBY393" s="104"/>
      <c r="TBZ393" s="119"/>
      <c r="TCA393" s="104"/>
      <c r="TCB393" s="455"/>
      <c r="TCC393" s="104"/>
      <c r="TCD393" s="104"/>
      <c r="TCE393" s="109"/>
      <c r="TCF393" s="104"/>
      <c r="TCG393" s="104"/>
      <c r="TCH393" s="119"/>
      <c r="TCI393" s="104"/>
      <c r="TCJ393" s="455"/>
      <c r="TCK393" s="104"/>
      <c r="TCL393" s="104"/>
      <c r="TCM393" s="109"/>
      <c r="TCN393" s="104"/>
      <c r="TCO393" s="104"/>
      <c r="TCP393" s="119"/>
      <c r="TCQ393" s="104"/>
      <c r="TCR393" s="455"/>
      <c r="TCS393" s="104"/>
      <c r="TCT393" s="104"/>
      <c r="TCU393" s="109"/>
      <c r="TCV393" s="104"/>
      <c r="TCW393" s="104"/>
      <c r="TCX393" s="119"/>
      <c r="TCY393" s="104"/>
      <c r="TCZ393" s="455"/>
      <c r="TDA393" s="104"/>
      <c r="TDB393" s="104"/>
      <c r="TDC393" s="109"/>
      <c r="TDD393" s="104"/>
      <c r="TDE393" s="104"/>
      <c r="TDF393" s="119"/>
      <c r="TDG393" s="104"/>
      <c r="TDH393" s="455"/>
      <c r="TDI393" s="104"/>
      <c r="TDJ393" s="104"/>
      <c r="TDK393" s="109"/>
      <c r="TDL393" s="104"/>
      <c r="TDM393" s="104"/>
      <c r="TDN393" s="119"/>
      <c r="TDO393" s="104"/>
      <c r="TDP393" s="455"/>
      <c r="TDQ393" s="104"/>
      <c r="TDR393" s="104"/>
      <c r="TDS393" s="109"/>
      <c r="TDT393" s="104"/>
      <c r="TDU393" s="104"/>
      <c r="TDV393" s="119"/>
      <c r="TDW393" s="104"/>
      <c r="TDX393" s="455"/>
      <c r="TDY393" s="104"/>
      <c r="TDZ393" s="104"/>
      <c r="TEA393" s="109"/>
      <c r="TEB393" s="104"/>
      <c r="TEC393" s="104"/>
      <c r="TED393" s="119"/>
      <c r="TEE393" s="104"/>
      <c r="TEF393" s="455"/>
      <c r="TEG393" s="104"/>
      <c r="TEH393" s="104"/>
      <c r="TEI393" s="109"/>
      <c r="TEJ393" s="104"/>
      <c r="TEK393" s="104"/>
      <c r="TEL393" s="119"/>
      <c r="TEM393" s="104"/>
      <c r="TEN393" s="455"/>
      <c r="TEO393" s="104"/>
      <c r="TEP393" s="104"/>
      <c r="TEQ393" s="109"/>
      <c r="TER393" s="104"/>
      <c r="TES393" s="104"/>
      <c r="TET393" s="119"/>
      <c r="TEU393" s="104"/>
      <c r="TEV393" s="455"/>
      <c r="TEW393" s="104"/>
      <c r="TEX393" s="104"/>
      <c r="TEY393" s="109"/>
      <c r="TEZ393" s="104"/>
      <c r="TFA393" s="104"/>
      <c r="TFB393" s="119"/>
      <c r="TFC393" s="104"/>
      <c r="TFD393" s="455"/>
      <c r="TFE393" s="104"/>
      <c r="TFF393" s="104"/>
      <c r="TFG393" s="109"/>
      <c r="TFH393" s="104"/>
      <c r="TFI393" s="104"/>
      <c r="TFJ393" s="119"/>
      <c r="TFK393" s="104"/>
      <c r="TFL393" s="455"/>
      <c r="TFM393" s="104"/>
      <c r="TFN393" s="104"/>
      <c r="TFO393" s="109"/>
      <c r="TFP393" s="104"/>
      <c r="TFQ393" s="104"/>
      <c r="TFR393" s="119"/>
      <c r="TFS393" s="104"/>
      <c r="TFT393" s="455"/>
      <c r="TFU393" s="104"/>
      <c r="TFV393" s="104"/>
      <c r="TFW393" s="109"/>
      <c r="TFX393" s="104"/>
      <c r="TFY393" s="104"/>
      <c r="TFZ393" s="119"/>
      <c r="TGA393" s="104"/>
      <c r="TGB393" s="455"/>
      <c r="TGC393" s="104"/>
      <c r="TGD393" s="104"/>
      <c r="TGE393" s="109"/>
      <c r="TGF393" s="104"/>
      <c r="TGG393" s="104"/>
      <c r="TGH393" s="119"/>
      <c r="TGI393" s="104"/>
      <c r="TGJ393" s="455"/>
      <c r="TGK393" s="104"/>
      <c r="TGL393" s="104"/>
      <c r="TGM393" s="109"/>
      <c r="TGN393" s="104"/>
      <c r="TGO393" s="104"/>
      <c r="TGP393" s="119"/>
      <c r="TGQ393" s="104"/>
      <c r="TGR393" s="455"/>
      <c r="TGS393" s="104"/>
      <c r="TGT393" s="104"/>
      <c r="TGU393" s="109"/>
      <c r="TGV393" s="104"/>
      <c r="TGW393" s="104"/>
      <c r="TGX393" s="119"/>
      <c r="TGY393" s="104"/>
      <c r="TGZ393" s="455"/>
      <c r="THA393" s="104"/>
      <c r="THB393" s="104"/>
      <c r="THC393" s="109"/>
      <c r="THD393" s="104"/>
      <c r="THE393" s="104"/>
      <c r="THF393" s="119"/>
      <c r="THG393" s="104"/>
      <c r="THH393" s="455"/>
      <c r="THI393" s="104"/>
      <c r="THJ393" s="104"/>
      <c r="THK393" s="109"/>
      <c r="THL393" s="104"/>
      <c r="THM393" s="104"/>
      <c r="THN393" s="119"/>
      <c r="THO393" s="104"/>
      <c r="THP393" s="455"/>
      <c r="THQ393" s="104"/>
      <c r="THR393" s="104"/>
      <c r="THS393" s="109"/>
      <c r="THT393" s="104"/>
      <c r="THU393" s="104"/>
      <c r="THV393" s="119"/>
      <c r="THW393" s="104"/>
      <c r="THX393" s="455"/>
      <c r="THY393" s="104"/>
      <c r="THZ393" s="104"/>
      <c r="TIA393" s="109"/>
      <c r="TIB393" s="104"/>
      <c r="TIC393" s="104"/>
      <c r="TID393" s="119"/>
      <c r="TIE393" s="104"/>
      <c r="TIF393" s="455"/>
      <c r="TIG393" s="104"/>
      <c r="TIH393" s="104"/>
      <c r="TII393" s="109"/>
      <c r="TIJ393" s="104"/>
      <c r="TIK393" s="104"/>
      <c r="TIL393" s="119"/>
      <c r="TIM393" s="104"/>
      <c r="TIN393" s="455"/>
      <c r="TIO393" s="104"/>
      <c r="TIP393" s="104"/>
      <c r="TIQ393" s="109"/>
      <c r="TIR393" s="104"/>
      <c r="TIS393" s="104"/>
      <c r="TIT393" s="119"/>
      <c r="TIU393" s="104"/>
      <c r="TIV393" s="455"/>
      <c r="TIW393" s="104"/>
      <c r="TIX393" s="104"/>
      <c r="TIY393" s="109"/>
      <c r="TIZ393" s="104"/>
      <c r="TJA393" s="104"/>
      <c r="TJB393" s="119"/>
      <c r="TJC393" s="104"/>
      <c r="TJD393" s="455"/>
      <c r="TJE393" s="104"/>
      <c r="TJF393" s="104"/>
      <c r="TJG393" s="109"/>
      <c r="TJH393" s="104"/>
      <c r="TJI393" s="104"/>
      <c r="TJJ393" s="119"/>
      <c r="TJK393" s="104"/>
      <c r="TJL393" s="455"/>
      <c r="TJM393" s="104"/>
      <c r="TJN393" s="104"/>
      <c r="TJO393" s="109"/>
      <c r="TJP393" s="104"/>
      <c r="TJQ393" s="104"/>
      <c r="TJR393" s="119"/>
      <c r="TJS393" s="104"/>
      <c r="TJT393" s="455"/>
      <c r="TJU393" s="104"/>
      <c r="TJV393" s="104"/>
      <c r="TJW393" s="109"/>
      <c r="TJX393" s="104"/>
      <c r="TJY393" s="104"/>
      <c r="TJZ393" s="119"/>
      <c r="TKA393" s="104"/>
      <c r="TKB393" s="455"/>
      <c r="TKC393" s="104"/>
      <c r="TKD393" s="104"/>
      <c r="TKE393" s="109"/>
      <c r="TKF393" s="104"/>
      <c r="TKG393" s="104"/>
      <c r="TKH393" s="119"/>
      <c r="TKI393" s="104"/>
      <c r="TKJ393" s="455"/>
      <c r="TKK393" s="104"/>
      <c r="TKL393" s="104"/>
      <c r="TKM393" s="109"/>
      <c r="TKN393" s="104"/>
      <c r="TKO393" s="104"/>
      <c r="TKP393" s="119"/>
      <c r="TKQ393" s="104"/>
      <c r="TKR393" s="455"/>
      <c r="TKS393" s="104"/>
      <c r="TKT393" s="104"/>
      <c r="TKU393" s="109"/>
      <c r="TKV393" s="104"/>
      <c r="TKW393" s="104"/>
      <c r="TKX393" s="119"/>
      <c r="TKY393" s="104"/>
      <c r="TKZ393" s="455"/>
      <c r="TLA393" s="104"/>
      <c r="TLB393" s="104"/>
      <c r="TLC393" s="109"/>
      <c r="TLD393" s="104"/>
      <c r="TLE393" s="104"/>
      <c r="TLF393" s="119"/>
      <c r="TLG393" s="104"/>
      <c r="TLH393" s="455"/>
      <c r="TLI393" s="104"/>
      <c r="TLJ393" s="104"/>
      <c r="TLK393" s="109"/>
      <c r="TLL393" s="104"/>
      <c r="TLM393" s="104"/>
      <c r="TLN393" s="119"/>
      <c r="TLO393" s="104"/>
      <c r="TLP393" s="455"/>
      <c r="TLQ393" s="104"/>
      <c r="TLR393" s="104"/>
      <c r="TLS393" s="109"/>
      <c r="TLT393" s="104"/>
      <c r="TLU393" s="104"/>
      <c r="TLV393" s="119"/>
      <c r="TLW393" s="104"/>
      <c r="TLX393" s="455"/>
      <c r="TLY393" s="104"/>
      <c r="TLZ393" s="104"/>
      <c r="TMA393" s="109"/>
      <c r="TMB393" s="104"/>
      <c r="TMC393" s="104"/>
      <c r="TMD393" s="119"/>
      <c r="TME393" s="104"/>
      <c r="TMF393" s="455"/>
      <c r="TMG393" s="104"/>
      <c r="TMH393" s="104"/>
      <c r="TMI393" s="109"/>
      <c r="TMJ393" s="104"/>
      <c r="TMK393" s="104"/>
      <c r="TML393" s="119"/>
      <c r="TMM393" s="104"/>
      <c r="TMN393" s="455"/>
      <c r="TMO393" s="104"/>
      <c r="TMP393" s="104"/>
      <c r="TMQ393" s="109"/>
      <c r="TMR393" s="104"/>
      <c r="TMS393" s="104"/>
      <c r="TMT393" s="119"/>
      <c r="TMU393" s="104"/>
      <c r="TMV393" s="455"/>
      <c r="TMW393" s="104"/>
      <c r="TMX393" s="104"/>
      <c r="TMY393" s="109"/>
      <c r="TMZ393" s="104"/>
      <c r="TNA393" s="104"/>
      <c r="TNB393" s="119"/>
      <c r="TNC393" s="104"/>
      <c r="TND393" s="455"/>
      <c r="TNE393" s="104"/>
      <c r="TNF393" s="104"/>
      <c r="TNG393" s="109"/>
      <c r="TNH393" s="104"/>
      <c r="TNI393" s="104"/>
      <c r="TNJ393" s="119"/>
      <c r="TNK393" s="104"/>
      <c r="TNL393" s="455"/>
      <c r="TNM393" s="104"/>
      <c r="TNN393" s="104"/>
      <c r="TNO393" s="109"/>
      <c r="TNP393" s="104"/>
      <c r="TNQ393" s="104"/>
      <c r="TNR393" s="119"/>
      <c r="TNS393" s="104"/>
      <c r="TNT393" s="455"/>
      <c r="TNU393" s="104"/>
      <c r="TNV393" s="104"/>
      <c r="TNW393" s="109"/>
      <c r="TNX393" s="104"/>
      <c r="TNY393" s="104"/>
      <c r="TNZ393" s="119"/>
      <c r="TOA393" s="104"/>
      <c r="TOB393" s="455"/>
      <c r="TOC393" s="104"/>
      <c r="TOD393" s="104"/>
      <c r="TOE393" s="109"/>
      <c r="TOF393" s="104"/>
      <c r="TOG393" s="104"/>
      <c r="TOH393" s="119"/>
      <c r="TOI393" s="104"/>
      <c r="TOJ393" s="455"/>
      <c r="TOK393" s="104"/>
      <c r="TOL393" s="104"/>
      <c r="TOM393" s="109"/>
      <c r="TON393" s="104"/>
      <c r="TOO393" s="104"/>
      <c r="TOP393" s="119"/>
      <c r="TOQ393" s="104"/>
      <c r="TOR393" s="455"/>
      <c r="TOS393" s="104"/>
      <c r="TOT393" s="104"/>
      <c r="TOU393" s="109"/>
      <c r="TOV393" s="104"/>
      <c r="TOW393" s="104"/>
      <c r="TOX393" s="119"/>
      <c r="TOY393" s="104"/>
      <c r="TOZ393" s="455"/>
      <c r="TPA393" s="104"/>
      <c r="TPB393" s="104"/>
      <c r="TPC393" s="109"/>
      <c r="TPD393" s="104"/>
      <c r="TPE393" s="104"/>
      <c r="TPF393" s="119"/>
      <c r="TPG393" s="104"/>
      <c r="TPH393" s="455"/>
      <c r="TPI393" s="104"/>
      <c r="TPJ393" s="104"/>
      <c r="TPK393" s="109"/>
      <c r="TPL393" s="104"/>
      <c r="TPM393" s="104"/>
      <c r="TPN393" s="119"/>
      <c r="TPO393" s="104"/>
      <c r="TPP393" s="455"/>
      <c r="TPQ393" s="104"/>
      <c r="TPR393" s="104"/>
      <c r="TPS393" s="109"/>
      <c r="TPT393" s="104"/>
      <c r="TPU393" s="104"/>
      <c r="TPV393" s="119"/>
      <c r="TPW393" s="104"/>
      <c r="TPX393" s="455"/>
      <c r="TPY393" s="104"/>
      <c r="TPZ393" s="104"/>
      <c r="TQA393" s="109"/>
      <c r="TQB393" s="104"/>
      <c r="TQC393" s="104"/>
      <c r="TQD393" s="119"/>
      <c r="TQE393" s="104"/>
      <c r="TQF393" s="455"/>
      <c r="TQG393" s="104"/>
      <c r="TQH393" s="104"/>
      <c r="TQI393" s="109"/>
      <c r="TQJ393" s="104"/>
      <c r="TQK393" s="104"/>
      <c r="TQL393" s="119"/>
      <c r="TQM393" s="104"/>
      <c r="TQN393" s="455"/>
      <c r="TQO393" s="104"/>
      <c r="TQP393" s="104"/>
      <c r="TQQ393" s="109"/>
      <c r="TQR393" s="104"/>
      <c r="TQS393" s="104"/>
      <c r="TQT393" s="119"/>
      <c r="TQU393" s="104"/>
      <c r="TQV393" s="455"/>
      <c r="TQW393" s="104"/>
      <c r="TQX393" s="104"/>
      <c r="TQY393" s="109"/>
      <c r="TQZ393" s="104"/>
      <c r="TRA393" s="104"/>
      <c r="TRB393" s="119"/>
      <c r="TRC393" s="104"/>
      <c r="TRD393" s="455"/>
      <c r="TRE393" s="104"/>
      <c r="TRF393" s="104"/>
      <c r="TRG393" s="109"/>
      <c r="TRH393" s="104"/>
      <c r="TRI393" s="104"/>
      <c r="TRJ393" s="119"/>
      <c r="TRK393" s="104"/>
      <c r="TRL393" s="455"/>
      <c r="TRM393" s="104"/>
      <c r="TRN393" s="104"/>
      <c r="TRO393" s="109"/>
      <c r="TRP393" s="104"/>
      <c r="TRQ393" s="104"/>
      <c r="TRR393" s="119"/>
      <c r="TRS393" s="104"/>
      <c r="TRT393" s="455"/>
      <c r="TRU393" s="104"/>
      <c r="TRV393" s="104"/>
      <c r="TRW393" s="109"/>
      <c r="TRX393" s="104"/>
      <c r="TRY393" s="104"/>
      <c r="TRZ393" s="119"/>
      <c r="TSA393" s="104"/>
      <c r="TSB393" s="455"/>
      <c r="TSC393" s="104"/>
      <c r="TSD393" s="104"/>
      <c r="TSE393" s="109"/>
      <c r="TSF393" s="104"/>
      <c r="TSG393" s="104"/>
      <c r="TSH393" s="119"/>
      <c r="TSI393" s="104"/>
      <c r="TSJ393" s="455"/>
      <c r="TSK393" s="104"/>
      <c r="TSL393" s="104"/>
      <c r="TSM393" s="109"/>
      <c r="TSN393" s="104"/>
      <c r="TSO393" s="104"/>
      <c r="TSP393" s="119"/>
      <c r="TSQ393" s="104"/>
      <c r="TSR393" s="455"/>
      <c r="TSS393" s="104"/>
      <c r="TST393" s="104"/>
      <c r="TSU393" s="109"/>
      <c r="TSV393" s="104"/>
      <c r="TSW393" s="104"/>
      <c r="TSX393" s="119"/>
      <c r="TSY393" s="104"/>
      <c r="TSZ393" s="455"/>
      <c r="TTA393" s="104"/>
      <c r="TTB393" s="104"/>
      <c r="TTC393" s="109"/>
      <c r="TTD393" s="104"/>
      <c r="TTE393" s="104"/>
      <c r="TTF393" s="119"/>
      <c r="TTG393" s="104"/>
      <c r="TTH393" s="455"/>
      <c r="TTI393" s="104"/>
      <c r="TTJ393" s="104"/>
      <c r="TTK393" s="109"/>
      <c r="TTL393" s="104"/>
      <c r="TTM393" s="104"/>
      <c r="TTN393" s="119"/>
      <c r="TTO393" s="104"/>
      <c r="TTP393" s="455"/>
      <c r="TTQ393" s="104"/>
      <c r="TTR393" s="104"/>
      <c r="TTS393" s="109"/>
      <c r="TTT393" s="104"/>
      <c r="TTU393" s="104"/>
      <c r="TTV393" s="119"/>
      <c r="TTW393" s="104"/>
      <c r="TTX393" s="455"/>
      <c r="TTY393" s="104"/>
      <c r="TTZ393" s="104"/>
      <c r="TUA393" s="109"/>
      <c r="TUB393" s="104"/>
      <c r="TUC393" s="104"/>
      <c r="TUD393" s="119"/>
      <c r="TUE393" s="104"/>
      <c r="TUF393" s="455"/>
      <c r="TUG393" s="104"/>
      <c r="TUH393" s="104"/>
      <c r="TUI393" s="109"/>
      <c r="TUJ393" s="104"/>
      <c r="TUK393" s="104"/>
      <c r="TUL393" s="119"/>
      <c r="TUM393" s="104"/>
      <c r="TUN393" s="455"/>
      <c r="TUO393" s="104"/>
      <c r="TUP393" s="104"/>
      <c r="TUQ393" s="109"/>
      <c r="TUR393" s="104"/>
      <c r="TUS393" s="104"/>
      <c r="TUT393" s="119"/>
      <c r="TUU393" s="104"/>
      <c r="TUV393" s="455"/>
      <c r="TUW393" s="104"/>
      <c r="TUX393" s="104"/>
      <c r="TUY393" s="109"/>
      <c r="TUZ393" s="104"/>
      <c r="TVA393" s="104"/>
      <c r="TVB393" s="119"/>
      <c r="TVC393" s="104"/>
      <c r="TVD393" s="455"/>
      <c r="TVE393" s="104"/>
      <c r="TVF393" s="104"/>
      <c r="TVG393" s="109"/>
      <c r="TVH393" s="104"/>
      <c r="TVI393" s="104"/>
      <c r="TVJ393" s="119"/>
      <c r="TVK393" s="104"/>
      <c r="TVL393" s="455"/>
      <c r="TVM393" s="104"/>
      <c r="TVN393" s="104"/>
      <c r="TVO393" s="109"/>
      <c r="TVP393" s="104"/>
      <c r="TVQ393" s="104"/>
      <c r="TVR393" s="119"/>
      <c r="TVS393" s="104"/>
      <c r="TVT393" s="455"/>
      <c r="TVU393" s="104"/>
      <c r="TVV393" s="104"/>
      <c r="TVW393" s="109"/>
      <c r="TVX393" s="104"/>
      <c r="TVY393" s="104"/>
      <c r="TVZ393" s="119"/>
      <c r="TWA393" s="104"/>
      <c r="TWB393" s="455"/>
      <c r="TWC393" s="104"/>
      <c r="TWD393" s="104"/>
      <c r="TWE393" s="109"/>
      <c r="TWF393" s="104"/>
      <c r="TWG393" s="104"/>
      <c r="TWH393" s="119"/>
      <c r="TWI393" s="104"/>
      <c r="TWJ393" s="455"/>
      <c r="TWK393" s="104"/>
      <c r="TWL393" s="104"/>
      <c r="TWM393" s="109"/>
      <c r="TWN393" s="104"/>
      <c r="TWO393" s="104"/>
      <c r="TWP393" s="119"/>
      <c r="TWQ393" s="104"/>
      <c r="TWR393" s="455"/>
      <c r="TWS393" s="104"/>
      <c r="TWT393" s="104"/>
      <c r="TWU393" s="109"/>
      <c r="TWV393" s="104"/>
      <c r="TWW393" s="104"/>
      <c r="TWX393" s="119"/>
      <c r="TWY393" s="104"/>
      <c r="TWZ393" s="455"/>
      <c r="TXA393" s="104"/>
      <c r="TXB393" s="104"/>
      <c r="TXC393" s="109"/>
      <c r="TXD393" s="104"/>
      <c r="TXE393" s="104"/>
      <c r="TXF393" s="119"/>
      <c r="TXG393" s="104"/>
      <c r="TXH393" s="455"/>
      <c r="TXI393" s="104"/>
      <c r="TXJ393" s="104"/>
      <c r="TXK393" s="109"/>
      <c r="TXL393" s="104"/>
      <c r="TXM393" s="104"/>
      <c r="TXN393" s="119"/>
      <c r="TXO393" s="104"/>
      <c r="TXP393" s="455"/>
      <c r="TXQ393" s="104"/>
      <c r="TXR393" s="104"/>
      <c r="TXS393" s="109"/>
      <c r="TXT393" s="104"/>
      <c r="TXU393" s="104"/>
      <c r="TXV393" s="119"/>
      <c r="TXW393" s="104"/>
      <c r="TXX393" s="455"/>
      <c r="TXY393" s="104"/>
      <c r="TXZ393" s="104"/>
      <c r="TYA393" s="109"/>
      <c r="TYB393" s="104"/>
      <c r="TYC393" s="104"/>
      <c r="TYD393" s="119"/>
      <c r="TYE393" s="104"/>
      <c r="TYF393" s="455"/>
      <c r="TYG393" s="104"/>
      <c r="TYH393" s="104"/>
      <c r="TYI393" s="109"/>
      <c r="TYJ393" s="104"/>
      <c r="TYK393" s="104"/>
      <c r="TYL393" s="119"/>
      <c r="TYM393" s="104"/>
      <c r="TYN393" s="455"/>
      <c r="TYO393" s="104"/>
      <c r="TYP393" s="104"/>
      <c r="TYQ393" s="109"/>
      <c r="TYR393" s="104"/>
      <c r="TYS393" s="104"/>
      <c r="TYT393" s="119"/>
      <c r="TYU393" s="104"/>
      <c r="TYV393" s="455"/>
      <c r="TYW393" s="104"/>
      <c r="TYX393" s="104"/>
      <c r="TYY393" s="109"/>
      <c r="TYZ393" s="104"/>
      <c r="TZA393" s="104"/>
      <c r="TZB393" s="119"/>
      <c r="TZC393" s="104"/>
      <c r="TZD393" s="455"/>
      <c r="TZE393" s="104"/>
      <c r="TZF393" s="104"/>
      <c r="TZG393" s="109"/>
      <c r="TZH393" s="104"/>
      <c r="TZI393" s="104"/>
      <c r="TZJ393" s="119"/>
      <c r="TZK393" s="104"/>
      <c r="TZL393" s="455"/>
      <c r="TZM393" s="104"/>
      <c r="TZN393" s="104"/>
      <c r="TZO393" s="109"/>
      <c r="TZP393" s="104"/>
      <c r="TZQ393" s="104"/>
      <c r="TZR393" s="119"/>
      <c r="TZS393" s="104"/>
      <c r="TZT393" s="455"/>
      <c r="TZU393" s="104"/>
      <c r="TZV393" s="104"/>
      <c r="TZW393" s="109"/>
      <c r="TZX393" s="104"/>
      <c r="TZY393" s="104"/>
      <c r="TZZ393" s="119"/>
      <c r="UAA393" s="104"/>
      <c r="UAB393" s="455"/>
      <c r="UAC393" s="104"/>
      <c r="UAD393" s="104"/>
      <c r="UAE393" s="109"/>
      <c r="UAF393" s="104"/>
      <c r="UAG393" s="104"/>
      <c r="UAH393" s="119"/>
      <c r="UAI393" s="104"/>
      <c r="UAJ393" s="455"/>
      <c r="UAK393" s="104"/>
      <c r="UAL393" s="104"/>
      <c r="UAM393" s="109"/>
      <c r="UAN393" s="104"/>
      <c r="UAO393" s="104"/>
      <c r="UAP393" s="119"/>
      <c r="UAQ393" s="104"/>
      <c r="UAR393" s="455"/>
      <c r="UAS393" s="104"/>
      <c r="UAT393" s="104"/>
      <c r="UAU393" s="109"/>
      <c r="UAV393" s="104"/>
      <c r="UAW393" s="104"/>
      <c r="UAX393" s="119"/>
      <c r="UAY393" s="104"/>
      <c r="UAZ393" s="455"/>
      <c r="UBA393" s="104"/>
      <c r="UBB393" s="104"/>
      <c r="UBC393" s="109"/>
      <c r="UBD393" s="104"/>
      <c r="UBE393" s="104"/>
      <c r="UBF393" s="119"/>
      <c r="UBG393" s="104"/>
      <c r="UBH393" s="455"/>
      <c r="UBI393" s="104"/>
      <c r="UBJ393" s="104"/>
      <c r="UBK393" s="109"/>
      <c r="UBL393" s="104"/>
      <c r="UBM393" s="104"/>
      <c r="UBN393" s="119"/>
      <c r="UBO393" s="104"/>
      <c r="UBP393" s="455"/>
      <c r="UBQ393" s="104"/>
      <c r="UBR393" s="104"/>
      <c r="UBS393" s="109"/>
      <c r="UBT393" s="104"/>
      <c r="UBU393" s="104"/>
      <c r="UBV393" s="119"/>
      <c r="UBW393" s="104"/>
      <c r="UBX393" s="455"/>
      <c r="UBY393" s="104"/>
      <c r="UBZ393" s="104"/>
      <c r="UCA393" s="109"/>
      <c r="UCB393" s="104"/>
      <c r="UCC393" s="104"/>
      <c r="UCD393" s="119"/>
      <c r="UCE393" s="104"/>
      <c r="UCF393" s="455"/>
      <c r="UCG393" s="104"/>
      <c r="UCH393" s="104"/>
      <c r="UCI393" s="109"/>
      <c r="UCJ393" s="104"/>
      <c r="UCK393" s="104"/>
      <c r="UCL393" s="119"/>
      <c r="UCM393" s="104"/>
      <c r="UCN393" s="455"/>
      <c r="UCO393" s="104"/>
      <c r="UCP393" s="104"/>
      <c r="UCQ393" s="109"/>
      <c r="UCR393" s="104"/>
      <c r="UCS393" s="104"/>
      <c r="UCT393" s="119"/>
      <c r="UCU393" s="104"/>
      <c r="UCV393" s="455"/>
      <c r="UCW393" s="104"/>
      <c r="UCX393" s="104"/>
      <c r="UCY393" s="109"/>
      <c r="UCZ393" s="104"/>
      <c r="UDA393" s="104"/>
      <c r="UDB393" s="119"/>
      <c r="UDC393" s="104"/>
      <c r="UDD393" s="455"/>
      <c r="UDE393" s="104"/>
      <c r="UDF393" s="104"/>
      <c r="UDG393" s="109"/>
      <c r="UDH393" s="104"/>
      <c r="UDI393" s="104"/>
      <c r="UDJ393" s="119"/>
      <c r="UDK393" s="104"/>
      <c r="UDL393" s="455"/>
      <c r="UDM393" s="104"/>
      <c r="UDN393" s="104"/>
      <c r="UDO393" s="109"/>
      <c r="UDP393" s="104"/>
      <c r="UDQ393" s="104"/>
      <c r="UDR393" s="119"/>
      <c r="UDS393" s="104"/>
      <c r="UDT393" s="455"/>
      <c r="UDU393" s="104"/>
      <c r="UDV393" s="104"/>
      <c r="UDW393" s="109"/>
      <c r="UDX393" s="104"/>
      <c r="UDY393" s="104"/>
      <c r="UDZ393" s="119"/>
      <c r="UEA393" s="104"/>
      <c r="UEB393" s="455"/>
      <c r="UEC393" s="104"/>
      <c r="UED393" s="104"/>
      <c r="UEE393" s="109"/>
      <c r="UEF393" s="104"/>
      <c r="UEG393" s="104"/>
      <c r="UEH393" s="119"/>
      <c r="UEI393" s="104"/>
      <c r="UEJ393" s="455"/>
      <c r="UEK393" s="104"/>
      <c r="UEL393" s="104"/>
      <c r="UEM393" s="109"/>
      <c r="UEN393" s="104"/>
      <c r="UEO393" s="104"/>
      <c r="UEP393" s="119"/>
      <c r="UEQ393" s="104"/>
      <c r="UER393" s="455"/>
      <c r="UES393" s="104"/>
      <c r="UET393" s="104"/>
      <c r="UEU393" s="109"/>
      <c r="UEV393" s="104"/>
      <c r="UEW393" s="104"/>
      <c r="UEX393" s="119"/>
      <c r="UEY393" s="104"/>
      <c r="UEZ393" s="455"/>
      <c r="UFA393" s="104"/>
      <c r="UFB393" s="104"/>
      <c r="UFC393" s="109"/>
      <c r="UFD393" s="104"/>
      <c r="UFE393" s="104"/>
      <c r="UFF393" s="119"/>
      <c r="UFG393" s="104"/>
      <c r="UFH393" s="455"/>
      <c r="UFI393" s="104"/>
      <c r="UFJ393" s="104"/>
      <c r="UFK393" s="109"/>
      <c r="UFL393" s="104"/>
      <c r="UFM393" s="104"/>
      <c r="UFN393" s="119"/>
      <c r="UFO393" s="104"/>
      <c r="UFP393" s="455"/>
      <c r="UFQ393" s="104"/>
      <c r="UFR393" s="104"/>
      <c r="UFS393" s="109"/>
      <c r="UFT393" s="104"/>
      <c r="UFU393" s="104"/>
      <c r="UFV393" s="119"/>
      <c r="UFW393" s="104"/>
      <c r="UFX393" s="455"/>
      <c r="UFY393" s="104"/>
      <c r="UFZ393" s="104"/>
      <c r="UGA393" s="109"/>
      <c r="UGB393" s="104"/>
      <c r="UGC393" s="104"/>
      <c r="UGD393" s="119"/>
      <c r="UGE393" s="104"/>
      <c r="UGF393" s="455"/>
      <c r="UGG393" s="104"/>
      <c r="UGH393" s="104"/>
      <c r="UGI393" s="109"/>
      <c r="UGJ393" s="104"/>
      <c r="UGK393" s="104"/>
      <c r="UGL393" s="119"/>
      <c r="UGM393" s="104"/>
      <c r="UGN393" s="455"/>
      <c r="UGO393" s="104"/>
      <c r="UGP393" s="104"/>
      <c r="UGQ393" s="109"/>
      <c r="UGR393" s="104"/>
      <c r="UGS393" s="104"/>
      <c r="UGT393" s="119"/>
      <c r="UGU393" s="104"/>
      <c r="UGV393" s="455"/>
      <c r="UGW393" s="104"/>
      <c r="UGX393" s="104"/>
      <c r="UGY393" s="109"/>
      <c r="UGZ393" s="104"/>
      <c r="UHA393" s="104"/>
      <c r="UHB393" s="119"/>
      <c r="UHC393" s="104"/>
      <c r="UHD393" s="455"/>
      <c r="UHE393" s="104"/>
      <c r="UHF393" s="104"/>
      <c r="UHG393" s="109"/>
      <c r="UHH393" s="104"/>
      <c r="UHI393" s="104"/>
      <c r="UHJ393" s="119"/>
      <c r="UHK393" s="104"/>
      <c r="UHL393" s="455"/>
      <c r="UHM393" s="104"/>
      <c r="UHN393" s="104"/>
      <c r="UHO393" s="109"/>
      <c r="UHP393" s="104"/>
      <c r="UHQ393" s="104"/>
      <c r="UHR393" s="119"/>
      <c r="UHS393" s="104"/>
      <c r="UHT393" s="455"/>
      <c r="UHU393" s="104"/>
      <c r="UHV393" s="104"/>
      <c r="UHW393" s="109"/>
      <c r="UHX393" s="104"/>
      <c r="UHY393" s="104"/>
      <c r="UHZ393" s="119"/>
      <c r="UIA393" s="104"/>
      <c r="UIB393" s="455"/>
      <c r="UIC393" s="104"/>
      <c r="UID393" s="104"/>
      <c r="UIE393" s="109"/>
      <c r="UIF393" s="104"/>
      <c r="UIG393" s="104"/>
      <c r="UIH393" s="119"/>
      <c r="UII393" s="104"/>
      <c r="UIJ393" s="455"/>
      <c r="UIK393" s="104"/>
      <c r="UIL393" s="104"/>
      <c r="UIM393" s="109"/>
      <c r="UIN393" s="104"/>
      <c r="UIO393" s="104"/>
      <c r="UIP393" s="119"/>
      <c r="UIQ393" s="104"/>
      <c r="UIR393" s="455"/>
      <c r="UIS393" s="104"/>
      <c r="UIT393" s="104"/>
      <c r="UIU393" s="109"/>
      <c r="UIV393" s="104"/>
      <c r="UIW393" s="104"/>
      <c r="UIX393" s="119"/>
      <c r="UIY393" s="104"/>
      <c r="UIZ393" s="455"/>
      <c r="UJA393" s="104"/>
      <c r="UJB393" s="104"/>
      <c r="UJC393" s="109"/>
      <c r="UJD393" s="104"/>
      <c r="UJE393" s="104"/>
      <c r="UJF393" s="119"/>
      <c r="UJG393" s="104"/>
      <c r="UJH393" s="455"/>
      <c r="UJI393" s="104"/>
      <c r="UJJ393" s="104"/>
      <c r="UJK393" s="109"/>
      <c r="UJL393" s="104"/>
      <c r="UJM393" s="104"/>
      <c r="UJN393" s="119"/>
      <c r="UJO393" s="104"/>
      <c r="UJP393" s="455"/>
      <c r="UJQ393" s="104"/>
      <c r="UJR393" s="104"/>
      <c r="UJS393" s="109"/>
      <c r="UJT393" s="104"/>
      <c r="UJU393" s="104"/>
      <c r="UJV393" s="119"/>
      <c r="UJW393" s="104"/>
      <c r="UJX393" s="455"/>
      <c r="UJY393" s="104"/>
      <c r="UJZ393" s="104"/>
      <c r="UKA393" s="109"/>
      <c r="UKB393" s="104"/>
      <c r="UKC393" s="104"/>
      <c r="UKD393" s="119"/>
      <c r="UKE393" s="104"/>
      <c r="UKF393" s="455"/>
      <c r="UKG393" s="104"/>
      <c r="UKH393" s="104"/>
      <c r="UKI393" s="109"/>
      <c r="UKJ393" s="104"/>
      <c r="UKK393" s="104"/>
      <c r="UKL393" s="119"/>
      <c r="UKM393" s="104"/>
      <c r="UKN393" s="455"/>
      <c r="UKO393" s="104"/>
      <c r="UKP393" s="104"/>
      <c r="UKQ393" s="109"/>
      <c r="UKR393" s="104"/>
      <c r="UKS393" s="104"/>
      <c r="UKT393" s="119"/>
      <c r="UKU393" s="104"/>
      <c r="UKV393" s="455"/>
      <c r="UKW393" s="104"/>
      <c r="UKX393" s="104"/>
      <c r="UKY393" s="109"/>
      <c r="UKZ393" s="104"/>
      <c r="ULA393" s="104"/>
      <c r="ULB393" s="119"/>
      <c r="ULC393" s="104"/>
      <c r="ULD393" s="455"/>
      <c r="ULE393" s="104"/>
      <c r="ULF393" s="104"/>
      <c r="ULG393" s="109"/>
      <c r="ULH393" s="104"/>
      <c r="ULI393" s="104"/>
      <c r="ULJ393" s="119"/>
      <c r="ULK393" s="104"/>
      <c r="ULL393" s="455"/>
      <c r="ULM393" s="104"/>
      <c r="ULN393" s="104"/>
      <c r="ULO393" s="109"/>
      <c r="ULP393" s="104"/>
      <c r="ULQ393" s="104"/>
      <c r="ULR393" s="119"/>
      <c r="ULS393" s="104"/>
      <c r="ULT393" s="455"/>
      <c r="ULU393" s="104"/>
      <c r="ULV393" s="104"/>
      <c r="ULW393" s="109"/>
      <c r="ULX393" s="104"/>
      <c r="ULY393" s="104"/>
      <c r="ULZ393" s="119"/>
      <c r="UMA393" s="104"/>
      <c r="UMB393" s="455"/>
      <c r="UMC393" s="104"/>
      <c r="UMD393" s="104"/>
      <c r="UME393" s="109"/>
      <c r="UMF393" s="104"/>
      <c r="UMG393" s="104"/>
      <c r="UMH393" s="119"/>
      <c r="UMI393" s="104"/>
      <c r="UMJ393" s="455"/>
      <c r="UMK393" s="104"/>
      <c r="UML393" s="104"/>
      <c r="UMM393" s="109"/>
      <c r="UMN393" s="104"/>
      <c r="UMO393" s="104"/>
      <c r="UMP393" s="119"/>
      <c r="UMQ393" s="104"/>
      <c r="UMR393" s="455"/>
      <c r="UMS393" s="104"/>
      <c r="UMT393" s="104"/>
      <c r="UMU393" s="109"/>
      <c r="UMV393" s="104"/>
      <c r="UMW393" s="104"/>
      <c r="UMX393" s="119"/>
      <c r="UMY393" s="104"/>
      <c r="UMZ393" s="455"/>
      <c r="UNA393" s="104"/>
      <c r="UNB393" s="104"/>
      <c r="UNC393" s="109"/>
      <c r="UND393" s="104"/>
      <c r="UNE393" s="104"/>
      <c r="UNF393" s="119"/>
      <c r="UNG393" s="104"/>
      <c r="UNH393" s="455"/>
      <c r="UNI393" s="104"/>
      <c r="UNJ393" s="104"/>
      <c r="UNK393" s="109"/>
      <c r="UNL393" s="104"/>
      <c r="UNM393" s="104"/>
      <c r="UNN393" s="119"/>
      <c r="UNO393" s="104"/>
      <c r="UNP393" s="455"/>
      <c r="UNQ393" s="104"/>
      <c r="UNR393" s="104"/>
      <c r="UNS393" s="109"/>
      <c r="UNT393" s="104"/>
      <c r="UNU393" s="104"/>
      <c r="UNV393" s="119"/>
      <c r="UNW393" s="104"/>
      <c r="UNX393" s="455"/>
      <c r="UNY393" s="104"/>
      <c r="UNZ393" s="104"/>
      <c r="UOA393" s="109"/>
      <c r="UOB393" s="104"/>
      <c r="UOC393" s="104"/>
      <c r="UOD393" s="119"/>
      <c r="UOE393" s="104"/>
      <c r="UOF393" s="455"/>
      <c r="UOG393" s="104"/>
      <c r="UOH393" s="104"/>
      <c r="UOI393" s="109"/>
      <c r="UOJ393" s="104"/>
      <c r="UOK393" s="104"/>
      <c r="UOL393" s="119"/>
      <c r="UOM393" s="104"/>
      <c r="UON393" s="455"/>
      <c r="UOO393" s="104"/>
      <c r="UOP393" s="104"/>
      <c r="UOQ393" s="109"/>
      <c r="UOR393" s="104"/>
      <c r="UOS393" s="104"/>
      <c r="UOT393" s="119"/>
      <c r="UOU393" s="104"/>
      <c r="UOV393" s="455"/>
      <c r="UOW393" s="104"/>
      <c r="UOX393" s="104"/>
      <c r="UOY393" s="109"/>
      <c r="UOZ393" s="104"/>
      <c r="UPA393" s="104"/>
      <c r="UPB393" s="119"/>
      <c r="UPC393" s="104"/>
      <c r="UPD393" s="455"/>
      <c r="UPE393" s="104"/>
      <c r="UPF393" s="104"/>
      <c r="UPG393" s="109"/>
      <c r="UPH393" s="104"/>
      <c r="UPI393" s="104"/>
      <c r="UPJ393" s="119"/>
      <c r="UPK393" s="104"/>
      <c r="UPL393" s="455"/>
      <c r="UPM393" s="104"/>
      <c r="UPN393" s="104"/>
      <c r="UPO393" s="109"/>
      <c r="UPP393" s="104"/>
      <c r="UPQ393" s="104"/>
      <c r="UPR393" s="119"/>
      <c r="UPS393" s="104"/>
      <c r="UPT393" s="455"/>
      <c r="UPU393" s="104"/>
      <c r="UPV393" s="104"/>
      <c r="UPW393" s="109"/>
      <c r="UPX393" s="104"/>
      <c r="UPY393" s="104"/>
      <c r="UPZ393" s="119"/>
      <c r="UQA393" s="104"/>
      <c r="UQB393" s="455"/>
      <c r="UQC393" s="104"/>
      <c r="UQD393" s="104"/>
      <c r="UQE393" s="109"/>
      <c r="UQF393" s="104"/>
      <c r="UQG393" s="104"/>
      <c r="UQH393" s="119"/>
      <c r="UQI393" s="104"/>
      <c r="UQJ393" s="455"/>
      <c r="UQK393" s="104"/>
      <c r="UQL393" s="104"/>
      <c r="UQM393" s="109"/>
      <c r="UQN393" s="104"/>
      <c r="UQO393" s="104"/>
      <c r="UQP393" s="119"/>
      <c r="UQQ393" s="104"/>
      <c r="UQR393" s="455"/>
      <c r="UQS393" s="104"/>
      <c r="UQT393" s="104"/>
      <c r="UQU393" s="109"/>
      <c r="UQV393" s="104"/>
      <c r="UQW393" s="104"/>
      <c r="UQX393" s="119"/>
      <c r="UQY393" s="104"/>
      <c r="UQZ393" s="455"/>
      <c r="URA393" s="104"/>
      <c r="URB393" s="104"/>
      <c r="URC393" s="109"/>
      <c r="URD393" s="104"/>
      <c r="URE393" s="104"/>
      <c r="URF393" s="119"/>
      <c r="URG393" s="104"/>
      <c r="URH393" s="455"/>
      <c r="URI393" s="104"/>
      <c r="URJ393" s="104"/>
      <c r="URK393" s="109"/>
      <c r="URL393" s="104"/>
      <c r="URM393" s="104"/>
      <c r="URN393" s="119"/>
      <c r="URO393" s="104"/>
      <c r="URP393" s="455"/>
      <c r="URQ393" s="104"/>
      <c r="URR393" s="104"/>
      <c r="URS393" s="109"/>
      <c r="URT393" s="104"/>
      <c r="URU393" s="104"/>
      <c r="URV393" s="119"/>
      <c r="URW393" s="104"/>
      <c r="URX393" s="455"/>
      <c r="URY393" s="104"/>
      <c r="URZ393" s="104"/>
      <c r="USA393" s="109"/>
      <c r="USB393" s="104"/>
      <c r="USC393" s="104"/>
      <c r="USD393" s="119"/>
      <c r="USE393" s="104"/>
      <c r="USF393" s="455"/>
      <c r="USG393" s="104"/>
      <c r="USH393" s="104"/>
      <c r="USI393" s="109"/>
      <c r="USJ393" s="104"/>
      <c r="USK393" s="104"/>
      <c r="USL393" s="119"/>
      <c r="USM393" s="104"/>
      <c r="USN393" s="455"/>
      <c r="USO393" s="104"/>
      <c r="USP393" s="104"/>
      <c r="USQ393" s="109"/>
      <c r="USR393" s="104"/>
      <c r="USS393" s="104"/>
      <c r="UST393" s="119"/>
      <c r="USU393" s="104"/>
      <c r="USV393" s="455"/>
      <c r="USW393" s="104"/>
      <c r="USX393" s="104"/>
      <c r="USY393" s="109"/>
      <c r="USZ393" s="104"/>
      <c r="UTA393" s="104"/>
      <c r="UTB393" s="119"/>
      <c r="UTC393" s="104"/>
      <c r="UTD393" s="455"/>
      <c r="UTE393" s="104"/>
      <c r="UTF393" s="104"/>
      <c r="UTG393" s="109"/>
      <c r="UTH393" s="104"/>
      <c r="UTI393" s="104"/>
      <c r="UTJ393" s="119"/>
      <c r="UTK393" s="104"/>
      <c r="UTL393" s="455"/>
      <c r="UTM393" s="104"/>
      <c r="UTN393" s="104"/>
      <c r="UTO393" s="109"/>
      <c r="UTP393" s="104"/>
      <c r="UTQ393" s="104"/>
      <c r="UTR393" s="119"/>
      <c r="UTS393" s="104"/>
      <c r="UTT393" s="455"/>
      <c r="UTU393" s="104"/>
      <c r="UTV393" s="104"/>
      <c r="UTW393" s="109"/>
      <c r="UTX393" s="104"/>
      <c r="UTY393" s="104"/>
      <c r="UTZ393" s="119"/>
      <c r="UUA393" s="104"/>
      <c r="UUB393" s="455"/>
      <c r="UUC393" s="104"/>
      <c r="UUD393" s="104"/>
      <c r="UUE393" s="109"/>
      <c r="UUF393" s="104"/>
      <c r="UUG393" s="104"/>
      <c r="UUH393" s="119"/>
      <c r="UUI393" s="104"/>
      <c r="UUJ393" s="455"/>
      <c r="UUK393" s="104"/>
      <c r="UUL393" s="104"/>
      <c r="UUM393" s="109"/>
      <c r="UUN393" s="104"/>
      <c r="UUO393" s="104"/>
      <c r="UUP393" s="119"/>
      <c r="UUQ393" s="104"/>
      <c r="UUR393" s="455"/>
      <c r="UUS393" s="104"/>
      <c r="UUT393" s="104"/>
      <c r="UUU393" s="109"/>
      <c r="UUV393" s="104"/>
      <c r="UUW393" s="104"/>
      <c r="UUX393" s="119"/>
      <c r="UUY393" s="104"/>
      <c r="UUZ393" s="455"/>
      <c r="UVA393" s="104"/>
      <c r="UVB393" s="104"/>
      <c r="UVC393" s="109"/>
      <c r="UVD393" s="104"/>
      <c r="UVE393" s="104"/>
      <c r="UVF393" s="119"/>
      <c r="UVG393" s="104"/>
      <c r="UVH393" s="455"/>
      <c r="UVI393" s="104"/>
      <c r="UVJ393" s="104"/>
      <c r="UVK393" s="109"/>
      <c r="UVL393" s="104"/>
      <c r="UVM393" s="104"/>
      <c r="UVN393" s="119"/>
      <c r="UVO393" s="104"/>
      <c r="UVP393" s="455"/>
      <c r="UVQ393" s="104"/>
      <c r="UVR393" s="104"/>
      <c r="UVS393" s="109"/>
      <c r="UVT393" s="104"/>
      <c r="UVU393" s="104"/>
      <c r="UVV393" s="119"/>
      <c r="UVW393" s="104"/>
      <c r="UVX393" s="455"/>
      <c r="UVY393" s="104"/>
      <c r="UVZ393" s="104"/>
      <c r="UWA393" s="109"/>
      <c r="UWB393" s="104"/>
      <c r="UWC393" s="104"/>
      <c r="UWD393" s="119"/>
      <c r="UWE393" s="104"/>
      <c r="UWF393" s="455"/>
      <c r="UWG393" s="104"/>
      <c r="UWH393" s="104"/>
      <c r="UWI393" s="109"/>
      <c r="UWJ393" s="104"/>
      <c r="UWK393" s="104"/>
      <c r="UWL393" s="119"/>
      <c r="UWM393" s="104"/>
      <c r="UWN393" s="455"/>
      <c r="UWO393" s="104"/>
      <c r="UWP393" s="104"/>
      <c r="UWQ393" s="109"/>
      <c r="UWR393" s="104"/>
      <c r="UWS393" s="104"/>
      <c r="UWT393" s="119"/>
      <c r="UWU393" s="104"/>
      <c r="UWV393" s="455"/>
      <c r="UWW393" s="104"/>
      <c r="UWX393" s="104"/>
      <c r="UWY393" s="109"/>
      <c r="UWZ393" s="104"/>
      <c r="UXA393" s="104"/>
      <c r="UXB393" s="119"/>
      <c r="UXC393" s="104"/>
      <c r="UXD393" s="455"/>
      <c r="UXE393" s="104"/>
      <c r="UXF393" s="104"/>
      <c r="UXG393" s="109"/>
      <c r="UXH393" s="104"/>
      <c r="UXI393" s="104"/>
      <c r="UXJ393" s="119"/>
      <c r="UXK393" s="104"/>
      <c r="UXL393" s="455"/>
      <c r="UXM393" s="104"/>
      <c r="UXN393" s="104"/>
      <c r="UXO393" s="109"/>
      <c r="UXP393" s="104"/>
      <c r="UXQ393" s="104"/>
      <c r="UXR393" s="119"/>
      <c r="UXS393" s="104"/>
      <c r="UXT393" s="455"/>
      <c r="UXU393" s="104"/>
      <c r="UXV393" s="104"/>
      <c r="UXW393" s="109"/>
      <c r="UXX393" s="104"/>
      <c r="UXY393" s="104"/>
      <c r="UXZ393" s="119"/>
      <c r="UYA393" s="104"/>
      <c r="UYB393" s="455"/>
      <c r="UYC393" s="104"/>
      <c r="UYD393" s="104"/>
      <c r="UYE393" s="109"/>
      <c r="UYF393" s="104"/>
      <c r="UYG393" s="104"/>
      <c r="UYH393" s="119"/>
      <c r="UYI393" s="104"/>
      <c r="UYJ393" s="455"/>
      <c r="UYK393" s="104"/>
      <c r="UYL393" s="104"/>
      <c r="UYM393" s="109"/>
      <c r="UYN393" s="104"/>
      <c r="UYO393" s="104"/>
      <c r="UYP393" s="119"/>
      <c r="UYQ393" s="104"/>
      <c r="UYR393" s="455"/>
      <c r="UYS393" s="104"/>
      <c r="UYT393" s="104"/>
      <c r="UYU393" s="109"/>
      <c r="UYV393" s="104"/>
      <c r="UYW393" s="104"/>
      <c r="UYX393" s="119"/>
      <c r="UYY393" s="104"/>
      <c r="UYZ393" s="455"/>
      <c r="UZA393" s="104"/>
      <c r="UZB393" s="104"/>
      <c r="UZC393" s="109"/>
      <c r="UZD393" s="104"/>
      <c r="UZE393" s="104"/>
      <c r="UZF393" s="119"/>
      <c r="UZG393" s="104"/>
      <c r="UZH393" s="455"/>
      <c r="UZI393" s="104"/>
      <c r="UZJ393" s="104"/>
      <c r="UZK393" s="109"/>
      <c r="UZL393" s="104"/>
      <c r="UZM393" s="104"/>
      <c r="UZN393" s="119"/>
      <c r="UZO393" s="104"/>
      <c r="UZP393" s="455"/>
      <c r="UZQ393" s="104"/>
      <c r="UZR393" s="104"/>
      <c r="UZS393" s="109"/>
      <c r="UZT393" s="104"/>
      <c r="UZU393" s="104"/>
      <c r="UZV393" s="119"/>
      <c r="UZW393" s="104"/>
      <c r="UZX393" s="455"/>
      <c r="UZY393" s="104"/>
      <c r="UZZ393" s="104"/>
      <c r="VAA393" s="109"/>
      <c r="VAB393" s="104"/>
      <c r="VAC393" s="104"/>
      <c r="VAD393" s="119"/>
      <c r="VAE393" s="104"/>
      <c r="VAF393" s="455"/>
      <c r="VAG393" s="104"/>
      <c r="VAH393" s="104"/>
      <c r="VAI393" s="109"/>
      <c r="VAJ393" s="104"/>
      <c r="VAK393" s="104"/>
      <c r="VAL393" s="119"/>
      <c r="VAM393" s="104"/>
      <c r="VAN393" s="455"/>
      <c r="VAO393" s="104"/>
      <c r="VAP393" s="104"/>
      <c r="VAQ393" s="109"/>
      <c r="VAR393" s="104"/>
      <c r="VAS393" s="104"/>
      <c r="VAT393" s="119"/>
      <c r="VAU393" s="104"/>
      <c r="VAV393" s="455"/>
      <c r="VAW393" s="104"/>
      <c r="VAX393" s="104"/>
      <c r="VAY393" s="109"/>
      <c r="VAZ393" s="104"/>
      <c r="VBA393" s="104"/>
      <c r="VBB393" s="119"/>
      <c r="VBC393" s="104"/>
      <c r="VBD393" s="455"/>
      <c r="VBE393" s="104"/>
      <c r="VBF393" s="104"/>
      <c r="VBG393" s="109"/>
      <c r="VBH393" s="104"/>
      <c r="VBI393" s="104"/>
      <c r="VBJ393" s="119"/>
      <c r="VBK393" s="104"/>
      <c r="VBL393" s="455"/>
      <c r="VBM393" s="104"/>
      <c r="VBN393" s="104"/>
      <c r="VBO393" s="109"/>
      <c r="VBP393" s="104"/>
      <c r="VBQ393" s="104"/>
      <c r="VBR393" s="119"/>
      <c r="VBS393" s="104"/>
      <c r="VBT393" s="455"/>
      <c r="VBU393" s="104"/>
      <c r="VBV393" s="104"/>
      <c r="VBW393" s="109"/>
      <c r="VBX393" s="104"/>
      <c r="VBY393" s="104"/>
      <c r="VBZ393" s="119"/>
      <c r="VCA393" s="104"/>
      <c r="VCB393" s="455"/>
      <c r="VCC393" s="104"/>
      <c r="VCD393" s="104"/>
      <c r="VCE393" s="109"/>
      <c r="VCF393" s="104"/>
      <c r="VCG393" s="104"/>
      <c r="VCH393" s="119"/>
      <c r="VCI393" s="104"/>
      <c r="VCJ393" s="455"/>
      <c r="VCK393" s="104"/>
      <c r="VCL393" s="104"/>
      <c r="VCM393" s="109"/>
      <c r="VCN393" s="104"/>
      <c r="VCO393" s="104"/>
      <c r="VCP393" s="119"/>
      <c r="VCQ393" s="104"/>
      <c r="VCR393" s="455"/>
      <c r="VCS393" s="104"/>
      <c r="VCT393" s="104"/>
      <c r="VCU393" s="109"/>
      <c r="VCV393" s="104"/>
      <c r="VCW393" s="104"/>
      <c r="VCX393" s="119"/>
      <c r="VCY393" s="104"/>
      <c r="VCZ393" s="455"/>
      <c r="VDA393" s="104"/>
      <c r="VDB393" s="104"/>
      <c r="VDC393" s="109"/>
      <c r="VDD393" s="104"/>
      <c r="VDE393" s="104"/>
      <c r="VDF393" s="119"/>
      <c r="VDG393" s="104"/>
      <c r="VDH393" s="455"/>
      <c r="VDI393" s="104"/>
      <c r="VDJ393" s="104"/>
      <c r="VDK393" s="109"/>
      <c r="VDL393" s="104"/>
      <c r="VDM393" s="104"/>
      <c r="VDN393" s="119"/>
      <c r="VDO393" s="104"/>
      <c r="VDP393" s="455"/>
      <c r="VDQ393" s="104"/>
      <c r="VDR393" s="104"/>
      <c r="VDS393" s="109"/>
      <c r="VDT393" s="104"/>
      <c r="VDU393" s="104"/>
      <c r="VDV393" s="119"/>
      <c r="VDW393" s="104"/>
      <c r="VDX393" s="455"/>
      <c r="VDY393" s="104"/>
      <c r="VDZ393" s="104"/>
      <c r="VEA393" s="109"/>
      <c r="VEB393" s="104"/>
      <c r="VEC393" s="104"/>
      <c r="VED393" s="119"/>
      <c r="VEE393" s="104"/>
      <c r="VEF393" s="455"/>
      <c r="VEG393" s="104"/>
      <c r="VEH393" s="104"/>
      <c r="VEI393" s="109"/>
      <c r="VEJ393" s="104"/>
      <c r="VEK393" s="104"/>
      <c r="VEL393" s="119"/>
      <c r="VEM393" s="104"/>
      <c r="VEN393" s="455"/>
      <c r="VEO393" s="104"/>
      <c r="VEP393" s="104"/>
      <c r="VEQ393" s="109"/>
      <c r="VER393" s="104"/>
      <c r="VES393" s="104"/>
      <c r="VET393" s="119"/>
      <c r="VEU393" s="104"/>
      <c r="VEV393" s="455"/>
      <c r="VEW393" s="104"/>
      <c r="VEX393" s="104"/>
      <c r="VEY393" s="109"/>
      <c r="VEZ393" s="104"/>
      <c r="VFA393" s="104"/>
      <c r="VFB393" s="119"/>
      <c r="VFC393" s="104"/>
      <c r="VFD393" s="455"/>
      <c r="VFE393" s="104"/>
      <c r="VFF393" s="104"/>
      <c r="VFG393" s="109"/>
      <c r="VFH393" s="104"/>
      <c r="VFI393" s="104"/>
      <c r="VFJ393" s="119"/>
      <c r="VFK393" s="104"/>
      <c r="VFL393" s="455"/>
      <c r="VFM393" s="104"/>
      <c r="VFN393" s="104"/>
      <c r="VFO393" s="109"/>
      <c r="VFP393" s="104"/>
      <c r="VFQ393" s="104"/>
      <c r="VFR393" s="119"/>
      <c r="VFS393" s="104"/>
      <c r="VFT393" s="455"/>
      <c r="VFU393" s="104"/>
      <c r="VFV393" s="104"/>
      <c r="VFW393" s="109"/>
      <c r="VFX393" s="104"/>
      <c r="VFY393" s="104"/>
      <c r="VFZ393" s="119"/>
      <c r="VGA393" s="104"/>
      <c r="VGB393" s="455"/>
      <c r="VGC393" s="104"/>
      <c r="VGD393" s="104"/>
      <c r="VGE393" s="109"/>
      <c r="VGF393" s="104"/>
      <c r="VGG393" s="104"/>
      <c r="VGH393" s="119"/>
      <c r="VGI393" s="104"/>
      <c r="VGJ393" s="455"/>
      <c r="VGK393" s="104"/>
      <c r="VGL393" s="104"/>
      <c r="VGM393" s="109"/>
      <c r="VGN393" s="104"/>
      <c r="VGO393" s="104"/>
      <c r="VGP393" s="119"/>
      <c r="VGQ393" s="104"/>
      <c r="VGR393" s="455"/>
      <c r="VGS393" s="104"/>
      <c r="VGT393" s="104"/>
      <c r="VGU393" s="109"/>
      <c r="VGV393" s="104"/>
      <c r="VGW393" s="104"/>
      <c r="VGX393" s="119"/>
      <c r="VGY393" s="104"/>
      <c r="VGZ393" s="455"/>
      <c r="VHA393" s="104"/>
      <c r="VHB393" s="104"/>
      <c r="VHC393" s="109"/>
      <c r="VHD393" s="104"/>
      <c r="VHE393" s="104"/>
      <c r="VHF393" s="119"/>
      <c r="VHG393" s="104"/>
      <c r="VHH393" s="455"/>
      <c r="VHI393" s="104"/>
      <c r="VHJ393" s="104"/>
      <c r="VHK393" s="109"/>
      <c r="VHL393" s="104"/>
      <c r="VHM393" s="104"/>
      <c r="VHN393" s="119"/>
      <c r="VHO393" s="104"/>
      <c r="VHP393" s="455"/>
      <c r="VHQ393" s="104"/>
      <c r="VHR393" s="104"/>
      <c r="VHS393" s="109"/>
      <c r="VHT393" s="104"/>
      <c r="VHU393" s="104"/>
      <c r="VHV393" s="119"/>
      <c r="VHW393" s="104"/>
      <c r="VHX393" s="455"/>
      <c r="VHY393" s="104"/>
      <c r="VHZ393" s="104"/>
      <c r="VIA393" s="109"/>
      <c r="VIB393" s="104"/>
      <c r="VIC393" s="104"/>
      <c r="VID393" s="119"/>
      <c r="VIE393" s="104"/>
      <c r="VIF393" s="455"/>
      <c r="VIG393" s="104"/>
      <c r="VIH393" s="104"/>
      <c r="VII393" s="109"/>
      <c r="VIJ393" s="104"/>
      <c r="VIK393" s="104"/>
      <c r="VIL393" s="119"/>
      <c r="VIM393" s="104"/>
      <c r="VIN393" s="455"/>
      <c r="VIO393" s="104"/>
      <c r="VIP393" s="104"/>
      <c r="VIQ393" s="109"/>
      <c r="VIR393" s="104"/>
      <c r="VIS393" s="104"/>
      <c r="VIT393" s="119"/>
      <c r="VIU393" s="104"/>
      <c r="VIV393" s="455"/>
      <c r="VIW393" s="104"/>
      <c r="VIX393" s="104"/>
      <c r="VIY393" s="109"/>
      <c r="VIZ393" s="104"/>
      <c r="VJA393" s="104"/>
      <c r="VJB393" s="119"/>
      <c r="VJC393" s="104"/>
      <c r="VJD393" s="455"/>
      <c r="VJE393" s="104"/>
      <c r="VJF393" s="104"/>
      <c r="VJG393" s="109"/>
      <c r="VJH393" s="104"/>
      <c r="VJI393" s="104"/>
      <c r="VJJ393" s="119"/>
      <c r="VJK393" s="104"/>
      <c r="VJL393" s="455"/>
      <c r="VJM393" s="104"/>
      <c r="VJN393" s="104"/>
      <c r="VJO393" s="109"/>
      <c r="VJP393" s="104"/>
      <c r="VJQ393" s="104"/>
      <c r="VJR393" s="119"/>
      <c r="VJS393" s="104"/>
      <c r="VJT393" s="455"/>
      <c r="VJU393" s="104"/>
      <c r="VJV393" s="104"/>
      <c r="VJW393" s="109"/>
      <c r="VJX393" s="104"/>
      <c r="VJY393" s="104"/>
      <c r="VJZ393" s="119"/>
      <c r="VKA393" s="104"/>
      <c r="VKB393" s="455"/>
      <c r="VKC393" s="104"/>
      <c r="VKD393" s="104"/>
      <c r="VKE393" s="109"/>
      <c r="VKF393" s="104"/>
      <c r="VKG393" s="104"/>
      <c r="VKH393" s="119"/>
      <c r="VKI393" s="104"/>
      <c r="VKJ393" s="455"/>
      <c r="VKK393" s="104"/>
      <c r="VKL393" s="104"/>
      <c r="VKM393" s="109"/>
      <c r="VKN393" s="104"/>
      <c r="VKO393" s="104"/>
      <c r="VKP393" s="119"/>
      <c r="VKQ393" s="104"/>
      <c r="VKR393" s="455"/>
      <c r="VKS393" s="104"/>
      <c r="VKT393" s="104"/>
      <c r="VKU393" s="109"/>
      <c r="VKV393" s="104"/>
      <c r="VKW393" s="104"/>
      <c r="VKX393" s="119"/>
      <c r="VKY393" s="104"/>
      <c r="VKZ393" s="455"/>
      <c r="VLA393" s="104"/>
      <c r="VLB393" s="104"/>
      <c r="VLC393" s="109"/>
      <c r="VLD393" s="104"/>
      <c r="VLE393" s="104"/>
      <c r="VLF393" s="119"/>
      <c r="VLG393" s="104"/>
      <c r="VLH393" s="455"/>
      <c r="VLI393" s="104"/>
      <c r="VLJ393" s="104"/>
      <c r="VLK393" s="109"/>
      <c r="VLL393" s="104"/>
      <c r="VLM393" s="104"/>
      <c r="VLN393" s="119"/>
      <c r="VLO393" s="104"/>
      <c r="VLP393" s="455"/>
      <c r="VLQ393" s="104"/>
      <c r="VLR393" s="104"/>
      <c r="VLS393" s="109"/>
      <c r="VLT393" s="104"/>
      <c r="VLU393" s="104"/>
      <c r="VLV393" s="119"/>
      <c r="VLW393" s="104"/>
      <c r="VLX393" s="455"/>
      <c r="VLY393" s="104"/>
      <c r="VLZ393" s="104"/>
      <c r="VMA393" s="109"/>
      <c r="VMB393" s="104"/>
      <c r="VMC393" s="104"/>
      <c r="VMD393" s="119"/>
      <c r="VME393" s="104"/>
      <c r="VMF393" s="455"/>
      <c r="VMG393" s="104"/>
      <c r="VMH393" s="104"/>
      <c r="VMI393" s="109"/>
      <c r="VMJ393" s="104"/>
      <c r="VMK393" s="104"/>
      <c r="VML393" s="119"/>
      <c r="VMM393" s="104"/>
      <c r="VMN393" s="455"/>
      <c r="VMO393" s="104"/>
      <c r="VMP393" s="104"/>
      <c r="VMQ393" s="109"/>
      <c r="VMR393" s="104"/>
      <c r="VMS393" s="104"/>
      <c r="VMT393" s="119"/>
      <c r="VMU393" s="104"/>
      <c r="VMV393" s="455"/>
      <c r="VMW393" s="104"/>
      <c r="VMX393" s="104"/>
      <c r="VMY393" s="109"/>
      <c r="VMZ393" s="104"/>
      <c r="VNA393" s="104"/>
      <c r="VNB393" s="119"/>
      <c r="VNC393" s="104"/>
      <c r="VND393" s="455"/>
      <c r="VNE393" s="104"/>
      <c r="VNF393" s="104"/>
      <c r="VNG393" s="109"/>
      <c r="VNH393" s="104"/>
      <c r="VNI393" s="104"/>
      <c r="VNJ393" s="119"/>
      <c r="VNK393" s="104"/>
      <c r="VNL393" s="455"/>
      <c r="VNM393" s="104"/>
      <c r="VNN393" s="104"/>
      <c r="VNO393" s="109"/>
      <c r="VNP393" s="104"/>
      <c r="VNQ393" s="104"/>
      <c r="VNR393" s="119"/>
      <c r="VNS393" s="104"/>
      <c r="VNT393" s="455"/>
      <c r="VNU393" s="104"/>
      <c r="VNV393" s="104"/>
      <c r="VNW393" s="109"/>
      <c r="VNX393" s="104"/>
      <c r="VNY393" s="104"/>
      <c r="VNZ393" s="119"/>
      <c r="VOA393" s="104"/>
      <c r="VOB393" s="455"/>
      <c r="VOC393" s="104"/>
      <c r="VOD393" s="104"/>
      <c r="VOE393" s="109"/>
      <c r="VOF393" s="104"/>
      <c r="VOG393" s="104"/>
      <c r="VOH393" s="119"/>
      <c r="VOI393" s="104"/>
      <c r="VOJ393" s="455"/>
      <c r="VOK393" s="104"/>
      <c r="VOL393" s="104"/>
      <c r="VOM393" s="109"/>
      <c r="VON393" s="104"/>
      <c r="VOO393" s="104"/>
      <c r="VOP393" s="119"/>
      <c r="VOQ393" s="104"/>
      <c r="VOR393" s="455"/>
      <c r="VOS393" s="104"/>
      <c r="VOT393" s="104"/>
      <c r="VOU393" s="109"/>
      <c r="VOV393" s="104"/>
      <c r="VOW393" s="104"/>
      <c r="VOX393" s="119"/>
      <c r="VOY393" s="104"/>
      <c r="VOZ393" s="455"/>
      <c r="VPA393" s="104"/>
      <c r="VPB393" s="104"/>
      <c r="VPC393" s="109"/>
      <c r="VPD393" s="104"/>
      <c r="VPE393" s="104"/>
      <c r="VPF393" s="119"/>
      <c r="VPG393" s="104"/>
      <c r="VPH393" s="455"/>
      <c r="VPI393" s="104"/>
      <c r="VPJ393" s="104"/>
      <c r="VPK393" s="109"/>
      <c r="VPL393" s="104"/>
      <c r="VPM393" s="104"/>
      <c r="VPN393" s="119"/>
      <c r="VPO393" s="104"/>
      <c r="VPP393" s="455"/>
      <c r="VPQ393" s="104"/>
      <c r="VPR393" s="104"/>
      <c r="VPS393" s="109"/>
      <c r="VPT393" s="104"/>
      <c r="VPU393" s="104"/>
      <c r="VPV393" s="119"/>
      <c r="VPW393" s="104"/>
      <c r="VPX393" s="455"/>
      <c r="VPY393" s="104"/>
      <c r="VPZ393" s="104"/>
      <c r="VQA393" s="109"/>
      <c r="VQB393" s="104"/>
      <c r="VQC393" s="104"/>
      <c r="VQD393" s="119"/>
      <c r="VQE393" s="104"/>
      <c r="VQF393" s="455"/>
      <c r="VQG393" s="104"/>
      <c r="VQH393" s="104"/>
      <c r="VQI393" s="109"/>
      <c r="VQJ393" s="104"/>
      <c r="VQK393" s="104"/>
      <c r="VQL393" s="119"/>
      <c r="VQM393" s="104"/>
      <c r="VQN393" s="455"/>
      <c r="VQO393" s="104"/>
      <c r="VQP393" s="104"/>
      <c r="VQQ393" s="109"/>
      <c r="VQR393" s="104"/>
      <c r="VQS393" s="104"/>
      <c r="VQT393" s="119"/>
      <c r="VQU393" s="104"/>
      <c r="VQV393" s="455"/>
      <c r="VQW393" s="104"/>
      <c r="VQX393" s="104"/>
      <c r="VQY393" s="109"/>
      <c r="VQZ393" s="104"/>
      <c r="VRA393" s="104"/>
      <c r="VRB393" s="119"/>
      <c r="VRC393" s="104"/>
      <c r="VRD393" s="455"/>
      <c r="VRE393" s="104"/>
      <c r="VRF393" s="104"/>
      <c r="VRG393" s="109"/>
      <c r="VRH393" s="104"/>
      <c r="VRI393" s="104"/>
      <c r="VRJ393" s="119"/>
      <c r="VRK393" s="104"/>
      <c r="VRL393" s="455"/>
      <c r="VRM393" s="104"/>
      <c r="VRN393" s="104"/>
      <c r="VRO393" s="109"/>
      <c r="VRP393" s="104"/>
      <c r="VRQ393" s="104"/>
      <c r="VRR393" s="119"/>
      <c r="VRS393" s="104"/>
      <c r="VRT393" s="455"/>
      <c r="VRU393" s="104"/>
      <c r="VRV393" s="104"/>
      <c r="VRW393" s="109"/>
      <c r="VRX393" s="104"/>
      <c r="VRY393" s="104"/>
      <c r="VRZ393" s="119"/>
      <c r="VSA393" s="104"/>
      <c r="VSB393" s="455"/>
      <c r="VSC393" s="104"/>
      <c r="VSD393" s="104"/>
      <c r="VSE393" s="109"/>
      <c r="VSF393" s="104"/>
      <c r="VSG393" s="104"/>
      <c r="VSH393" s="119"/>
      <c r="VSI393" s="104"/>
      <c r="VSJ393" s="455"/>
      <c r="VSK393" s="104"/>
      <c r="VSL393" s="104"/>
      <c r="VSM393" s="109"/>
      <c r="VSN393" s="104"/>
      <c r="VSO393" s="104"/>
      <c r="VSP393" s="119"/>
      <c r="VSQ393" s="104"/>
      <c r="VSR393" s="455"/>
      <c r="VSS393" s="104"/>
      <c r="VST393" s="104"/>
      <c r="VSU393" s="109"/>
      <c r="VSV393" s="104"/>
      <c r="VSW393" s="104"/>
      <c r="VSX393" s="119"/>
      <c r="VSY393" s="104"/>
      <c r="VSZ393" s="455"/>
      <c r="VTA393" s="104"/>
      <c r="VTB393" s="104"/>
      <c r="VTC393" s="109"/>
      <c r="VTD393" s="104"/>
      <c r="VTE393" s="104"/>
      <c r="VTF393" s="119"/>
      <c r="VTG393" s="104"/>
      <c r="VTH393" s="455"/>
      <c r="VTI393" s="104"/>
      <c r="VTJ393" s="104"/>
      <c r="VTK393" s="109"/>
      <c r="VTL393" s="104"/>
      <c r="VTM393" s="104"/>
      <c r="VTN393" s="119"/>
      <c r="VTO393" s="104"/>
      <c r="VTP393" s="455"/>
      <c r="VTQ393" s="104"/>
      <c r="VTR393" s="104"/>
      <c r="VTS393" s="109"/>
      <c r="VTT393" s="104"/>
      <c r="VTU393" s="104"/>
      <c r="VTV393" s="119"/>
      <c r="VTW393" s="104"/>
      <c r="VTX393" s="455"/>
      <c r="VTY393" s="104"/>
      <c r="VTZ393" s="104"/>
      <c r="VUA393" s="109"/>
      <c r="VUB393" s="104"/>
      <c r="VUC393" s="104"/>
      <c r="VUD393" s="119"/>
      <c r="VUE393" s="104"/>
      <c r="VUF393" s="455"/>
      <c r="VUG393" s="104"/>
      <c r="VUH393" s="104"/>
      <c r="VUI393" s="109"/>
      <c r="VUJ393" s="104"/>
      <c r="VUK393" s="104"/>
      <c r="VUL393" s="119"/>
      <c r="VUM393" s="104"/>
      <c r="VUN393" s="455"/>
      <c r="VUO393" s="104"/>
      <c r="VUP393" s="104"/>
      <c r="VUQ393" s="109"/>
      <c r="VUR393" s="104"/>
      <c r="VUS393" s="104"/>
      <c r="VUT393" s="119"/>
      <c r="VUU393" s="104"/>
      <c r="VUV393" s="455"/>
      <c r="VUW393" s="104"/>
      <c r="VUX393" s="104"/>
      <c r="VUY393" s="109"/>
      <c r="VUZ393" s="104"/>
      <c r="VVA393" s="104"/>
      <c r="VVB393" s="119"/>
      <c r="VVC393" s="104"/>
      <c r="VVD393" s="455"/>
      <c r="VVE393" s="104"/>
      <c r="VVF393" s="104"/>
      <c r="VVG393" s="109"/>
      <c r="VVH393" s="104"/>
      <c r="VVI393" s="104"/>
      <c r="VVJ393" s="119"/>
      <c r="VVK393" s="104"/>
      <c r="VVL393" s="455"/>
      <c r="VVM393" s="104"/>
      <c r="VVN393" s="104"/>
      <c r="VVO393" s="109"/>
      <c r="VVP393" s="104"/>
      <c r="VVQ393" s="104"/>
      <c r="VVR393" s="119"/>
      <c r="VVS393" s="104"/>
      <c r="VVT393" s="455"/>
      <c r="VVU393" s="104"/>
      <c r="VVV393" s="104"/>
      <c r="VVW393" s="109"/>
      <c r="VVX393" s="104"/>
      <c r="VVY393" s="104"/>
      <c r="VVZ393" s="119"/>
      <c r="VWA393" s="104"/>
      <c r="VWB393" s="455"/>
      <c r="VWC393" s="104"/>
      <c r="VWD393" s="104"/>
      <c r="VWE393" s="109"/>
      <c r="VWF393" s="104"/>
      <c r="VWG393" s="104"/>
      <c r="VWH393" s="119"/>
      <c r="VWI393" s="104"/>
      <c r="VWJ393" s="455"/>
      <c r="VWK393" s="104"/>
      <c r="VWL393" s="104"/>
      <c r="VWM393" s="109"/>
      <c r="VWN393" s="104"/>
      <c r="VWO393" s="104"/>
      <c r="VWP393" s="119"/>
      <c r="VWQ393" s="104"/>
      <c r="VWR393" s="455"/>
      <c r="VWS393" s="104"/>
      <c r="VWT393" s="104"/>
      <c r="VWU393" s="109"/>
      <c r="VWV393" s="104"/>
      <c r="VWW393" s="104"/>
      <c r="VWX393" s="119"/>
      <c r="VWY393" s="104"/>
      <c r="VWZ393" s="455"/>
      <c r="VXA393" s="104"/>
      <c r="VXB393" s="104"/>
      <c r="VXC393" s="109"/>
      <c r="VXD393" s="104"/>
      <c r="VXE393" s="104"/>
      <c r="VXF393" s="119"/>
      <c r="VXG393" s="104"/>
      <c r="VXH393" s="455"/>
      <c r="VXI393" s="104"/>
      <c r="VXJ393" s="104"/>
      <c r="VXK393" s="109"/>
      <c r="VXL393" s="104"/>
      <c r="VXM393" s="104"/>
      <c r="VXN393" s="119"/>
      <c r="VXO393" s="104"/>
      <c r="VXP393" s="455"/>
      <c r="VXQ393" s="104"/>
      <c r="VXR393" s="104"/>
      <c r="VXS393" s="109"/>
      <c r="VXT393" s="104"/>
      <c r="VXU393" s="104"/>
      <c r="VXV393" s="119"/>
      <c r="VXW393" s="104"/>
      <c r="VXX393" s="455"/>
      <c r="VXY393" s="104"/>
      <c r="VXZ393" s="104"/>
      <c r="VYA393" s="109"/>
      <c r="VYB393" s="104"/>
      <c r="VYC393" s="104"/>
      <c r="VYD393" s="119"/>
      <c r="VYE393" s="104"/>
      <c r="VYF393" s="455"/>
      <c r="VYG393" s="104"/>
      <c r="VYH393" s="104"/>
      <c r="VYI393" s="109"/>
      <c r="VYJ393" s="104"/>
      <c r="VYK393" s="104"/>
      <c r="VYL393" s="119"/>
      <c r="VYM393" s="104"/>
      <c r="VYN393" s="455"/>
      <c r="VYO393" s="104"/>
      <c r="VYP393" s="104"/>
      <c r="VYQ393" s="109"/>
      <c r="VYR393" s="104"/>
      <c r="VYS393" s="104"/>
      <c r="VYT393" s="119"/>
      <c r="VYU393" s="104"/>
      <c r="VYV393" s="455"/>
      <c r="VYW393" s="104"/>
      <c r="VYX393" s="104"/>
      <c r="VYY393" s="109"/>
      <c r="VYZ393" s="104"/>
      <c r="VZA393" s="104"/>
      <c r="VZB393" s="119"/>
      <c r="VZC393" s="104"/>
      <c r="VZD393" s="455"/>
      <c r="VZE393" s="104"/>
      <c r="VZF393" s="104"/>
      <c r="VZG393" s="109"/>
      <c r="VZH393" s="104"/>
      <c r="VZI393" s="104"/>
      <c r="VZJ393" s="119"/>
      <c r="VZK393" s="104"/>
      <c r="VZL393" s="455"/>
      <c r="VZM393" s="104"/>
      <c r="VZN393" s="104"/>
      <c r="VZO393" s="109"/>
      <c r="VZP393" s="104"/>
      <c r="VZQ393" s="104"/>
      <c r="VZR393" s="119"/>
      <c r="VZS393" s="104"/>
      <c r="VZT393" s="455"/>
      <c r="VZU393" s="104"/>
      <c r="VZV393" s="104"/>
      <c r="VZW393" s="109"/>
      <c r="VZX393" s="104"/>
      <c r="VZY393" s="104"/>
      <c r="VZZ393" s="119"/>
      <c r="WAA393" s="104"/>
      <c r="WAB393" s="455"/>
      <c r="WAC393" s="104"/>
      <c r="WAD393" s="104"/>
      <c r="WAE393" s="109"/>
      <c r="WAF393" s="104"/>
      <c r="WAG393" s="104"/>
      <c r="WAH393" s="119"/>
      <c r="WAI393" s="104"/>
      <c r="WAJ393" s="455"/>
      <c r="WAK393" s="104"/>
      <c r="WAL393" s="104"/>
      <c r="WAM393" s="109"/>
      <c r="WAN393" s="104"/>
      <c r="WAO393" s="104"/>
      <c r="WAP393" s="119"/>
      <c r="WAQ393" s="104"/>
      <c r="WAR393" s="455"/>
      <c r="WAS393" s="104"/>
      <c r="WAT393" s="104"/>
      <c r="WAU393" s="109"/>
      <c r="WAV393" s="104"/>
      <c r="WAW393" s="104"/>
      <c r="WAX393" s="119"/>
      <c r="WAY393" s="104"/>
      <c r="WAZ393" s="455"/>
      <c r="WBA393" s="104"/>
      <c r="WBB393" s="104"/>
      <c r="WBC393" s="109"/>
      <c r="WBD393" s="104"/>
      <c r="WBE393" s="104"/>
      <c r="WBF393" s="119"/>
      <c r="WBG393" s="104"/>
      <c r="WBH393" s="455"/>
      <c r="WBI393" s="104"/>
      <c r="WBJ393" s="104"/>
      <c r="WBK393" s="109"/>
      <c r="WBL393" s="104"/>
      <c r="WBM393" s="104"/>
      <c r="WBN393" s="119"/>
      <c r="WBO393" s="104"/>
      <c r="WBP393" s="455"/>
      <c r="WBQ393" s="104"/>
      <c r="WBR393" s="104"/>
      <c r="WBS393" s="109"/>
      <c r="WBT393" s="104"/>
      <c r="WBU393" s="104"/>
      <c r="WBV393" s="119"/>
      <c r="WBW393" s="104"/>
      <c r="WBX393" s="455"/>
      <c r="WBY393" s="104"/>
      <c r="WBZ393" s="104"/>
      <c r="WCA393" s="109"/>
      <c r="WCB393" s="104"/>
      <c r="WCC393" s="104"/>
      <c r="WCD393" s="119"/>
      <c r="WCE393" s="104"/>
      <c r="WCF393" s="455"/>
      <c r="WCG393" s="104"/>
      <c r="WCH393" s="104"/>
      <c r="WCI393" s="109"/>
      <c r="WCJ393" s="104"/>
      <c r="WCK393" s="104"/>
      <c r="WCL393" s="119"/>
      <c r="WCM393" s="104"/>
      <c r="WCN393" s="455"/>
      <c r="WCO393" s="104"/>
      <c r="WCP393" s="104"/>
      <c r="WCQ393" s="109"/>
      <c r="WCR393" s="104"/>
      <c r="WCS393" s="104"/>
      <c r="WCT393" s="119"/>
      <c r="WCU393" s="104"/>
      <c r="WCV393" s="455"/>
      <c r="WCW393" s="104"/>
      <c r="WCX393" s="104"/>
      <c r="WCY393" s="109"/>
      <c r="WCZ393" s="104"/>
      <c r="WDA393" s="104"/>
      <c r="WDB393" s="119"/>
      <c r="WDC393" s="104"/>
      <c r="WDD393" s="455"/>
      <c r="WDE393" s="104"/>
      <c r="WDF393" s="104"/>
      <c r="WDG393" s="109"/>
      <c r="WDH393" s="104"/>
      <c r="WDI393" s="104"/>
      <c r="WDJ393" s="119"/>
      <c r="WDK393" s="104"/>
      <c r="WDL393" s="455"/>
      <c r="WDM393" s="104"/>
      <c r="WDN393" s="104"/>
      <c r="WDO393" s="109"/>
      <c r="WDP393" s="104"/>
      <c r="WDQ393" s="104"/>
      <c r="WDR393" s="119"/>
      <c r="WDS393" s="104"/>
      <c r="WDT393" s="455"/>
      <c r="WDU393" s="104"/>
      <c r="WDV393" s="104"/>
      <c r="WDW393" s="109"/>
      <c r="WDX393" s="104"/>
      <c r="WDY393" s="104"/>
      <c r="WDZ393" s="119"/>
      <c r="WEA393" s="104"/>
      <c r="WEB393" s="455"/>
      <c r="WEC393" s="104"/>
      <c r="WED393" s="104"/>
      <c r="WEE393" s="109"/>
      <c r="WEF393" s="104"/>
      <c r="WEG393" s="104"/>
      <c r="WEH393" s="119"/>
      <c r="WEI393" s="104"/>
      <c r="WEJ393" s="455"/>
      <c r="WEK393" s="104"/>
      <c r="WEL393" s="104"/>
      <c r="WEM393" s="109"/>
      <c r="WEN393" s="104"/>
      <c r="WEO393" s="104"/>
      <c r="WEP393" s="119"/>
      <c r="WEQ393" s="104"/>
      <c r="WER393" s="455"/>
      <c r="WES393" s="104"/>
      <c r="WET393" s="104"/>
      <c r="WEU393" s="109"/>
      <c r="WEV393" s="104"/>
      <c r="WEW393" s="104"/>
      <c r="WEX393" s="119"/>
      <c r="WEY393" s="104"/>
      <c r="WEZ393" s="455"/>
      <c r="WFA393" s="104"/>
      <c r="WFB393" s="104"/>
      <c r="WFC393" s="109"/>
      <c r="WFD393" s="104"/>
      <c r="WFE393" s="104"/>
      <c r="WFF393" s="119"/>
      <c r="WFG393" s="104"/>
      <c r="WFH393" s="455"/>
      <c r="WFI393" s="104"/>
      <c r="WFJ393" s="104"/>
      <c r="WFK393" s="109"/>
      <c r="WFL393" s="104"/>
      <c r="WFM393" s="104"/>
      <c r="WFN393" s="119"/>
      <c r="WFO393" s="104"/>
      <c r="WFP393" s="455"/>
      <c r="WFQ393" s="104"/>
      <c r="WFR393" s="104"/>
      <c r="WFS393" s="109"/>
      <c r="WFT393" s="104"/>
      <c r="WFU393" s="104"/>
      <c r="WFV393" s="119"/>
      <c r="WFW393" s="104"/>
      <c r="WFX393" s="455"/>
      <c r="WFY393" s="104"/>
      <c r="WFZ393" s="104"/>
      <c r="WGA393" s="109"/>
      <c r="WGB393" s="104"/>
      <c r="WGC393" s="104"/>
      <c r="WGD393" s="119"/>
      <c r="WGE393" s="104"/>
      <c r="WGF393" s="455"/>
      <c r="WGG393" s="104"/>
      <c r="WGH393" s="104"/>
      <c r="WGI393" s="109"/>
      <c r="WGJ393" s="104"/>
      <c r="WGK393" s="104"/>
      <c r="WGL393" s="119"/>
      <c r="WGM393" s="104"/>
      <c r="WGN393" s="455"/>
      <c r="WGO393" s="104"/>
      <c r="WGP393" s="104"/>
      <c r="WGQ393" s="109"/>
      <c r="WGR393" s="104"/>
      <c r="WGS393" s="104"/>
      <c r="WGT393" s="119"/>
      <c r="WGU393" s="104"/>
      <c r="WGV393" s="455"/>
      <c r="WGW393" s="104"/>
      <c r="WGX393" s="104"/>
      <c r="WGY393" s="109"/>
      <c r="WGZ393" s="104"/>
      <c r="WHA393" s="104"/>
      <c r="WHB393" s="119"/>
      <c r="WHC393" s="104"/>
      <c r="WHD393" s="455"/>
      <c r="WHE393" s="104"/>
      <c r="WHF393" s="104"/>
      <c r="WHG393" s="109"/>
      <c r="WHH393" s="104"/>
      <c r="WHI393" s="104"/>
      <c r="WHJ393" s="119"/>
      <c r="WHK393" s="104"/>
      <c r="WHL393" s="455"/>
      <c r="WHM393" s="104"/>
      <c r="WHN393" s="104"/>
      <c r="WHO393" s="109"/>
      <c r="WHP393" s="104"/>
      <c r="WHQ393" s="104"/>
      <c r="WHR393" s="119"/>
      <c r="WHS393" s="104"/>
      <c r="WHT393" s="455"/>
      <c r="WHU393" s="104"/>
      <c r="WHV393" s="104"/>
      <c r="WHW393" s="109"/>
      <c r="WHX393" s="104"/>
      <c r="WHY393" s="104"/>
      <c r="WHZ393" s="119"/>
      <c r="WIA393" s="104"/>
      <c r="WIB393" s="455"/>
      <c r="WIC393" s="104"/>
      <c r="WID393" s="104"/>
      <c r="WIE393" s="109"/>
      <c r="WIF393" s="104"/>
      <c r="WIG393" s="104"/>
      <c r="WIH393" s="119"/>
      <c r="WII393" s="104"/>
      <c r="WIJ393" s="455"/>
      <c r="WIK393" s="104"/>
      <c r="WIL393" s="104"/>
      <c r="WIM393" s="109"/>
      <c r="WIN393" s="104"/>
      <c r="WIO393" s="104"/>
      <c r="WIP393" s="119"/>
      <c r="WIQ393" s="104"/>
      <c r="WIR393" s="455"/>
      <c r="WIS393" s="104"/>
      <c r="WIT393" s="104"/>
      <c r="WIU393" s="109"/>
      <c r="WIV393" s="104"/>
      <c r="WIW393" s="104"/>
      <c r="WIX393" s="119"/>
      <c r="WIY393" s="104"/>
      <c r="WIZ393" s="455"/>
      <c r="WJA393" s="104"/>
      <c r="WJB393" s="104"/>
      <c r="WJC393" s="109"/>
      <c r="WJD393" s="104"/>
      <c r="WJE393" s="104"/>
      <c r="WJF393" s="119"/>
      <c r="WJG393" s="104"/>
      <c r="WJH393" s="455"/>
      <c r="WJI393" s="104"/>
      <c r="WJJ393" s="104"/>
      <c r="WJK393" s="109"/>
      <c r="WJL393" s="104"/>
      <c r="WJM393" s="104"/>
      <c r="WJN393" s="119"/>
      <c r="WJO393" s="104"/>
      <c r="WJP393" s="455"/>
      <c r="WJQ393" s="104"/>
      <c r="WJR393" s="104"/>
      <c r="WJS393" s="109"/>
      <c r="WJT393" s="104"/>
      <c r="WJU393" s="104"/>
      <c r="WJV393" s="119"/>
      <c r="WJW393" s="104"/>
      <c r="WJX393" s="455"/>
      <c r="WJY393" s="104"/>
      <c r="WJZ393" s="104"/>
      <c r="WKA393" s="109"/>
      <c r="WKB393" s="104"/>
      <c r="WKC393" s="104"/>
      <c r="WKD393" s="119"/>
      <c r="WKE393" s="104"/>
      <c r="WKF393" s="455"/>
      <c r="WKG393" s="104"/>
      <c r="WKH393" s="104"/>
      <c r="WKI393" s="109"/>
      <c r="WKJ393" s="104"/>
      <c r="WKK393" s="104"/>
      <c r="WKL393" s="119"/>
      <c r="WKM393" s="104"/>
      <c r="WKN393" s="455"/>
      <c r="WKO393" s="104"/>
      <c r="WKP393" s="104"/>
      <c r="WKQ393" s="109"/>
      <c r="WKR393" s="104"/>
      <c r="WKS393" s="104"/>
      <c r="WKT393" s="119"/>
      <c r="WKU393" s="104"/>
      <c r="WKV393" s="455"/>
      <c r="WKW393" s="104"/>
      <c r="WKX393" s="104"/>
      <c r="WKY393" s="109"/>
      <c r="WKZ393" s="104"/>
      <c r="WLA393" s="104"/>
      <c r="WLB393" s="119"/>
      <c r="WLC393" s="104"/>
      <c r="WLD393" s="455"/>
      <c r="WLE393" s="104"/>
      <c r="WLF393" s="104"/>
      <c r="WLG393" s="109"/>
      <c r="WLH393" s="104"/>
      <c r="WLI393" s="104"/>
      <c r="WLJ393" s="119"/>
      <c r="WLK393" s="104"/>
      <c r="WLL393" s="455"/>
      <c r="WLM393" s="104"/>
      <c r="WLN393" s="104"/>
      <c r="WLO393" s="109"/>
      <c r="WLP393" s="104"/>
      <c r="WLQ393" s="104"/>
      <c r="WLR393" s="119"/>
      <c r="WLS393" s="104"/>
      <c r="WLT393" s="455"/>
      <c r="WLU393" s="104"/>
      <c r="WLV393" s="104"/>
      <c r="WLW393" s="109"/>
      <c r="WLX393" s="104"/>
      <c r="WLY393" s="104"/>
      <c r="WLZ393" s="119"/>
      <c r="WMA393" s="104"/>
      <c r="WMB393" s="455"/>
      <c r="WMC393" s="104"/>
      <c r="WMD393" s="104"/>
      <c r="WME393" s="109"/>
      <c r="WMF393" s="104"/>
      <c r="WMG393" s="104"/>
      <c r="WMH393" s="119"/>
      <c r="WMI393" s="104"/>
      <c r="WMJ393" s="455"/>
      <c r="WMK393" s="104"/>
      <c r="WML393" s="104"/>
      <c r="WMM393" s="109"/>
      <c r="WMN393" s="104"/>
      <c r="WMO393" s="104"/>
      <c r="WMP393" s="119"/>
      <c r="WMQ393" s="104"/>
      <c r="WMR393" s="455"/>
      <c r="WMS393" s="104"/>
      <c r="WMT393" s="104"/>
      <c r="WMU393" s="109"/>
      <c r="WMV393" s="104"/>
      <c r="WMW393" s="104"/>
      <c r="WMX393" s="119"/>
      <c r="WMY393" s="104"/>
      <c r="WMZ393" s="455"/>
      <c r="WNA393" s="104"/>
      <c r="WNB393" s="104"/>
      <c r="WNC393" s="109"/>
      <c r="WND393" s="104"/>
      <c r="WNE393" s="104"/>
      <c r="WNF393" s="119"/>
      <c r="WNG393" s="104"/>
      <c r="WNH393" s="455"/>
      <c r="WNI393" s="104"/>
      <c r="WNJ393" s="104"/>
      <c r="WNK393" s="109"/>
      <c r="WNL393" s="104"/>
      <c r="WNM393" s="104"/>
      <c r="WNN393" s="119"/>
      <c r="WNO393" s="104"/>
      <c r="WNP393" s="455"/>
      <c r="WNQ393" s="104"/>
      <c r="WNR393" s="104"/>
      <c r="WNS393" s="109"/>
      <c r="WNT393" s="104"/>
      <c r="WNU393" s="104"/>
      <c r="WNV393" s="119"/>
      <c r="WNW393" s="104"/>
      <c r="WNX393" s="455"/>
      <c r="WNY393" s="104"/>
      <c r="WNZ393" s="104"/>
      <c r="WOA393" s="109"/>
      <c r="WOB393" s="104"/>
      <c r="WOC393" s="104"/>
      <c r="WOD393" s="119"/>
      <c r="WOE393" s="104"/>
      <c r="WOF393" s="455"/>
      <c r="WOG393" s="104"/>
      <c r="WOH393" s="104"/>
      <c r="WOI393" s="109"/>
      <c r="WOJ393" s="104"/>
      <c r="WOK393" s="104"/>
      <c r="WOL393" s="119"/>
      <c r="WOM393" s="104"/>
      <c r="WON393" s="455"/>
      <c r="WOO393" s="104"/>
      <c r="WOP393" s="104"/>
      <c r="WOQ393" s="109"/>
      <c r="WOR393" s="104"/>
      <c r="WOS393" s="104"/>
      <c r="WOT393" s="119"/>
      <c r="WOU393" s="104"/>
      <c r="WOV393" s="455"/>
      <c r="WOW393" s="104"/>
      <c r="WOX393" s="104"/>
      <c r="WOY393" s="109"/>
      <c r="WOZ393" s="104"/>
      <c r="WPA393" s="104"/>
      <c r="WPB393" s="119"/>
      <c r="WPC393" s="104"/>
      <c r="WPD393" s="455"/>
      <c r="WPE393" s="104"/>
      <c r="WPF393" s="104"/>
      <c r="WPG393" s="109"/>
      <c r="WPH393" s="104"/>
      <c r="WPI393" s="104"/>
      <c r="WPJ393" s="119"/>
      <c r="WPK393" s="104"/>
      <c r="WPL393" s="455"/>
      <c r="WPM393" s="104"/>
      <c r="WPN393" s="104"/>
      <c r="WPO393" s="109"/>
      <c r="WPP393" s="104"/>
      <c r="WPQ393" s="104"/>
      <c r="WPR393" s="119"/>
      <c r="WPS393" s="104"/>
      <c r="WPT393" s="455"/>
      <c r="WPU393" s="104"/>
      <c r="WPV393" s="104"/>
      <c r="WPW393" s="109"/>
      <c r="WPX393" s="104"/>
      <c r="WPY393" s="104"/>
      <c r="WPZ393" s="119"/>
      <c r="WQA393" s="104"/>
      <c r="WQB393" s="455"/>
      <c r="WQC393" s="104"/>
      <c r="WQD393" s="104"/>
      <c r="WQE393" s="109"/>
      <c r="WQF393" s="104"/>
      <c r="WQG393" s="104"/>
      <c r="WQH393" s="119"/>
      <c r="WQI393" s="104"/>
      <c r="WQJ393" s="455"/>
      <c r="WQK393" s="104"/>
      <c r="WQL393" s="104"/>
      <c r="WQM393" s="109"/>
      <c r="WQN393" s="104"/>
      <c r="WQO393" s="104"/>
      <c r="WQP393" s="119"/>
      <c r="WQQ393" s="104"/>
      <c r="WQR393" s="455"/>
      <c r="WQS393" s="104"/>
      <c r="WQT393" s="104"/>
      <c r="WQU393" s="109"/>
      <c r="WQV393" s="104"/>
      <c r="WQW393" s="104"/>
      <c r="WQX393" s="119"/>
      <c r="WQY393" s="104"/>
      <c r="WQZ393" s="455"/>
      <c r="WRA393" s="104"/>
      <c r="WRB393" s="104"/>
      <c r="WRC393" s="109"/>
      <c r="WRD393" s="104"/>
      <c r="WRE393" s="104"/>
      <c r="WRF393" s="119"/>
      <c r="WRG393" s="104"/>
      <c r="WRH393" s="455"/>
      <c r="WRI393" s="104"/>
      <c r="WRJ393" s="104"/>
      <c r="WRK393" s="109"/>
      <c r="WRL393" s="104"/>
      <c r="WRM393" s="104"/>
      <c r="WRN393" s="119"/>
      <c r="WRO393" s="104"/>
      <c r="WRP393" s="455"/>
      <c r="WRQ393" s="104"/>
      <c r="WRR393" s="104"/>
      <c r="WRS393" s="109"/>
      <c r="WRT393" s="104"/>
      <c r="WRU393" s="104"/>
      <c r="WRV393" s="119"/>
      <c r="WRW393" s="104"/>
      <c r="WRX393" s="455"/>
      <c r="WRY393" s="104"/>
      <c r="WRZ393" s="104"/>
      <c r="WSA393" s="109"/>
      <c r="WSB393" s="104"/>
      <c r="WSC393" s="104"/>
      <c r="WSD393" s="119"/>
      <c r="WSE393" s="104"/>
      <c r="WSF393" s="455"/>
      <c r="WSG393" s="104"/>
      <c r="WSH393" s="104"/>
      <c r="WSI393" s="109"/>
      <c r="WSJ393" s="104"/>
      <c r="WSK393" s="104"/>
      <c r="WSL393" s="119"/>
      <c r="WSM393" s="104"/>
      <c r="WSN393" s="455"/>
      <c r="WSO393" s="104"/>
      <c r="WSP393" s="104"/>
      <c r="WSQ393" s="109"/>
      <c r="WSR393" s="104"/>
      <c r="WSS393" s="104"/>
      <c r="WST393" s="119"/>
      <c r="WSU393" s="104"/>
      <c r="WSV393" s="455"/>
      <c r="WSW393" s="104"/>
      <c r="WSX393" s="104"/>
      <c r="WSY393" s="109"/>
      <c r="WSZ393" s="104"/>
      <c r="WTA393" s="104"/>
      <c r="WTB393" s="119"/>
      <c r="WTC393" s="104"/>
      <c r="WTD393" s="455"/>
      <c r="WTE393" s="104"/>
      <c r="WTF393" s="104"/>
      <c r="WTG393" s="109"/>
      <c r="WTH393" s="104"/>
      <c r="WTI393" s="104"/>
      <c r="WTJ393" s="119"/>
      <c r="WTK393" s="104"/>
      <c r="WTL393" s="455"/>
      <c r="WTM393" s="104"/>
      <c r="WTN393" s="104"/>
      <c r="WTO393" s="109"/>
      <c r="WTP393" s="104"/>
      <c r="WTQ393" s="104"/>
      <c r="WTR393" s="119"/>
      <c r="WTS393" s="104"/>
      <c r="WTT393" s="455"/>
      <c r="WTU393" s="104"/>
      <c r="WTV393" s="104"/>
      <c r="WTW393" s="109"/>
      <c r="WTX393" s="104"/>
      <c r="WTY393" s="104"/>
      <c r="WTZ393" s="119"/>
      <c r="WUA393" s="104"/>
      <c r="WUB393" s="455"/>
      <c r="WUC393" s="104"/>
      <c r="WUD393" s="104"/>
      <c r="WUE393" s="109"/>
      <c r="WUF393" s="104"/>
      <c r="WUG393" s="104"/>
      <c r="WUH393" s="119"/>
      <c r="WUI393" s="104"/>
      <c r="WUJ393" s="455"/>
      <c r="WUK393" s="104"/>
      <c r="WUL393" s="104"/>
      <c r="WUM393" s="109"/>
      <c r="WUN393" s="104"/>
      <c r="WUO393" s="104"/>
      <c r="WUP393" s="119"/>
      <c r="WUQ393" s="104"/>
      <c r="WUR393" s="455"/>
      <c r="WUS393" s="104"/>
      <c r="WUT393" s="104"/>
      <c r="WUU393" s="109"/>
      <c r="WUV393" s="104"/>
      <c r="WUW393" s="104"/>
      <c r="WUX393" s="119"/>
      <c r="WUY393" s="104"/>
      <c r="WUZ393" s="455"/>
      <c r="WVA393" s="104"/>
      <c r="WVB393" s="104"/>
      <c r="WVC393" s="109"/>
      <c r="WVD393" s="104"/>
      <c r="WVE393" s="104"/>
      <c r="WVF393" s="119"/>
      <c r="WVG393" s="104"/>
      <c r="WVH393" s="455"/>
      <c r="WVI393" s="104"/>
      <c r="WVJ393" s="104"/>
      <c r="WVK393" s="109"/>
      <c r="WVL393" s="104"/>
      <c r="WVM393" s="104"/>
      <c r="WVN393" s="119"/>
      <c r="WVO393" s="104"/>
      <c r="WVP393" s="455"/>
      <c r="WVQ393" s="104"/>
      <c r="WVR393" s="104"/>
      <c r="WVS393" s="109"/>
      <c r="WVT393" s="104"/>
      <c r="WVU393" s="104"/>
      <c r="WVV393" s="119"/>
      <c r="WVW393" s="104"/>
      <c r="WVX393" s="455"/>
      <c r="WVY393" s="104"/>
      <c r="WVZ393" s="104"/>
      <c r="WWA393" s="109"/>
      <c r="WWB393" s="104"/>
      <c r="WWC393" s="104"/>
      <c r="WWD393" s="119"/>
      <c r="WWE393" s="104"/>
      <c r="WWF393" s="455"/>
      <c r="WWG393" s="104"/>
      <c r="WWH393" s="104"/>
      <c r="WWI393" s="109"/>
      <c r="WWJ393" s="104"/>
      <c r="WWK393" s="104"/>
      <c r="WWL393" s="119"/>
      <c r="WWM393" s="104"/>
      <c r="WWN393" s="455"/>
      <c r="WWO393" s="104"/>
      <c r="WWP393" s="104"/>
      <c r="WWQ393" s="109"/>
      <c r="WWR393" s="104"/>
      <c r="WWS393" s="104"/>
      <c r="WWT393" s="119"/>
      <c r="WWU393" s="104"/>
      <c r="WWV393" s="455"/>
      <c r="WWW393" s="104"/>
      <c r="WWX393" s="104"/>
      <c r="WWY393" s="109"/>
      <c r="WWZ393" s="104"/>
      <c r="WXA393" s="104"/>
      <c r="WXB393" s="119"/>
      <c r="WXC393" s="104"/>
      <c r="WXD393" s="455"/>
      <c r="WXE393" s="104"/>
      <c r="WXF393" s="104"/>
      <c r="WXG393" s="109"/>
      <c r="WXH393" s="104"/>
      <c r="WXI393" s="104"/>
      <c r="WXJ393" s="119"/>
      <c r="WXK393" s="104"/>
      <c r="WXL393" s="455"/>
      <c r="WXM393" s="104"/>
      <c r="WXN393" s="104"/>
      <c r="WXO393" s="109"/>
      <c r="WXP393" s="104"/>
      <c r="WXQ393" s="104"/>
      <c r="WXR393" s="119"/>
      <c r="WXS393" s="104"/>
      <c r="WXT393" s="455"/>
      <c r="WXU393" s="104"/>
      <c r="WXV393" s="104"/>
      <c r="WXW393" s="109"/>
      <c r="WXX393" s="104"/>
      <c r="WXY393" s="104"/>
      <c r="WXZ393" s="119"/>
      <c r="WYA393" s="104"/>
      <c r="WYB393" s="455"/>
      <c r="WYC393" s="104"/>
      <c r="WYD393" s="104"/>
      <c r="WYE393" s="109"/>
      <c r="WYF393" s="104"/>
      <c r="WYG393" s="104"/>
      <c r="WYH393" s="119"/>
      <c r="WYI393" s="104"/>
      <c r="WYJ393" s="455"/>
      <c r="WYK393" s="104"/>
      <c r="WYL393" s="104"/>
      <c r="WYM393" s="109"/>
      <c r="WYN393" s="104"/>
      <c r="WYO393" s="104"/>
      <c r="WYP393" s="119"/>
      <c r="WYQ393" s="104"/>
      <c r="WYR393" s="455"/>
      <c r="WYS393" s="104"/>
      <c r="WYT393" s="104"/>
      <c r="WYU393" s="109"/>
      <c r="WYV393" s="104"/>
      <c r="WYW393" s="104"/>
      <c r="WYX393" s="119"/>
      <c r="WYY393" s="104"/>
      <c r="WYZ393" s="455"/>
      <c r="WZA393" s="104"/>
      <c r="WZB393" s="104"/>
      <c r="WZC393" s="109"/>
      <c r="WZD393" s="104"/>
      <c r="WZE393" s="104"/>
      <c r="WZF393" s="119"/>
      <c r="WZG393" s="104"/>
      <c r="WZH393" s="455"/>
      <c r="WZI393" s="104"/>
      <c r="WZJ393" s="104"/>
      <c r="WZK393" s="109"/>
      <c r="WZL393" s="104"/>
      <c r="WZM393" s="104"/>
      <c r="WZN393" s="119"/>
      <c r="WZO393" s="104"/>
      <c r="WZP393" s="455"/>
      <c r="WZQ393" s="104"/>
      <c r="WZR393" s="104"/>
      <c r="WZS393" s="109"/>
      <c r="WZT393" s="104"/>
      <c r="WZU393" s="104"/>
      <c r="WZV393" s="119"/>
      <c r="WZW393" s="104"/>
      <c r="WZX393" s="455"/>
      <c r="WZY393" s="104"/>
      <c r="WZZ393" s="104"/>
      <c r="XAA393" s="109"/>
      <c r="XAB393" s="104"/>
      <c r="XAC393" s="104"/>
      <c r="XAD393" s="119"/>
      <c r="XAE393" s="104"/>
      <c r="XAF393" s="455"/>
      <c r="XAG393" s="104"/>
      <c r="XAH393" s="104"/>
      <c r="XAI393" s="109"/>
      <c r="XAJ393" s="104"/>
      <c r="XAK393" s="104"/>
      <c r="XAL393" s="119"/>
      <c r="XAM393" s="104"/>
      <c r="XAN393" s="455"/>
      <c r="XAO393" s="104"/>
      <c r="XAP393" s="104"/>
      <c r="XAQ393" s="109"/>
      <c r="XAR393" s="104"/>
      <c r="XAS393" s="104"/>
      <c r="XAT393" s="119"/>
      <c r="XAU393" s="104"/>
      <c r="XAV393" s="455"/>
      <c r="XAW393" s="104"/>
      <c r="XAX393" s="104"/>
      <c r="XAY393" s="109"/>
      <c r="XAZ393" s="104"/>
      <c r="XBA393" s="104"/>
      <c r="XBB393" s="119"/>
      <c r="XBC393" s="104"/>
      <c r="XBD393" s="455"/>
      <c r="XBE393" s="104"/>
      <c r="XBF393" s="104"/>
      <c r="XBG393" s="109"/>
      <c r="XBH393" s="104"/>
      <c r="XBI393" s="104"/>
      <c r="XBJ393" s="119"/>
      <c r="XBK393" s="104"/>
      <c r="XBL393" s="455"/>
      <c r="XBM393" s="104"/>
      <c r="XBN393" s="104"/>
      <c r="XBO393" s="109"/>
      <c r="XBP393" s="104"/>
      <c r="XBQ393" s="104"/>
      <c r="XBR393" s="119"/>
      <c r="XBS393" s="104"/>
      <c r="XBT393" s="455"/>
      <c r="XBU393" s="104"/>
      <c r="XBV393" s="104"/>
      <c r="XBW393" s="109"/>
      <c r="XBX393" s="104"/>
      <c r="XBY393" s="104"/>
      <c r="XBZ393" s="119"/>
      <c r="XCA393" s="104"/>
      <c r="XCB393" s="455"/>
      <c r="XCC393" s="104"/>
      <c r="XCD393" s="104"/>
      <c r="XCE393" s="109"/>
      <c r="XCF393" s="104"/>
      <c r="XCG393" s="104"/>
      <c r="XCH393" s="119"/>
      <c r="XCI393" s="104"/>
      <c r="XCJ393" s="455"/>
      <c r="XCK393" s="104"/>
      <c r="XCL393" s="104"/>
      <c r="XCM393" s="109"/>
      <c r="XCN393" s="104"/>
      <c r="XCO393" s="104"/>
      <c r="XCP393" s="119"/>
      <c r="XCQ393" s="104"/>
      <c r="XCR393" s="455"/>
      <c r="XCS393" s="104"/>
      <c r="XCT393" s="104"/>
      <c r="XCU393" s="109"/>
      <c r="XCV393" s="104"/>
      <c r="XCW393" s="104"/>
      <c r="XCX393" s="119"/>
      <c r="XCY393" s="104"/>
      <c r="XCZ393" s="455"/>
      <c r="XDA393" s="104"/>
      <c r="XDB393" s="104"/>
      <c r="XDC393" s="109"/>
      <c r="XDD393" s="104"/>
      <c r="XDE393" s="104"/>
      <c r="XDF393" s="119"/>
      <c r="XDG393" s="104"/>
      <c r="XDH393" s="455"/>
      <c r="XDI393" s="104"/>
      <c r="XDJ393" s="104"/>
      <c r="XDK393" s="109"/>
      <c r="XDL393" s="104"/>
      <c r="XDM393" s="104"/>
      <c r="XDN393" s="119"/>
      <c r="XDO393" s="104"/>
      <c r="XDP393" s="455"/>
      <c r="XDQ393" s="104"/>
      <c r="XDR393" s="104"/>
      <c r="XDS393" s="109"/>
      <c r="XDT393" s="104"/>
      <c r="XDU393" s="104"/>
      <c r="XDV393" s="119"/>
      <c r="XDW393" s="104"/>
      <c r="XDX393" s="455"/>
      <c r="XDY393" s="104"/>
      <c r="XDZ393" s="104"/>
      <c r="XEA393" s="109"/>
      <c r="XEB393" s="104"/>
      <c r="XEC393" s="104"/>
      <c r="XED393" s="119"/>
      <c r="XEE393" s="104"/>
      <c r="XEF393" s="455"/>
      <c r="XEG393" s="104"/>
      <c r="XEH393" s="104"/>
      <c r="XEI393" s="109"/>
      <c r="XEJ393" s="104"/>
      <c r="XEK393" s="104"/>
      <c r="XEL393" s="119"/>
      <c r="XEM393" s="104"/>
      <c r="XEN393" s="455"/>
      <c r="XEO393" s="104"/>
      <c r="XEP393" s="104"/>
      <c r="XEQ393" s="109"/>
      <c r="XER393" s="104"/>
      <c r="XES393" s="104"/>
      <c r="XET393" s="119"/>
      <c r="XEU393" s="104"/>
      <c r="XEV393" s="455"/>
      <c r="XEW393" s="104"/>
      <c r="XEX393" s="104"/>
      <c r="XEY393" s="109"/>
      <c r="XEZ393" s="104"/>
      <c r="XFA393" s="104"/>
      <c r="XFB393" s="119"/>
      <c r="XFC393" s="104"/>
      <c r="XFD393" s="455"/>
    </row>
    <row r="394" spans="1:16384" s="352" customFormat="1">
      <c r="A394" s="117" t="s">
        <v>140</v>
      </c>
      <c r="B394" s="117" t="str">
        <v>DIFFERENTIAL EQUATIONS</v>
      </c>
      <c r="C394" s="137" t="str">
        <v>Eghan Rhydal Esi</v>
      </c>
      <c r="D394" s="117" t="s">
        <v>40</v>
      </c>
      <c r="E394" s="117">
        <v>65</v>
      </c>
      <c r="F394" s="445"/>
      <c r="G394" s="117">
        <v>90</v>
      </c>
      <c r="H394" s="353"/>
      <c r="I394" s="104" t="str">
        <f>_xlfn.CONCAT(A394,",",D394)</f>
        <v>MATH 251,ED2-PCE</v>
      </c>
      <c r="J394" s="104"/>
      <c r="K394" s="109"/>
      <c r="L394" s="104"/>
      <c r="M394" s="104"/>
      <c r="N394" s="119"/>
      <c r="O394" s="104"/>
      <c r="P394" s="455"/>
      <c r="Q394" s="104"/>
      <c r="R394" s="104"/>
      <c r="S394" s="109"/>
      <c r="T394" s="104"/>
      <c r="U394" s="104"/>
      <c r="V394" s="119"/>
      <c r="W394" s="104"/>
      <c r="X394" s="455"/>
      <c r="Y394" s="104"/>
      <c r="Z394" s="104"/>
      <c r="AA394" s="109"/>
      <c r="AB394" s="104"/>
      <c r="AC394" s="104"/>
      <c r="AD394" s="119"/>
      <c r="AE394" s="104"/>
      <c r="AF394" s="455"/>
      <c r="AG394" s="104"/>
      <c r="AH394" s="104"/>
      <c r="AI394" s="109"/>
      <c r="AJ394" s="104"/>
      <c r="AK394" s="104"/>
      <c r="AL394" s="119"/>
      <c r="AM394" s="104"/>
      <c r="AN394" s="455"/>
      <c r="AO394" s="104"/>
      <c r="AP394" s="104"/>
      <c r="AQ394" s="109"/>
      <c r="AR394" s="104"/>
      <c r="AS394" s="104"/>
      <c r="AT394" s="119"/>
      <c r="AU394" s="104"/>
      <c r="AV394" s="455"/>
      <c r="AW394" s="104"/>
      <c r="AX394" s="104"/>
      <c r="AY394" s="109"/>
      <c r="AZ394" s="104"/>
      <c r="BA394" s="104"/>
      <c r="BB394" s="119"/>
      <c r="BC394" s="104"/>
      <c r="BD394" s="455"/>
      <c r="BE394" s="104"/>
      <c r="BF394" s="104"/>
      <c r="BG394" s="109"/>
      <c r="BH394" s="104"/>
      <c r="BI394" s="104"/>
      <c r="BJ394" s="119"/>
      <c r="BK394" s="104"/>
      <c r="BL394" s="455"/>
      <c r="BM394" s="104"/>
      <c r="BN394" s="104"/>
      <c r="BO394" s="109"/>
      <c r="BP394" s="104"/>
      <c r="BQ394" s="104"/>
      <c r="BR394" s="119"/>
      <c r="BS394" s="104"/>
      <c r="BT394" s="455"/>
      <c r="BU394" s="104"/>
      <c r="BV394" s="104"/>
      <c r="BW394" s="109"/>
      <c r="BX394" s="104"/>
      <c r="BY394" s="104"/>
      <c r="BZ394" s="119"/>
      <c r="CA394" s="104"/>
      <c r="CB394" s="455"/>
      <c r="CC394" s="104"/>
      <c r="CD394" s="104"/>
      <c r="CE394" s="109"/>
      <c r="CF394" s="104"/>
      <c r="CG394" s="104"/>
      <c r="CH394" s="119"/>
      <c r="CI394" s="104"/>
      <c r="CJ394" s="455"/>
      <c r="CK394" s="104"/>
      <c r="CL394" s="104"/>
      <c r="CM394" s="109"/>
      <c r="CN394" s="104"/>
      <c r="CO394" s="104"/>
      <c r="CP394" s="119"/>
      <c r="CQ394" s="104"/>
      <c r="CR394" s="455"/>
      <c r="CS394" s="104"/>
      <c r="CT394" s="104"/>
      <c r="CU394" s="109"/>
      <c r="CV394" s="104"/>
      <c r="CW394" s="104"/>
      <c r="CX394" s="119"/>
      <c r="CY394" s="104"/>
      <c r="CZ394" s="455"/>
      <c r="DA394" s="104"/>
      <c r="DB394" s="104"/>
      <c r="DC394" s="109"/>
      <c r="DD394" s="104"/>
      <c r="DE394" s="104"/>
      <c r="DF394" s="119"/>
      <c r="DG394" s="104"/>
      <c r="DH394" s="455"/>
      <c r="DI394" s="104"/>
      <c r="DJ394" s="104"/>
      <c r="DK394" s="109"/>
      <c r="DL394" s="104"/>
      <c r="DM394" s="104"/>
      <c r="DN394" s="119"/>
      <c r="DO394" s="104"/>
      <c r="DP394" s="455"/>
      <c r="DQ394" s="104"/>
      <c r="DR394" s="104"/>
      <c r="DS394" s="109"/>
      <c r="DT394" s="104"/>
      <c r="DU394" s="104"/>
      <c r="DV394" s="119"/>
      <c r="DW394" s="104"/>
      <c r="DX394" s="455"/>
      <c r="DY394" s="104"/>
      <c r="DZ394" s="104"/>
      <c r="EA394" s="109"/>
      <c r="EB394" s="104"/>
      <c r="EC394" s="104"/>
      <c r="ED394" s="119"/>
      <c r="EE394" s="104"/>
      <c r="EF394" s="455"/>
      <c r="EG394" s="104"/>
      <c r="EH394" s="104"/>
      <c r="EI394" s="109"/>
      <c r="EJ394" s="104"/>
      <c r="EK394" s="104"/>
      <c r="EL394" s="119"/>
      <c r="EM394" s="104"/>
      <c r="EN394" s="455"/>
      <c r="EO394" s="104"/>
      <c r="EP394" s="104"/>
      <c r="EQ394" s="109"/>
      <c r="ER394" s="104"/>
      <c r="ES394" s="104"/>
      <c r="ET394" s="119"/>
      <c r="EU394" s="104"/>
      <c r="EV394" s="455"/>
      <c r="EW394" s="104"/>
      <c r="EX394" s="104"/>
      <c r="EY394" s="109"/>
      <c r="EZ394" s="104"/>
      <c r="FA394" s="104"/>
      <c r="FB394" s="119"/>
      <c r="FC394" s="104"/>
      <c r="FD394" s="455"/>
      <c r="FE394" s="104"/>
      <c r="FF394" s="104"/>
      <c r="FG394" s="109"/>
      <c r="FH394" s="104"/>
      <c r="FI394" s="104"/>
      <c r="FJ394" s="119"/>
      <c r="FK394" s="104"/>
      <c r="FL394" s="455"/>
      <c r="FM394" s="104"/>
      <c r="FN394" s="104"/>
      <c r="FO394" s="109"/>
      <c r="FP394" s="104"/>
      <c r="FQ394" s="104"/>
      <c r="FR394" s="119"/>
      <c r="FS394" s="104"/>
      <c r="FT394" s="455"/>
      <c r="FU394" s="104"/>
      <c r="FV394" s="104"/>
      <c r="FW394" s="109"/>
      <c r="FX394" s="104"/>
      <c r="FY394" s="104"/>
      <c r="FZ394" s="119"/>
      <c r="GA394" s="104"/>
      <c r="GB394" s="455"/>
      <c r="GC394" s="104"/>
      <c r="GD394" s="104"/>
      <c r="GE394" s="109"/>
      <c r="GF394" s="104"/>
      <c r="GG394" s="104"/>
      <c r="GH394" s="119"/>
      <c r="GI394" s="104"/>
      <c r="GJ394" s="455"/>
      <c r="GK394" s="104"/>
      <c r="GL394" s="104"/>
      <c r="GM394" s="109"/>
      <c r="GN394" s="104"/>
      <c r="GO394" s="104"/>
      <c r="GP394" s="119"/>
      <c r="GQ394" s="104"/>
      <c r="GR394" s="455"/>
      <c r="GS394" s="104"/>
      <c r="GT394" s="104"/>
      <c r="GU394" s="109"/>
      <c r="GV394" s="104"/>
      <c r="GW394" s="104"/>
      <c r="GX394" s="119"/>
      <c r="GY394" s="104"/>
      <c r="GZ394" s="455"/>
      <c r="HA394" s="104"/>
      <c r="HB394" s="104"/>
      <c r="HC394" s="109"/>
      <c r="HD394" s="104"/>
      <c r="HE394" s="104"/>
      <c r="HF394" s="119"/>
      <c r="HG394" s="104"/>
      <c r="HH394" s="455"/>
      <c r="HI394" s="104"/>
      <c r="HJ394" s="104"/>
      <c r="HK394" s="109"/>
      <c r="HL394" s="104"/>
      <c r="HM394" s="104"/>
      <c r="HN394" s="119"/>
      <c r="HO394" s="104"/>
      <c r="HP394" s="455"/>
      <c r="HQ394" s="104"/>
      <c r="HR394" s="104"/>
      <c r="HS394" s="109"/>
      <c r="HT394" s="104"/>
      <c r="HU394" s="104"/>
      <c r="HV394" s="119"/>
      <c r="HW394" s="104"/>
      <c r="HX394" s="455"/>
      <c r="HY394" s="104"/>
      <c r="HZ394" s="104"/>
      <c r="IA394" s="109"/>
      <c r="IB394" s="104"/>
      <c r="IC394" s="104"/>
      <c r="ID394" s="119"/>
      <c r="IE394" s="104"/>
      <c r="IF394" s="455"/>
      <c r="IG394" s="104"/>
      <c r="IH394" s="104"/>
      <c r="II394" s="109"/>
      <c r="IJ394" s="104"/>
      <c r="IK394" s="104"/>
      <c r="IL394" s="119"/>
      <c r="IM394" s="104"/>
      <c r="IN394" s="455"/>
      <c r="IO394" s="104"/>
      <c r="IP394" s="104"/>
      <c r="IQ394" s="109"/>
      <c r="IR394" s="104"/>
      <c r="IS394" s="104"/>
      <c r="IT394" s="119"/>
      <c r="IU394" s="104"/>
      <c r="IV394" s="455"/>
      <c r="IW394" s="104"/>
      <c r="IX394" s="104"/>
      <c r="IY394" s="109"/>
      <c r="IZ394" s="104"/>
      <c r="JA394" s="104"/>
      <c r="JB394" s="119"/>
      <c r="JC394" s="104"/>
      <c r="JD394" s="455"/>
      <c r="JE394" s="104"/>
      <c r="JF394" s="104"/>
      <c r="JG394" s="109"/>
      <c r="JH394" s="104"/>
      <c r="JI394" s="104"/>
      <c r="JJ394" s="119"/>
      <c r="JK394" s="104"/>
      <c r="JL394" s="455"/>
      <c r="JM394" s="104"/>
      <c r="JN394" s="104"/>
      <c r="JO394" s="109"/>
      <c r="JP394" s="104"/>
      <c r="JQ394" s="104"/>
      <c r="JR394" s="119"/>
      <c r="JS394" s="104"/>
      <c r="JT394" s="455"/>
      <c r="JU394" s="104"/>
      <c r="JV394" s="104"/>
      <c r="JW394" s="109"/>
      <c r="JX394" s="104"/>
      <c r="JY394" s="104"/>
      <c r="JZ394" s="119"/>
      <c r="KA394" s="104"/>
      <c r="KB394" s="455"/>
      <c r="KC394" s="104"/>
      <c r="KD394" s="104"/>
      <c r="KE394" s="109"/>
      <c r="KF394" s="104"/>
      <c r="KG394" s="104"/>
      <c r="KH394" s="119"/>
      <c r="KI394" s="104"/>
      <c r="KJ394" s="455"/>
      <c r="KK394" s="104"/>
      <c r="KL394" s="104"/>
      <c r="KM394" s="109"/>
      <c r="KN394" s="104"/>
      <c r="KO394" s="104"/>
      <c r="KP394" s="119"/>
      <c r="KQ394" s="104"/>
      <c r="KR394" s="455"/>
      <c r="KS394" s="104"/>
      <c r="KT394" s="104"/>
      <c r="KU394" s="109"/>
      <c r="KV394" s="104"/>
      <c r="KW394" s="104"/>
      <c r="KX394" s="119"/>
      <c r="KY394" s="104"/>
      <c r="KZ394" s="455"/>
      <c r="LA394" s="104"/>
      <c r="LB394" s="104"/>
      <c r="LC394" s="109"/>
      <c r="LD394" s="104"/>
      <c r="LE394" s="104"/>
      <c r="LF394" s="119"/>
      <c r="LG394" s="104"/>
      <c r="LH394" s="455"/>
      <c r="LI394" s="104"/>
      <c r="LJ394" s="104"/>
      <c r="LK394" s="109"/>
      <c r="LL394" s="104"/>
      <c r="LM394" s="104"/>
      <c r="LN394" s="119"/>
      <c r="LO394" s="104"/>
      <c r="LP394" s="455"/>
      <c r="LQ394" s="104"/>
      <c r="LR394" s="104"/>
      <c r="LS394" s="109"/>
      <c r="LT394" s="104"/>
      <c r="LU394" s="104"/>
      <c r="LV394" s="119"/>
      <c r="LW394" s="104"/>
      <c r="LX394" s="455"/>
      <c r="LY394" s="104"/>
      <c r="LZ394" s="104"/>
      <c r="MA394" s="109"/>
      <c r="MB394" s="104"/>
      <c r="MC394" s="104"/>
      <c r="MD394" s="119"/>
      <c r="ME394" s="104"/>
      <c r="MF394" s="455"/>
      <c r="MG394" s="104"/>
      <c r="MH394" s="104"/>
      <c r="MI394" s="109"/>
      <c r="MJ394" s="104"/>
      <c r="MK394" s="104"/>
      <c r="ML394" s="119"/>
      <c r="MM394" s="104"/>
      <c r="MN394" s="455"/>
      <c r="MO394" s="104"/>
      <c r="MP394" s="104"/>
      <c r="MQ394" s="109"/>
      <c r="MR394" s="104"/>
      <c r="MS394" s="104"/>
      <c r="MT394" s="119"/>
      <c r="MU394" s="104"/>
      <c r="MV394" s="455"/>
      <c r="MW394" s="104"/>
      <c r="MX394" s="104"/>
      <c r="MY394" s="109"/>
      <c r="MZ394" s="104"/>
      <c r="NA394" s="104"/>
      <c r="NB394" s="119"/>
      <c r="NC394" s="104"/>
      <c r="ND394" s="455"/>
      <c r="NE394" s="104"/>
      <c r="NF394" s="104"/>
      <c r="NG394" s="109"/>
      <c r="NH394" s="104"/>
      <c r="NI394" s="104"/>
      <c r="NJ394" s="119"/>
      <c r="NK394" s="104"/>
      <c r="NL394" s="455"/>
      <c r="NM394" s="104"/>
      <c r="NN394" s="104"/>
      <c r="NO394" s="109"/>
      <c r="NP394" s="104"/>
      <c r="NQ394" s="104"/>
      <c r="NR394" s="119"/>
      <c r="NS394" s="104"/>
      <c r="NT394" s="455"/>
      <c r="NU394" s="104"/>
      <c r="NV394" s="104"/>
      <c r="NW394" s="109"/>
      <c r="NX394" s="104"/>
      <c r="NY394" s="104"/>
      <c r="NZ394" s="119"/>
      <c r="OA394" s="104"/>
      <c r="OB394" s="455"/>
      <c r="OC394" s="104"/>
      <c r="OD394" s="104"/>
      <c r="OE394" s="109"/>
      <c r="OF394" s="104"/>
      <c r="OG394" s="104"/>
      <c r="OH394" s="119"/>
      <c r="OI394" s="104"/>
      <c r="OJ394" s="455"/>
      <c r="OK394" s="104"/>
      <c r="OL394" s="104"/>
      <c r="OM394" s="109"/>
      <c r="ON394" s="104"/>
      <c r="OO394" s="104"/>
      <c r="OP394" s="119"/>
      <c r="OQ394" s="104"/>
      <c r="OR394" s="455"/>
      <c r="OS394" s="104"/>
      <c r="OT394" s="104"/>
      <c r="OU394" s="109"/>
      <c r="OV394" s="104"/>
      <c r="OW394" s="104"/>
      <c r="OX394" s="119"/>
      <c r="OY394" s="104"/>
      <c r="OZ394" s="455"/>
      <c r="PA394" s="104"/>
      <c r="PB394" s="104"/>
      <c r="PC394" s="109"/>
      <c r="PD394" s="104"/>
      <c r="PE394" s="104"/>
      <c r="PF394" s="119"/>
      <c r="PG394" s="104"/>
      <c r="PH394" s="455"/>
      <c r="PI394" s="104"/>
      <c r="PJ394" s="104"/>
      <c r="PK394" s="109"/>
      <c r="PL394" s="104"/>
      <c r="PM394" s="104"/>
      <c r="PN394" s="119"/>
      <c r="PO394" s="104"/>
      <c r="PP394" s="455"/>
      <c r="PQ394" s="104"/>
      <c r="PR394" s="104"/>
      <c r="PS394" s="109"/>
      <c r="PT394" s="104"/>
      <c r="PU394" s="104"/>
      <c r="PV394" s="119"/>
      <c r="PW394" s="104"/>
      <c r="PX394" s="455"/>
      <c r="PY394" s="104"/>
      <c r="PZ394" s="104"/>
      <c r="QA394" s="109"/>
      <c r="QB394" s="104"/>
      <c r="QC394" s="104"/>
      <c r="QD394" s="119"/>
      <c r="QE394" s="104"/>
      <c r="QF394" s="455"/>
      <c r="QG394" s="104"/>
      <c r="QH394" s="104"/>
      <c r="QI394" s="109"/>
      <c r="QJ394" s="104"/>
      <c r="QK394" s="104"/>
      <c r="QL394" s="119"/>
      <c r="QM394" s="104"/>
      <c r="QN394" s="455"/>
      <c r="QO394" s="104"/>
      <c r="QP394" s="104"/>
      <c r="QQ394" s="109"/>
      <c r="QR394" s="104"/>
      <c r="QS394" s="104"/>
      <c r="QT394" s="119"/>
      <c r="QU394" s="104"/>
      <c r="QV394" s="455"/>
      <c r="QW394" s="104"/>
      <c r="QX394" s="104"/>
      <c r="QY394" s="109"/>
      <c r="QZ394" s="104"/>
      <c r="RA394" s="104"/>
      <c r="RB394" s="119"/>
      <c r="RC394" s="104"/>
      <c r="RD394" s="455"/>
      <c r="RE394" s="104"/>
      <c r="RF394" s="104"/>
      <c r="RG394" s="109"/>
      <c r="RH394" s="104"/>
      <c r="RI394" s="104"/>
      <c r="RJ394" s="119"/>
      <c r="RK394" s="104"/>
      <c r="RL394" s="455"/>
      <c r="RM394" s="104"/>
      <c r="RN394" s="104"/>
      <c r="RO394" s="109"/>
      <c r="RP394" s="104"/>
      <c r="RQ394" s="104"/>
      <c r="RR394" s="119"/>
      <c r="RS394" s="104"/>
      <c r="RT394" s="455"/>
      <c r="RU394" s="104"/>
      <c r="RV394" s="104"/>
      <c r="RW394" s="109"/>
      <c r="RX394" s="104"/>
      <c r="RY394" s="104"/>
      <c r="RZ394" s="119"/>
      <c r="SA394" s="104"/>
      <c r="SB394" s="455"/>
      <c r="SC394" s="104"/>
      <c r="SD394" s="104"/>
      <c r="SE394" s="109"/>
      <c r="SF394" s="104"/>
      <c r="SG394" s="104"/>
      <c r="SH394" s="119"/>
      <c r="SI394" s="104"/>
      <c r="SJ394" s="455"/>
      <c r="SK394" s="104"/>
      <c r="SL394" s="104"/>
      <c r="SM394" s="109"/>
      <c r="SN394" s="104"/>
      <c r="SO394" s="104"/>
      <c r="SP394" s="119"/>
      <c r="SQ394" s="104"/>
      <c r="SR394" s="455"/>
      <c r="SS394" s="104"/>
      <c r="ST394" s="104"/>
      <c r="SU394" s="109"/>
      <c r="SV394" s="104"/>
      <c r="SW394" s="104"/>
      <c r="SX394" s="119"/>
      <c r="SY394" s="104"/>
      <c r="SZ394" s="455"/>
      <c r="TA394" s="104"/>
      <c r="TB394" s="104"/>
      <c r="TC394" s="109"/>
      <c r="TD394" s="104"/>
      <c r="TE394" s="104"/>
      <c r="TF394" s="119"/>
      <c r="TG394" s="104"/>
      <c r="TH394" s="455"/>
      <c r="TI394" s="104"/>
      <c r="TJ394" s="104"/>
      <c r="TK394" s="109"/>
      <c r="TL394" s="104"/>
      <c r="TM394" s="104"/>
      <c r="TN394" s="119"/>
      <c r="TO394" s="104"/>
      <c r="TP394" s="455"/>
      <c r="TQ394" s="104"/>
      <c r="TR394" s="104"/>
      <c r="TS394" s="109"/>
      <c r="TT394" s="104"/>
      <c r="TU394" s="104"/>
      <c r="TV394" s="119"/>
      <c r="TW394" s="104"/>
      <c r="TX394" s="455"/>
      <c r="TY394" s="104"/>
      <c r="TZ394" s="104"/>
      <c r="UA394" s="109"/>
      <c r="UB394" s="104"/>
      <c r="UC394" s="104"/>
      <c r="UD394" s="119"/>
      <c r="UE394" s="104"/>
      <c r="UF394" s="455"/>
      <c r="UG394" s="104"/>
      <c r="UH394" s="104"/>
      <c r="UI394" s="109"/>
      <c r="UJ394" s="104"/>
      <c r="UK394" s="104"/>
      <c r="UL394" s="119"/>
      <c r="UM394" s="104"/>
      <c r="UN394" s="455"/>
      <c r="UO394" s="104"/>
      <c r="UP394" s="104"/>
      <c r="UQ394" s="109"/>
      <c r="UR394" s="104"/>
      <c r="US394" s="104"/>
      <c r="UT394" s="119"/>
      <c r="UU394" s="104"/>
      <c r="UV394" s="455"/>
      <c r="UW394" s="104"/>
      <c r="UX394" s="104"/>
      <c r="UY394" s="109"/>
      <c r="UZ394" s="104"/>
      <c r="VA394" s="104"/>
      <c r="VB394" s="119"/>
      <c r="VC394" s="104"/>
      <c r="VD394" s="455"/>
      <c r="VE394" s="104"/>
      <c r="VF394" s="104"/>
      <c r="VG394" s="109"/>
      <c r="VH394" s="104"/>
      <c r="VI394" s="104"/>
      <c r="VJ394" s="119"/>
      <c r="VK394" s="104"/>
      <c r="VL394" s="455"/>
      <c r="VM394" s="104"/>
      <c r="VN394" s="104"/>
      <c r="VO394" s="109"/>
      <c r="VP394" s="104"/>
      <c r="VQ394" s="104"/>
      <c r="VR394" s="119"/>
      <c r="VS394" s="104"/>
      <c r="VT394" s="455"/>
      <c r="VU394" s="104"/>
      <c r="VV394" s="104"/>
      <c r="VW394" s="109"/>
      <c r="VX394" s="104"/>
      <c r="VY394" s="104"/>
      <c r="VZ394" s="119"/>
      <c r="WA394" s="104"/>
      <c r="WB394" s="455"/>
      <c r="WC394" s="104"/>
      <c r="WD394" s="104"/>
      <c r="WE394" s="109"/>
      <c r="WF394" s="104"/>
      <c r="WG394" s="104"/>
      <c r="WH394" s="119"/>
      <c r="WI394" s="104"/>
      <c r="WJ394" s="455"/>
      <c r="WK394" s="104"/>
      <c r="WL394" s="104"/>
      <c r="WM394" s="109"/>
      <c r="WN394" s="104"/>
      <c r="WO394" s="104"/>
      <c r="WP394" s="119"/>
      <c r="WQ394" s="104"/>
      <c r="WR394" s="455"/>
      <c r="WS394" s="104"/>
      <c r="WT394" s="104"/>
      <c r="WU394" s="109"/>
      <c r="WV394" s="104"/>
      <c r="WW394" s="104"/>
      <c r="WX394" s="119"/>
      <c r="WY394" s="104"/>
      <c r="WZ394" s="455"/>
      <c r="XA394" s="104"/>
      <c r="XB394" s="104"/>
      <c r="XC394" s="109"/>
      <c r="XD394" s="104"/>
      <c r="XE394" s="104"/>
      <c r="XF394" s="119"/>
      <c r="XG394" s="104"/>
      <c r="XH394" s="455"/>
      <c r="XI394" s="104"/>
      <c r="XJ394" s="104"/>
      <c r="XK394" s="109"/>
      <c r="XL394" s="104"/>
      <c r="XM394" s="104"/>
      <c r="XN394" s="119"/>
      <c r="XO394" s="104"/>
      <c r="XP394" s="455"/>
      <c r="XQ394" s="104"/>
      <c r="XR394" s="104"/>
      <c r="XS394" s="109"/>
      <c r="XT394" s="104"/>
      <c r="XU394" s="104"/>
      <c r="XV394" s="119"/>
      <c r="XW394" s="104"/>
      <c r="XX394" s="455"/>
      <c r="XY394" s="104"/>
      <c r="XZ394" s="104"/>
      <c r="YA394" s="109"/>
      <c r="YB394" s="104"/>
      <c r="YC394" s="104"/>
      <c r="YD394" s="119"/>
      <c r="YE394" s="104"/>
      <c r="YF394" s="455"/>
      <c r="YG394" s="104"/>
      <c r="YH394" s="104"/>
      <c r="YI394" s="109"/>
      <c r="YJ394" s="104"/>
      <c r="YK394" s="104"/>
      <c r="YL394" s="119"/>
      <c r="YM394" s="104"/>
      <c r="YN394" s="455"/>
      <c r="YO394" s="104"/>
      <c r="YP394" s="104"/>
      <c r="YQ394" s="109"/>
      <c r="YR394" s="104"/>
      <c r="YS394" s="104"/>
      <c r="YT394" s="119"/>
      <c r="YU394" s="104"/>
      <c r="YV394" s="455"/>
      <c r="YW394" s="104"/>
      <c r="YX394" s="104"/>
      <c r="YY394" s="109"/>
      <c r="YZ394" s="104"/>
      <c r="ZA394" s="104"/>
      <c r="ZB394" s="119"/>
      <c r="ZC394" s="104"/>
      <c r="ZD394" s="455"/>
      <c r="ZE394" s="104"/>
      <c r="ZF394" s="104"/>
      <c r="ZG394" s="109"/>
      <c r="ZH394" s="104"/>
      <c r="ZI394" s="104"/>
      <c r="ZJ394" s="119"/>
      <c r="ZK394" s="104"/>
      <c r="ZL394" s="455"/>
      <c r="ZM394" s="104"/>
      <c r="ZN394" s="104"/>
      <c r="ZO394" s="109"/>
      <c r="ZP394" s="104"/>
      <c r="ZQ394" s="104"/>
      <c r="ZR394" s="119"/>
      <c r="ZS394" s="104"/>
      <c r="ZT394" s="455"/>
      <c r="ZU394" s="104"/>
      <c r="ZV394" s="104"/>
      <c r="ZW394" s="109"/>
      <c r="ZX394" s="104"/>
      <c r="ZY394" s="104"/>
      <c r="ZZ394" s="119"/>
      <c r="AAA394" s="104"/>
      <c r="AAB394" s="455"/>
      <c r="AAC394" s="104"/>
      <c r="AAD394" s="104"/>
      <c r="AAE394" s="109"/>
      <c r="AAF394" s="104"/>
      <c r="AAG394" s="104"/>
      <c r="AAH394" s="119"/>
      <c r="AAI394" s="104"/>
      <c r="AAJ394" s="455"/>
      <c r="AAK394" s="104"/>
      <c r="AAL394" s="104"/>
      <c r="AAM394" s="109"/>
      <c r="AAN394" s="104"/>
      <c r="AAO394" s="104"/>
      <c r="AAP394" s="119"/>
      <c r="AAQ394" s="104"/>
      <c r="AAR394" s="455"/>
      <c r="AAS394" s="104"/>
      <c r="AAT394" s="104"/>
      <c r="AAU394" s="109"/>
      <c r="AAV394" s="104"/>
      <c r="AAW394" s="104"/>
      <c r="AAX394" s="119"/>
      <c r="AAY394" s="104"/>
      <c r="AAZ394" s="455"/>
      <c r="ABA394" s="104"/>
      <c r="ABB394" s="104"/>
      <c r="ABC394" s="109"/>
      <c r="ABD394" s="104"/>
      <c r="ABE394" s="104"/>
      <c r="ABF394" s="119"/>
      <c r="ABG394" s="104"/>
      <c r="ABH394" s="455"/>
      <c r="ABI394" s="104"/>
      <c r="ABJ394" s="104"/>
      <c r="ABK394" s="109"/>
      <c r="ABL394" s="104"/>
      <c r="ABM394" s="104"/>
      <c r="ABN394" s="119"/>
      <c r="ABO394" s="104"/>
      <c r="ABP394" s="455"/>
      <c r="ABQ394" s="104"/>
      <c r="ABR394" s="104"/>
      <c r="ABS394" s="109"/>
      <c r="ABT394" s="104"/>
      <c r="ABU394" s="104"/>
      <c r="ABV394" s="119"/>
      <c r="ABW394" s="104"/>
      <c r="ABX394" s="455"/>
      <c r="ABY394" s="104"/>
      <c r="ABZ394" s="104"/>
      <c r="ACA394" s="109"/>
      <c r="ACB394" s="104"/>
      <c r="ACC394" s="104"/>
      <c r="ACD394" s="119"/>
      <c r="ACE394" s="104"/>
      <c r="ACF394" s="455"/>
      <c r="ACG394" s="104"/>
      <c r="ACH394" s="104"/>
      <c r="ACI394" s="109"/>
      <c r="ACJ394" s="104"/>
      <c r="ACK394" s="104"/>
      <c r="ACL394" s="119"/>
      <c r="ACM394" s="104"/>
      <c r="ACN394" s="455"/>
      <c r="ACO394" s="104"/>
      <c r="ACP394" s="104"/>
      <c r="ACQ394" s="109"/>
      <c r="ACR394" s="104"/>
      <c r="ACS394" s="104"/>
      <c r="ACT394" s="119"/>
      <c r="ACU394" s="104"/>
      <c r="ACV394" s="455"/>
      <c r="ACW394" s="104"/>
      <c r="ACX394" s="104"/>
      <c r="ACY394" s="109"/>
      <c r="ACZ394" s="104"/>
      <c r="ADA394" s="104"/>
      <c r="ADB394" s="119"/>
      <c r="ADC394" s="104"/>
      <c r="ADD394" s="455"/>
      <c r="ADE394" s="104"/>
      <c r="ADF394" s="104"/>
      <c r="ADG394" s="109"/>
      <c r="ADH394" s="104"/>
      <c r="ADI394" s="104"/>
      <c r="ADJ394" s="119"/>
      <c r="ADK394" s="104"/>
      <c r="ADL394" s="455"/>
      <c r="ADM394" s="104"/>
      <c r="ADN394" s="104"/>
      <c r="ADO394" s="109"/>
      <c r="ADP394" s="104"/>
      <c r="ADQ394" s="104"/>
      <c r="ADR394" s="119"/>
      <c r="ADS394" s="104"/>
      <c r="ADT394" s="455"/>
      <c r="ADU394" s="104"/>
      <c r="ADV394" s="104"/>
      <c r="ADW394" s="109"/>
      <c r="ADX394" s="104"/>
      <c r="ADY394" s="104"/>
      <c r="ADZ394" s="119"/>
      <c r="AEA394" s="104"/>
      <c r="AEB394" s="455"/>
      <c r="AEC394" s="104"/>
      <c r="AED394" s="104"/>
      <c r="AEE394" s="109"/>
      <c r="AEF394" s="104"/>
      <c r="AEG394" s="104"/>
      <c r="AEH394" s="119"/>
      <c r="AEI394" s="104"/>
      <c r="AEJ394" s="455"/>
      <c r="AEK394" s="104"/>
      <c r="AEL394" s="104"/>
      <c r="AEM394" s="109"/>
      <c r="AEN394" s="104"/>
      <c r="AEO394" s="104"/>
      <c r="AEP394" s="119"/>
      <c r="AEQ394" s="104"/>
      <c r="AER394" s="455"/>
      <c r="AES394" s="104"/>
      <c r="AET394" s="104"/>
      <c r="AEU394" s="109"/>
      <c r="AEV394" s="104"/>
      <c r="AEW394" s="104"/>
      <c r="AEX394" s="119"/>
      <c r="AEY394" s="104"/>
      <c r="AEZ394" s="455"/>
      <c r="AFA394" s="104"/>
      <c r="AFB394" s="104"/>
      <c r="AFC394" s="109"/>
      <c r="AFD394" s="104"/>
      <c r="AFE394" s="104"/>
      <c r="AFF394" s="119"/>
      <c r="AFG394" s="104"/>
      <c r="AFH394" s="455"/>
      <c r="AFI394" s="104"/>
      <c r="AFJ394" s="104"/>
      <c r="AFK394" s="109"/>
      <c r="AFL394" s="104"/>
      <c r="AFM394" s="104"/>
      <c r="AFN394" s="119"/>
      <c r="AFO394" s="104"/>
      <c r="AFP394" s="455"/>
      <c r="AFQ394" s="104"/>
      <c r="AFR394" s="104"/>
      <c r="AFS394" s="109"/>
      <c r="AFT394" s="104"/>
      <c r="AFU394" s="104"/>
      <c r="AFV394" s="119"/>
      <c r="AFW394" s="104"/>
      <c r="AFX394" s="455"/>
      <c r="AFY394" s="104"/>
      <c r="AFZ394" s="104"/>
      <c r="AGA394" s="109"/>
      <c r="AGB394" s="104"/>
      <c r="AGC394" s="104"/>
      <c r="AGD394" s="119"/>
      <c r="AGE394" s="104"/>
      <c r="AGF394" s="455"/>
      <c r="AGG394" s="104"/>
      <c r="AGH394" s="104"/>
      <c r="AGI394" s="109"/>
      <c r="AGJ394" s="104"/>
      <c r="AGK394" s="104"/>
      <c r="AGL394" s="119"/>
      <c r="AGM394" s="104"/>
      <c r="AGN394" s="455"/>
      <c r="AGO394" s="104"/>
      <c r="AGP394" s="104"/>
      <c r="AGQ394" s="109"/>
      <c r="AGR394" s="104"/>
      <c r="AGS394" s="104"/>
      <c r="AGT394" s="119"/>
      <c r="AGU394" s="104"/>
      <c r="AGV394" s="455"/>
      <c r="AGW394" s="104"/>
      <c r="AGX394" s="104"/>
      <c r="AGY394" s="109"/>
      <c r="AGZ394" s="104"/>
      <c r="AHA394" s="104"/>
      <c r="AHB394" s="119"/>
      <c r="AHC394" s="104"/>
      <c r="AHD394" s="455"/>
      <c r="AHE394" s="104"/>
      <c r="AHF394" s="104"/>
      <c r="AHG394" s="109"/>
      <c r="AHH394" s="104"/>
      <c r="AHI394" s="104"/>
      <c r="AHJ394" s="119"/>
      <c r="AHK394" s="104"/>
      <c r="AHL394" s="455"/>
      <c r="AHM394" s="104"/>
      <c r="AHN394" s="104"/>
      <c r="AHO394" s="109"/>
      <c r="AHP394" s="104"/>
      <c r="AHQ394" s="104"/>
      <c r="AHR394" s="119"/>
      <c r="AHS394" s="104"/>
      <c r="AHT394" s="455"/>
      <c r="AHU394" s="104"/>
      <c r="AHV394" s="104"/>
      <c r="AHW394" s="109"/>
      <c r="AHX394" s="104"/>
      <c r="AHY394" s="104"/>
      <c r="AHZ394" s="119"/>
      <c r="AIA394" s="104"/>
      <c r="AIB394" s="455"/>
      <c r="AIC394" s="104"/>
      <c r="AID394" s="104"/>
      <c r="AIE394" s="109"/>
      <c r="AIF394" s="104"/>
      <c r="AIG394" s="104"/>
      <c r="AIH394" s="119"/>
      <c r="AII394" s="104"/>
      <c r="AIJ394" s="455"/>
      <c r="AIK394" s="104"/>
      <c r="AIL394" s="104"/>
      <c r="AIM394" s="109"/>
      <c r="AIN394" s="104"/>
      <c r="AIO394" s="104"/>
      <c r="AIP394" s="119"/>
      <c r="AIQ394" s="104"/>
      <c r="AIR394" s="455"/>
      <c r="AIS394" s="104"/>
      <c r="AIT394" s="104"/>
      <c r="AIU394" s="109"/>
      <c r="AIV394" s="104"/>
      <c r="AIW394" s="104"/>
      <c r="AIX394" s="119"/>
      <c r="AIY394" s="104"/>
      <c r="AIZ394" s="455"/>
      <c r="AJA394" s="104"/>
      <c r="AJB394" s="104"/>
      <c r="AJC394" s="109"/>
      <c r="AJD394" s="104"/>
      <c r="AJE394" s="104"/>
      <c r="AJF394" s="119"/>
      <c r="AJG394" s="104"/>
      <c r="AJH394" s="455"/>
      <c r="AJI394" s="104"/>
      <c r="AJJ394" s="104"/>
      <c r="AJK394" s="109"/>
      <c r="AJL394" s="104"/>
      <c r="AJM394" s="104"/>
      <c r="AJN394" s="119"/>
      <c r="AJO394" s="104"/>
      <c r="AJP394" s="455"/>
      <c r="AJQ394" s="104"/>
      <c r="AJR394" s="104"/>
      <c r="AJS394" s="109"/>
      <c r="AJT394" s="104"/>
      <c r="AJU394" s="104"/>
      <c r="AJV394" s="119"/>
      <c r="AJW394" s="104"/>
      <c r="AJX394" s="455"/>
      <c r="AJY394" s="104"/>
      <c r="AJZ394" s="104"/>
      <c r="AKA394" s="109"/>
      <c r="AKB394" s="104"/>
      <c r="AKC394" s="104"/>
      <c r="AKD394" s="119"/>
      <c r="AKE394" s="104"/>
      <c r="AKF394" s="455"/>
      <c r="AKG394" s="104"/>
      <c r="AKH394" s="104"/>
      <c r="AKI394" s="109"/>
      <c r="AKJ394" s="104"/>
      <c r="AKK394" s="104"/>
      <c r="AKL394" s="119"/>
      <c r="AKM394" s="104"/>
      <c r="AKN394" s="455"/>
      <c r="AKO394" s="104"/>
      <c r="AKP394" s="104"/>
      <c r="AKQ394" s="109"/>
      <c r="AKR394" s="104"/>
      <c r="AKS394" s="104"/>
      <c r="AKT394" s="119"/>
      <c r="AKU394" s="104"/>
      <c r="AKV394" s="455"/>
      <c r="AKW394" s="104"/>
      <c r="AKX394" s="104"/>
      <c r="AKY394" s="109"/>
      <c r="AKZ394" s="104"/>
      <c r="ALA394" s="104"/>
      <c r="ALB394" s="119"/>
      <c r="ALC394" s="104"/>
      <c r="ALD394" s="455"/>
      <c r="ALE394" s="104"/>
      <c r="ALF394" s="104"/>
      <c r="ALG394" s="109"/>
      <c r="ALH394" s="104"/>
      <c r="ALI394" s="104"/>
      <c r="ALJ394" s="119"/>
      <c r="ALK394" s="104"/>
      <c r="ALL394" s="455"/>
      <c r="ALM394" s="104"/>
      <c r="ALN394" s="104"/>
      <c r="ALO394" s="109"/>
      <c r="ALP394" s="104"/>
      <c r="ALQ394" s="104"/>
      <c r="ALR394" s="119"/>
      <c r="ALS394" s="104"/>
      <c r="ALT394" s="455"/>
      <c r="ALU394" s="104"/>
      <c r="ALV394" s="104"/>
      <c r="ALW394" s="109"/>
      <c r="ALX394" s="104"/>
      <c r="ALY394" s="104"/>
      <c r="ALZ394" s="119"/>
      <c r="AMA394" s="104"/>
      <c r="AMB394" s="455"/>
      <c r="AMC394" s="104"/>
      <c r="AMD394" s="104"/>
      <c r="AME394" s="109"/>
      <c r="AMF394" s="104"/>
      <c r="AMG394" s="104"/>
      <c r="AMH394" s="119"/>
      <c r="AMI394" s="104"/>
      <c r="AMJ394" s="455"/>
      <c r="AMK394" s="104"/>
      <c r="AML394" s="104"/>
      <c r="AMM394" s="109"/>
      <c r="AMN394" s="104"/>
      <c r="AMO394" s="104"/>
      <c r="AMP394" s="119"/>
      <c r="AMQ394" s="104"/>
      <c r="AMR394" s="455"/>
      <c r="AMS394" s="104"/>
      <c r="AMT394" s="104"/>
      <c r="AMU394" s="109"/>
      <c r="AMV394" s="104"/>
      <c r="AMW394" s="104"/>
      <c r="AMX394" s="119"/>
      <c r="AMY394" s="104"/>
      <c r="AMZ394" s="455"/>
      <c r="ANA394" s="104"/>
      <c r="ANB394" s="104"/>
      <c r="ANC394" s="109"/>
      <c r="AND394" s="104"/>
      <c r="ANE394" s="104"/>
      <c r="ANF394" s="119"/>
      <c r="ANG394" s="104"/>
      <c r="ANH394" s="455"/>
      <c r="ANI394" s="104"/>
      <c r="ANJ394" s="104"/>
      <c r="ANK394" s="109"/>
      <c r="ANL394" s="104"/>
      <c r="ANM394" s="104"/>
      <c r="ANN394" s="119"/>
      <c r="ANO394" s="104"/>
      <c r="ANP394" s="455"/>
      <c r="ANQ394" s="104"/>
      <c r="ANR394" s="104"/>
      <c r="ANS394" s="109"/>
      <c r="ANT394" s="104"/>
      <c r="ANU394" s="104"/>
      <c r="ANV394" s="119"/>
      <c r="ANW394" s="104"/>
      <c r="ANX394" s="455"/>
      <c r="ANY394" s="104"/>
      <c r="ANZ394" s="104"/>
      <c r="AOA394" s="109"/>
      <c r="AOB394" s="104"/>
      <c r="AOC394" s="104"/>
      <c r="AOD394" s="119"/>
      <c r="AOE394" s="104"/>
      <c r="AOF394" s="455"/>
      <c r="AOG394" s="104"/>
      <c r="AOH394" s="104"/>
      <c r="AOI394" s="109"/>
      <c r="AOJ394" s="104"/>
      <c r="AOK394" s="104"/>
      <c r="AOL394" s="119"/>
      <c r="AOM394" s="104"/>
      <c r="AON394" s="455"/>
      <c r="AOO394" s="104"/>
      <c r="AOP394" s="104"/>
      <c r="AOQ394" s="109"/>
      <c r="AOR394" s="104"/>
      <c r="AOS394" s="104"/>
      <c r="AOT394" s="119"/>
      <c r="AOU394" s="104"/>
      <c r="AOV394" s="455"/>
      <c r="AOW394" s="104"/>
      <c r="AOX394" s="104"/>
      <c r="AOY394" s="109"/>
      <c r="AOZ394" s="104"/>
      <c r="APA394" s="104"/>
      <c r="APB394" s="119"/>
      <c r="APC394" s="104"/>
      <c r="APD394" s="455"/>
      <c r="APE394" s="104"/>
      <c r="APF394" s="104"/>
      <c r="APG394" s="109"/>
      <c r="APH394" s="104"/>
      <c r="API394" s="104"/>
      <c r="APJ394" s="119"/>
      <c r="APK394" s="104"/>
      <c r="APL394" s="455"/>
      <c r="APM394" s="104"/>
      <c r="APN394" s="104"/>
      <c r="APO394" s="109"/>
      <c r="APP394" s="104"/>
      <c r="APQ394" s="104"/>
      <c r="APR394" s="119"/>
      <c r="APS394" s="104"/>
      <c r="APT394" s="455"/>
      <c r="APU394" s="104"/>
      <c r="APV394" s="104"/>
      <c r="APW394" s="109"/>
      <c r="APX394" s="104"/>
      <c r="APY394" s="104"/>
      <c r="APZ394" s="119"/>
      <c r="AQA394" s="104"/>
      <c r="AQB394" s="455"/>
      <c r="AQC394" s="104"/>
      <c r="AQD394" s="104"/>
      <c r="AQE394" s="109"/>
      <c r="AQF394" s="104"/>
      <c r="AQG394" s="104"/>
      <c r="AQH394" s="119"/>
      <c r="AQI394" s="104"/>
      <c r="AQJ394" s="455"/>
      <c r="AQK394" s="104"/>
      <c r="AQL394" s="104"/>
      <c r="AQM394" s="109"/>
      <c r="AQN394" s="104"/>
      <c r="AQO394" s="104"/>
      <c r="AQP394" s="119"/>
      <c r="AQQ394" s="104"/>
      <c r="AQR394" s="455"/>
      <c r="AQS394" s="104"/>
      <c r="AQT394" s="104"/>
      <c r="AQU394" s="109"/>
      <c r="AQV394" s="104"/>
      <c r="AQW394" s="104"/>
      <c r="AQX394" s="119"/>
      <c r="AQY394" s="104"/>
      <c r="AQZ394" s="455"/>
      <c r="ARA394" s="104"/>
      <c r="ARB394" s="104"/>
      <c r="ARC394" s="109"/>
      <c r="ARD394" s="104"/>
      <c r="ARE394" s="104"/>
      <c r="ARF394" s="119"/>
      <c r="ARG394" s="104"/>
      <c r="ARH394" s="455"/>
      <c r="ARI394" s="104"/>
      <c r="ARJ394" s="104"/>
      <c r="ARK394" s="109"/>
      <c r="ARL394" s="104"/>
      <c r="ARM394" s="104"/>
      <c r="ARN394" s="119"/>
      <c r="ARO394" s="104"/>
      <c r="ARP394" s="455"/>
      <c r="ARQ394" s="104"/>
      <c r="ARR394" s="104"/>
      <c r="ARS394" s="109"/>
      <c r="ART394" s="104"/>
      <c r="ARU394" s="104"/>
      <c r="ARV394" s="119"/>
      <c r="ARW394" s="104"/>
      <c r="ARX394" s="455"/>
      <c r="ARY394" s="104"/>
      <c r="ARZ394" s="104"/>
      <c r="ASA394" s="109"/>
      <c r="ASB394" s="104"/>
      <c r="ASC394" s="104"/>
      <c r="ASD394" s="119"/>
      <c r="ASE394" s="104"/>
      <c r="ASF394" s="455"/>
      <c r="ASG394" s="104"/>
      <c r="ASH394" s="104"/>
      <c r="ASI394" s="109"/>
      <c r="ASJ394" s="104"/>
      <c r="ASK394" s="104"/>
      <c r="ASL394" s="119"/>
      <c r="ASM394" s="104"/>
      <c r="ASN394" s="455"/>
      <c r="ASO394" s="104"/>
      <c r="ASP394" s="104"/>
      <c r="ASQ394" s="109"/>
      <c r="ASR394" s="104"/>
      <c r="ASS394" s="104"/>
      <c r="AST394" s="119"/>
      <c r="ASU394" s="104"/>
      <c r="ASV394" s="455"/>
      <c r="ASW394" s="104"/>
      <c r="ASX394" s="104"/>
      <c r="ASY394" s="109"/>
      <c r="ASZ394" s="104"/>
      <c r="ATA394" s="104"/>
      <c r="ATB394" s="119"/>
      <c r="ATC394" s="104"/>
      <c r="ATD394" s="455"/>
      <c r="ATE394" s="104"/>
      <c r="ATF394" s="104"/>
      <c r="ATG394" s="109"/>
      <c r="ATH394" s="104"/>
      <c r="ATI394" s="104"/>
      <c r="ATJ394" s="119"/>
      <c r="ATK394" s="104"/>
      <c r="ATL394" s="455"/>
      <c r="ATM394" s="104"/>
      <c r="ATN394" s="104"/>
      <c r="ATO394" s="109"/>
      <c r="ATP394" s="104"/>
      <c r="ATQ394" s="104"/>
      <c r="ATR394" s="119"/>
      <c r="ATS394" s="104"/>
      <c r="ATT394" s="455"/>
      <c r="ATU394" s="104"/>
      <c r="ATV394" s="104"/>
      <c r="ATW394" s="109"/>
      <c r="ATX394" s="104"/>
      <c r="ATY394" s="104"/>
      <c r="ATZ394" s="119"/>
      <c r="AUA394" s="104"/>
      <c r="AUB394" s="455"/>
      <c r="AUC394" s="104"/>
      <c r="AUD394" s="104"/>
      <c r="AUE394" s="109"/>
      <c r="AUF394" s="104"/>
      <c r="AUG394" s="104"/>
      <c r="AUH394" s="119"/>
      <c r="AUI394" s="104"/>
      <c r="AUJ394" s="455"/>
      <c r="AUK394" s="104"/>
      <c r="AUL394" s="104"/>
      <c r="AUM394" s="109"/>
      <c r="AUN394" s="104"/>
      <c r="AUO394" s="104"/>
      <c r="AUP394" s="119"/>
      <c r="AUQ394" s="104"/>
      <c r="AUR394" s="455"/>
      <c r="AUS394" s="104"/>
      <c r="AUT394" s="104"/>
      <c r="AUU394" s="109"/>
      <c r="AUV394" s="104"/>
      <c r="AUW394" s="104"/>
      <c r="AUX394" s="119"/>
      <c r="AUY394" s="104"/>
      <c r="AUZ394" s="455"/>
      <c r="AVA394" s="104"/>
      <c r="AVB394" s="104"/>
      <c r="AVC394" s="109"/>
      <c r="AVD394" s="104"/>
      <c r="AVE394" s="104"/>
      <c r="AVF394" s="119"/>
      <c r="AVG394" s="104"/>
      <c r="AVH394" s="455"/>
      <c r="AVI394" s="104"/>
      <c r="AVJ394" s="104"/>
      <c r="AVK394" s="109"/>
      <c r="AVL394" s="104"/>
      <c r="AVM394" s="104"/>
      <c r="AVN394" s="119"/>
      <c r="AVO394" s="104"/>
      <c r="AVP394" s="455"/>
      <c r="AVQ394" s="104"/>
      <c r="AVR394" s="104"/>
      <c r="AVS394" s="109"/>
      <c r="AVT394" s="104"/>
      <c r="AVU394" s="104"/>
      <c r="AVV394" s="119"/>
      <c r="AVW394" s="104"/>
      <c r="AVX394" s="455"/>
      <c r="AVY394" s="104"/>
      <c r="AVZ394" s="104"/>
      <c r="AWA394" s="109"/>
      <c r="AWB394" s="104"/>
      <c r="AWC394" s="104"/>
      <c r="AWD394" s="119"/>
      <c r="AWE394" s="104"/>
      <c r="AWF394" s="455"/>
      <c r="AWG394" s="104"/>
      <c r="AWH394" s="104"/>
      <c r="AWI394" s="109"/>
      <c r="AWJ394" s="104"/>
      <c r="AWK394" s="104"/>
      <c r="AWL394" s="119"/>
      <c r="AWM394" s="104"/>
      <c r="AWN394" s="455"/>
      <c r="AWO394" s="104"/>
      <c r="AWP394" s="104"/>
      <c r="AWQ394" s="109"/>
      <c r="AWR394" s="104"/>
      <c r="AWS394" s="104"/>
      <c r="AWT394" s="119"/>
      <c r="AWU394" s="104"/>
      <c r="AWV394" s="455"/>
      <c r="AWW394" s="104"/>
      <c r="AWX394" s="104"/>
      <c r="AWY394" s="109"/>
      <c r="AWZ394" s="104"/>
      <c r="AXA394" s="104"/>
      <c r="AXB394" s="119"/>
      <c r="AXC394" s="104"/>
      <c r="AXD394" s="455"/>
      <c r="AXE394" s="104"/>
      <c r="AXF394" s="104"/>
      <c r="AXG394" s="109"/>
      <c r="AXH394" s="104"/>
      <c r="AXI394" s="104"/>
      <c r="AXJ394" s="119"/>
      <c r="AXK394" s="104"/>
      <c r="AXL394" s="455"/>
      <c r="AXM394" s="104"/>
      <c r="AXN394" s="104"/>
      <c r="AXO394" s="109"/>
      <c r="AXP394" s="104"/>
      <c r="AXQ394" s="104"/>
      <c r="AXR394" s="119"/>
      <c r="AXS394" s="104"/>
      <c r="AXT394" s="455"/>
      <c r="AXU394" s="104"/>
      <c r="AXV394" s="104"/>
      <c r="AXW394" s="109"/>
      <c r="AXX394" s="104"/>
      <c r="AXY394" s="104"/>
      <c r="AXZ394" s="119"/>
      <c r="AYA394" s="104"/>
      <c r="AYB394" s="455"/>
      <c r="AYC394" s="104"/>
      <c r="AYD394" s="104"/>
      <c r="AYE394" s="109"/>
      <c r="AYF394" s="104"/>
      <c r="AYG394" s="104"/>
      <c r="AYH394" s="119"/>
      <c r="AYI394" s="104"/>
      <c r="AYJ394" s="455"/>
      <c r="AYK394" s="104"/>
      <c r="AYL394" s="104"/>
      <c r="AYM394" s="109"/>
      <c r="AYN394" s="104"/>
      <c r="AYO394" s="104"/>
      <c r="AYP394" s="119"/>
      <c r="AYQ394" s="104"/>
      <c r="AYR394" s="455"/>
      <c r="AYS394" s="104"/>
      <c r="AYT394" s="104"/>
      <c r="AYU394" s="109"/>
      <c r="AYV394" s="104"/>
      <c r="AYW394" s="104"/>
      <c r="AYX394" s="119"/>
      <c r="AYY394" s="104"/>
      <c r="AYZ394" s="455"/>
      <c r="AZA394" s="104"/>
      <c r="AZB394" s="104"/>
      <c r="AZC394" s="109"/>
      <c r="AZD394" s="104"/>
      <c r="AZE394" s="104"/>
      <c r="AZF394" s="119"/>
      <c r="AZG394" s="104"/>
      <c r="AZH394" s="455"/>
      <c r="AZI394" s="104"/>
      <c r="AZJ394" s="104"/>
      <c r="AZK394" s="109"/>
      <c r="AZL394" s="104"/>
      <c r="AZM394" s="104"/>
      <c r="AZN394" s="119"/>
      <c r="AZO394" s="104"/>
      <c r="AZP394" s="455"/>
      <c r="AZQ394" s="104"/>
      <c r="AZR394" s="104"/>
      <c r="AZS394" s="109"/>
      <c r="AZT394" s="104"/>
      <c r="AZU394" s="104"/>
      <c r="AZV394" s="119"/>
      <c r="AZW394" s="104"/>
      <c r="AZX394" s="455"/>
      <c r="AZY394" s="104"/>
      <c r="AZZ394" s="104"/>
      <c r="BAA394" s="109"/>
      <c r="BAB394" s="104"/>
      <c r="BAC394" s="104"/>
      <c r="BAD394" s="119"/>
      <c r="BAE394" s="104"/>
      <c r="BAF394" s="455"/>
      <c r="BAG394" s="104"/>
      <c r="BAH394" s="104"/>
      <c r="BAI394" s="109"/>
      <c r="BAJ394" s="104"/>
      <c r="BAK394" s="104"/>
      <c r="BAL394" s="119"/>
      <c r="BAM394" s="104"/>
      <c r="BAN394" s="455"/>
      <c r="BAO394" s="104"/>
      <c r="BAP394" s="104"/>
      <c r="BAQ394" s="109"/>
      <c r="BAR394" s="104"/>
      <c r="BAS394" s="104"/>
      <c r="BAT394" s="119"/>
      <c r="BAU394" s="104"/>
      <c r="BAV394" s="455"/>
      <c r="BAW394" s="104"/>
      <c r="BAX394" s="104"/>
      <c r="BAY394" s="109"/>
      <c r="BAZ394" s="104"/>
      <c r="BBA394" s="104"/>
      <c r="BBB394" s="119"/>
      <c r="BBC394" s="104"/>
      <c r="BBD394" s="455"/>
      <c r="BBE394" s="104"/>
      <c r="BBF394" s="104"/>
      <c r="BBG394" s="109"/>
      <c r="BBH394" s="104"/>
      <c r="BBI394" s="104"/>
      <c r="BBJ394" s="119"/>
      <c r="BBK394" s="104"/>
      <c r="BBL394" s="455"/>
      <c r="BBM394" s="104"/>
      <c r="BBN394" s="104"/>
      <c r="BBO394" s="109"/>
      <c r="BBP394" s="104"/>
      <c r="BBQ394" s="104"/>
      <c r="BBR394" s="119"/>
      <c r="BBS394" s="104"/>
      <c r="BBT394" s="455"/>
      <c r="BBU394" s="104"/>
      <c r="BBV394" s="104"/>
      <c r="BBW394" s="109"/>
      <c r="BBX394" s="104"/>
      <c r="BBY394" s="104"/>
      <c r="BBZ394" s="119"/>
      <c r="BCA394" s="104"/>
      <c r="BCB394" s="455"/>
      <c r="BCC394" s="104"/>
      <c r="BCD394" s="104"/>
      <c r="BCE394" s="109"/>
      <c r="BCF394" s="104"/>
      <c r="BCG394" s="104"/>
      <c r="BCH394" s="119"/>
      <c r="BCI394" s="104"/>
      <c r="BCJ394" s="455"/>
      <c r="BCK394" s="104"/>
      <c r="BCL394" s="104"/>
      <c r="BCM394" s="109"/>
      <c r="BCN394" s="104"/>
      <c r="BCO394" s="104"/>
      <c r="BCP394" s="119"/>
      <c r="BCQ394" s="104"/>
      <c r="BCR394" s="455"/>
      <c r="BCS394" s="104"/>
      <c r="BCT394" s="104"/>
      <c r="BCU394" s="109"/>
      <c r="BCV394" s="104"/>
      <c r="BCW394" s="104"/>
      <c r="BCX394" s="119"/>
      <c r="BCY394" s="104"/>
      <c r="BCZ394" s="455"/>
      <c r="BDA394" s="104"/>
      <c r="BDB394" s="104"/>
      <c r="BDC394" s="109"/>
      <c r="BDD394" s="104"/>
      <c r="BDE394" s="104"/>
      <c r="BDF394" s="119"/>
      <c r="BDG394" s="104"/>
      <c r="BDH394" s="455"/>
      <c r="BDI394" s="104"/>
      <c r="BDJ394" s="104"/>
      <c r="BDK394" s="109"/>
      <c r="BDL394" s="104"/>
      <c r="BDM394" s="104"/>
      <c r="BDN394" s="119"/>
      <c r="BDO394" s="104"/>
      <c r="BDP394" s="455"/>
      <c r="BDQ394" s="104"/>
      <c r="BDR394" s="104"/>
      <c r="BDS394" s="109"/>
      <c r="BDT394" s="104"/>
      <c r="BDU394" s="104"/>
      <c r="BDV394" s="119"/>
      <c r="BDW394" s="104"/>
      <c r="BDX394" s="455"/>
      <c r="BDY394" s="104"/>
      <c r="BDZ394" s="104"/>
      <c r="BEA394" s="109"/>
      <c r="BEB394" s="104"/>
      <c r="BEC394" s="104"/>
      <c r="BED394" s="119"/>
      <c r="BEE394" s="104"/>
      <c r="BEF394" s="455"/>
      <c r="BEG394" s="104"/>
      <c r="BEH394" s="104"/>
      <c r="BEI394" s="109"/>
      <c r="BEJ394" s="104"/>
      <c r="BEK394" s="104"/>
      <c r="BEL394" s="119"/>
      <c r="BEM394" s="104"/>
      <c r="BEN394" s="455"/>
      <c r="BEO394" s="104"/>
      <c r="BEP394" s="104"/>
      <c r="BEQ394" s="109"/>
      <c r="BER394" s="104"/>
      <c r="BES394" s="104"/>
      <c r="BET394" s="119"/>
      <c r="BEU394" s="104"/>
      <c r="BEV394" s="455"/>
      <c r="BEW394" s="104"/>
      <c r="BEX394" s="104"/>
      <c r="BEY394" s="109"/>
      <c r="BEZ394" s="104"/>
      <c r="BFA394" s="104"/>
      <c r="BFB394" s="119"/>
      <c r="BFC394" s="104"/>
      <c r="BFD394" s="455"/>
      <c r="BFE394" s="104"/>
      <c r="BFF394" s="104"/>
      <c r="BFG394" s="109"/>
      <c r="BFH394" s="104"/>
      <c r="BFI394" s="104"/>
      <c r="BFJ394" s="119"/>
      <c r="BFK394" s="104"/>
      <c r="BFL394" s="455"/>
      <c r="BFM394" s="104"/>
      <c r="BFN394" s="104"/>
      <c r="BFO394" s="109"/>
      <c r="BFP394" s="104"/>
      <c r="BFQ394" s="104"/>
      <c r="BFR394" s="119"/>
      <c r="BFS394" s="104"/>
      <c r="BFT394" s="455"/>
      <c r="BFU394" s="104"/>
      <c r="BFV394" s="104"/>
      <c r="BFW394" s="109"/>
      <c r="BFX394" s="104"/>
      <c r="BFY394" s="104"/>
      <c r="BFZ394" s="119"/>
      <c r="BGA394" s="104"/>
      <c r="BGB394" s="455"/>
      <c r="BGC394" s="104"/>
      <c r="BGD394" s="104"/>
      <c r="BGE394" s="109"/>
      <c r="BGF394" s="104"/>
      <c r="BGG394" s="104"/>
      <c r="BGH394" s="119"/>
      <c r="BGI394" s="104"/>
      <c r="BGJ394" s="455"/>
      <c r="BGK394" s="104"/>
      <c r="BGL394" s="104"/>
      <c r="BGM394" s="109"/>
      <c r="BGN394" s="104"/>
      <c r="BGO394" s="104"/>
      <c r="BGP394" s="119"/>
      <c r="BGQ394" s="104"/>
      <c r="BGR394" s="455"/>
      <c r="BGS394" s="104"/>
      <c r="BGT394" s="104"/>
      <c r="BGU394" s="109"/>
      <c r="BGV394" s="104"/>
      <c r="BGW394" s="104"/>
      <c r="BGX394" s="119"/>
      <c r="BGY394" s="104"/>
      <c r="BGZ394" s="455"/>
      <c r="BHA394" s="104"/>
      <c r="BHB394" s="104"/>
      <c r="BHC394" s="109"/>
      <c r="BHD394" s="104"/>
      <c r="BHE394" s="104"/>
      <c r="BHF394" s="119"/>
      <c r="BHG394" s="104"/>
      <c r="BHH394" s="455"/>
      <c r="BHI394" s="104"/>
      <c r="BHJ394" s="104"/>
      <c r="BHK394" s="109"/>
      <c r="BHL394" s="104"/>
      <c r="BHM394" s="104"/>
      <c r="BHN394" s="119"/>
      <c r="BHO394" s="104"/>
      <c r="BHP394" s="455"/>
      <c r="BHQ394" s="104"/>
      <c r="BHR394" s="104"/>
      <c r="BHS394" s="109"/>
      <c r="BHT394" s="104"/>
      <c r="BHU394" s="104"/>
      <c r="BHV394" s="119"/>
      <c r="BHW394" s="104"/>
      <c r="BHX394" s="455"/>
      <c r="BHY394" s="104"/>
      <c r="BHZ394" s="104"/>
      <c r="BIA394" s="109"/>
      <c r="BIB394" s="104"/>
      <c r="BIC394" s="104"/>
      <c r="BID394" s="119"/>
      <c r="BIE394" s="104"/>
      <c r="BIF394" s="455"/>
      <c r="BIG394" s="104"/>
      <c r="BIH394" s="104"/>
      <c r="BII394" s="109"/>
      <c r="BIJ394" s="104"/>
      <c r="BIK394" s="104"/>
      <c r="BIL394" s="119"/>
      <c r="BIM394" s="104"/>
      <c r="BIN394" s="455"/>
      <c r="BIO394" s="104"/>
      <c r="BIP394" s="104"/>
      <c r="BIQ394" s="109"/>
      <c r="BIR394" s="104"/>
      <c r="BIS394" s="104"/>
      <c r="BIT394" s="119"/>
      <c r="BIU394" s="104"/>
      <c r="BIV394" s="455"/>
      <c r="BIW394" s="104"/>
      <c r="BIX394" s="104"/>
      <c r="BIY394" s="109"/>
      <c r="BIZ394" s="104"/>
      <c r="BJA394" s="104"/>
      <c r="BJB394" s="119"/>
      <c r="BJC394" s="104"/>
      <c r="BJD394" s="455"/>
      <c r="BJE394" s="104"/>
      <c r="BJF394" s="104"/>
      <c r="BJG394" s="109"/>
      <c r="BJH394" s="104"/>
      <c r="BJI394" s="104"/>
      <c r="BJJ394" s="119"/>
      <c r="BJK394" s="104"/>
      <c r="BJL394" s="455"/>
      <c r="BJM394" s="104"/>
      <c r="BJN394" s="104"/>
      <c r="BJO394" s="109"/>
      <c r="BJP394" s="104"/>
      <c r="BJQ394" s="104"/>
      <c r="BJR394" s="119"/>
      <c r="BJS394" s="104"/>
      <c r="BJT394" s="455"/>
      <c r="BJU394" s="104"/>
      <c r="BJV394" s="104"/>
      <c r="BJW394" s="109"/>
      <c r="BJX394" s="104"/>
      <c r="BJY394" s="104"/>
      <c r="BJZ394" s="119"/>
      <c r="BKA394" s="104"/>
      <c r="BKB394" s="455"/>
      <c r="BKC394" s="104"/>
      <c r="BKD394" s="104"/>
      <c r="BKE394" s="109"/>
      <c r="BKF394" s="104"/>
      <c r="BKG394" s="104"/>
      <c r="BKH394" s="119"/>
      <c r="BKI394" s="104"/>
      <c r="BKJ394" s="455"/>
      <c r="BKK394" s="104"/>
      <c r="BKL394" s="104"/>
      <c r="BKM394" s="109"/>
      <c r="BKN394" s="104"/>
      <c r="BKO394" s="104"/>
      <c r="BKP394" s="119"/>
      <c r="BKQ394" s="104"/>
      <c r="BKR394" s="455"/>
      <c r="BKS394" s="104"/>
      <c r="BKT394" s="104"/>
      <c r="BKU394" s="109"/>
      <c r="BKV394" s="104"/>
      <c r="BKW394" s="104"/>
      <c r="BKX394" s="119"/>
      <c r="BKY394" s="104"/>
      <c r="BKZ394" s="455"/>
      <c r="BLA394" s="104"/>
      <c r="BLB394" s="104"/>
      <c r="BLC394" s="109"/>
      <c r="BLD394" s="104"/>
      <c r="BLE394" s="104"/>
      <c r="BLF394" s="119"/>
      <c r="BLG394" s="104"/>
      <c r="BLH394" s="455"/>
      <c r="BLI394" s="104"/>
      <c r="BLJ394" s="104"/>
      <c r="BLK394" s="109"/>
      <c r="BLL394" s="104"/>
      <c r="BLM394" s="104"/>
      <c r="BLN394" s="119"/>
      <c r="BLO394" s="104"/>
      <c r="BLP394" s="455"/>
      <c r="BLQ394" s="104"/>
      <c r="BLR394" s="104"/>
      <c r="BLS394" s="109"/>
      <c r="BLT394" s="104"/>
      <c r="BLU394" s="104"/>
      <c r="BLV394" s="119"/>
      <c r="BLW394" s="104"/>
      <c r="BLX394" s="455"/>
      <c r="BLY394" s="104"/>
      <c r="BLZ394" s="104"/>
      <c r="BMA394" s="109"/>
      <c r="BMB394" s="104"/>
      <c r="BMC394" s="104"/>
      <c r="BMD394" s="119"/>
      <c r="BME394" s="104"/>
      <c r="BMF394" s="455"/>
      <c r="BMG394" s="104"/>
      <c r="BMH394" s="104"/>
      <c r="BMI394" s="109"/>
      <c r="BMJ394" s="104"/>
      <c r="BMK394" s="104"/>
      <c r="BML394" s="119"/>
      <c r="BMM394" s="104"/>
      <c r="BMN394" s="455"/>
      <c r="BMO394" s="104"/>
      <c r="BMP394" s="104"/>
      <c r="BMQ394" s="109"/>
      <c r="BMR394" s="104"/>
      <c r="BMS394" s="104"/>
      <c r="BMT394" s="119"/>
      <c r="BMU394" s="104"/>
      <c r="BMV394" s="455"/>
      <c r="BMW394" s="104"/>
      <c r="BMX394" s="104"/>
      <c r="BMY394" s="109"/>
      <c r="BMZ394" s="104"/>
      <c r="BNA394" s="104"/>
      <c r="BNB394" s="119"/>
      <c r="BNC394" s="104"/>
      <c r="BND394" s="455"/>
      <c r="BNE394" s="104"/>
      <c r="BNF394" s="104"/>
      <c r="BNG394" s="109"/>
      <c r="BNH394" s="104"/>
      <c r="BNI394" s="104"/>
      <c r="BNJ394" s="119"/>
      <c r="BNK394" s="104"/>
      <c r="BNL394" s="455"/>
      <c r="BNM394" s="104"/>
      <c r="BNN394" s="104"/>
      <c r="BNO394" s="109"/>
      <c r="BNP394" s="104"/>
      <c r="BNQ394" s="104"/>
      <c r="BNR394" s="119"/>
      <c r="BNS394" s="104"/>
      <c r="BNT394" s="455"/>
      <c r="BNU394" s="104"/>
      <c r="BNV394" s="104"/>
      <c r="BNW394" s="109"/>
      <c r="BNX394" s="104"/>
      <c r="BNY394" s="104"/>
      <c r="BNZ394" s="119"/>
      <c r="BOA394" s="104"/>
      <c r="BOB394" s="455"/>
      <c r="BOC394" s="104"/>
      <c r="BOD394" s="104"/>
      <c r="BOE394" s="109"/>
      <c r="BOF394" s="104"/>
      <c r="BOG394" s="104"/>
      <c r="BOH394" s="119"/>
      <c r="BOI394" s="104"/>
      <c r="BOJ394" s="455"/>
      <c r="BOK394" s="104"/>
      <c r="BOL394" s="104"/>
      <c r="BOM394" s="109"/>
      <c r="BON394" s="104"/>
      <c r="BOO394" s="104"/>
      <c r="BOP394" s="119"/>
      <c r="BOQ394" s="104"/>
      <c r="BOR394" s="455"/>
      <c r="BOS394" s="104"/>
      <c r="BOT394" s="104"/>
      <c r="BOU394" s="109"/>
      <c r="BOV394" s="104"/>
      <c r="BOW394" s="104"/>
      <c r="BOX394" s="119"/>
      <c r="BOY394" s="104"/>
      <c r="BOZ394" s="455"/>
      <c r="BPA394" s="104"/>
      <c r="BPB394" s="104"/>
      <c r="BPC394" s="109"/>
      <c r="BPD394" s="104"/>
      <c r="BPE394" s="104"/>
      <c r="BPF394" s="119"/>
      <c r="BPG394" s="104"/>
      <c r="BPH394" s="455"/>
      <c r="BPI394" s="104"/>
      <c r="BPJ394" s="104"/>
      <c r="BPK394" s="109"/>
      <c r="BPL394" s="104"/>
      <c r="BPM394" s="104"/>
      <c r="BPN394" s="119"/>
      <c r="BPO394" s="104"/>
      <c r="BPP394" s="455"/>
      <c r="BPQ394" s="104"/>
      <c r="BPR394" s="104"/>
      <c r="BPS394" s="109"/>
      <c r="BPT394" s="104"/>
      <c r="BPU394" s="104"/>
      <c r="BPV394" s="119"/>
      <c r="BPW394" s="104"/>
      <c r="BPX394" s="455"/>
      <c r="BPY394" s="104"/>
      <c r="BPZ394" s="104"/>
      <c r="BQA394" s="109"/>
      <c r="BQB394" s="104"/>
      <c r="BQC394" s="104"/>
      <c r="BQD394" s="119"/>
      <c r="BQE394" s="104"/>
      <c r="BQF394" s="455"/>
      <c r="BQG394" s="104"/>
      <c r="BQH394" s="104"/>
      <c r="BQI394" s="109"/>
      <c r="BQJ394" s="104"/>
      <c r="BQK394" s="104"/>
      <c r="BQL394" s="119"/>
      <c r="BQM394" s="104"/>
      <c r="BQN394" s="455"/>
      <c r="BQO394" s="104"/>
      <c r="BQP394" s="104"/>
      <c r="BQQ394" s="109"/>
      <c r="BQR394" s="104"/>
      <c r="BQS394" s="104"/>
      <c r="BQT394" s="119"/>
      <c r="BQU394" s="104"/>
      <c r="BQV394" s="455"/>
      <c r="BQW394" s="104"/>
      <c r="BQX394" s="104"/>
      <c r="BQY394" s="109"/>
      <c r="BQZ394" s="104"/>
      <c r="BRA394" s="104"/>
      <c r="BRB394" s="119"/>
      <c r="BRC394" s="104"/>
      <c r="BRD394" s="455"/>
      <c r="BRE394" s="104"/>
      <c r="BRF394" s="104"/>
      <c r="BRG394" s="109"/>
      <c r="BRH394" s="104"/>
      <c r="BRI394" s="104"/>
      <c r="BRJ394" s="119"/>
      <c r="BRK394" s="104"/>
      <c r="BRL394" s="455"/>
      <c r="BRM394" s="104"/>
      <c r="BRN394" s="104"/>
      <c r="BRO394" s="109"/>
      <c r="BRP394" s="104"/>
      <c r="BRQ394" s="104"/>
      <c r="BRR394" s="119"/>
      <c r="BRS394" s="104"/>
      <c r="BRT394" s="455"/>
      <c r="BRU394" s="104"/>
      <c r="BRV394" s="104"/>
      <c r="BRW394" s="109"/>
      <c r="BRX394" s="104"/>
      <c r="BRY394" s="104"/>
      <c r="BRZ394" s="119"/>
      <c r="BSA394" s="104"/>
      <c r="BSB394" s="455"/>
      <c r="BSC394" s="104"/>
      <c r="BSD394" s="104"/>
      <c r="BSE394" s="109"/>
      <c r="BSF394" s="104"/>
      <c r="BSG394" s="104"/>
      <c r="BSH394" s="119"/>
      <c r="BSI394" s="104"/>
      <c r="BSJ394" s="455"/>
      <c r="BSK394" s="104"/>
      <c r="BSL394" s="104"/>
      <c r="BSM394" s="109"/>
      <c r="BSN394" s="104"/>
      <c r="BSO394" s="104"/>
      <c r="BSP394" s="119"/>
      <c r="BSQ394" s="104"/>
      <c r="BSR394" s="455"/>
      <c r="BSS394" s="104"/>
      <c r="BST394" s="104"/>
      <c r="BSU394" s="109"/>
      <c r="BSV394" s="104"/>
      <c r="BSW394" s="104"/>
      <c r="BSX394" s="119"/>
      <c r="BSY394" s="104"/>
      <c r="BSZ394" s="455"/>
      <c r="BTA394" s="104"/>
      <c r="BTB394" s="104"/>
      <c r="BTC394" s="109"/>
      <c r="BTD394" s="104"/>
      <c r="BTE394" s="104"/>
      <c r="BTF394" s="119"/>
      <c r="BTG394" s="104"/>
      <c r="BTH394" s="455"/>
      <c r="BTI394" s="104"/>
      <c r="BTJ394" s="104"/>
      <c r="BTK394" s="109"/>
      <c r="BTL394" s="104"/>
      <c r="BTM394" s="104"/>
      <c r="BTN394" s="119"/>
      <c r="BTO394" s="104"/>
      <c r="BTP394" s="455"/>
      <c r="BTQ394" s="104"/>
      <c r="BTR394" s="104"/>
      <c r="BTS394" s="109"/>
      <c r="BTT394" s="104"/>
      <c r="BTU394" s="104"/>
      <c r="BTV394" s="119"/>
      <c r="BTW394" s="104"/>
      <c r="BTX394" s="455"/>
      <c r="BTY394" s="104"/>
      <c r="BTZ394" s="104"/>
      <c r="BUA394" s="109"/>
      <c r="BUB394" s="104"/>
      <c r="BUC394" s="104"/>
      <c r="BUD394" s="119"/>
      <c r="BUE394" s="104"/>
      <c r="BUF394" s="455"/>
      <c r="BUG394" s="104"/>
      <c r="BUH394" s="104"/>
      <c r="BUI394" s="109"/>
      <c r="BUJ394" s="104"/>
      <c r="BUK394" s="104"/>
      <c r="BUL394" s="119"/>
      <c r="BUM394" s="104"/>
      <c r="BUN394" s="455"/>
      <c r="BUO394" s="104"/>
      <c r="BUP394" s="104"/>
      <c r="BUQ394" s="109"/>
      <c r="BUR394" s="104"/>
      <c r="BUS394" s="104"/>
      <c r="BUT394" s="119"/>
      <c r="BUU394" s="104"/>
      <c r="BUV394" s="455"/>
      <c r="BUW394" s="104"/>
      <c r="BUX394" s="104"/>
      <c r="BUY394" s="109"/>
      <c r="BUZ394" s="104"/>
      <c r="BVA394" s="104"/>
      <c r="BVB394" s="119"/>
      <c r="BVC394" s="104"/>
      <c r="BVD394" s="455"/>
      <c r="BVE394" s="104"/>
      <c r="BVF394" s="104"/>
      <c r="BVG394" s="109"/>
      <c r="BVH394" s="104"/>
      <c r="BVI394" s="104"/>
      <c r="BVJ394" s="119"/>
      <c r="BVK394" s="104"/>
      <c r="BVL394" s="455"/>
      <c r="BVM394" s="104"/>
      <c r="BVN394" s="104"/>
      <c r="BVO394" s="109"/>
      <c r="BVP394" s="104"/>
      <c r="BVQ394" s="104"/>
      <c r="BVR394" s="119"/>
      <c r="BVS394" s="104"/>
      <c r="BVT394" s="455"/>
      <c r="BVU394" s="104"/>
      <c r="BVV394" s="104"/>
      <c r="BVW394" s="109"/>
      <c r="BVX394" s="104"/>
      <c r="BVY394" s="104"/>
      <c r="BVZ394" s="119"/>
      <c r="BWA394" s="104"/>
      <c r="BWB394" s="455"/>
      <c r="BWC394" s="104"/>
      <c r="BWD394" s="104"/>
      <c r="BWE394" s="109"/>
      <c r="BWF394" s="104"/>
      <c r="BWG394" s="104"/>
      <c r="BWH394" s="119"/>
      <c r="BWI394" s="104"/>
      <c r="BWJ394" s="455"/>
      <c r="BWK394" s="104"/>
      <c r="BWL394" s="104"/>
      <c r="BWM394" s="109"/>
      <c r="BWN394" s="104"/>
      <c r="BWO394" s="104"/>
      <c r="BWP394" s="119"/>
      <c r="BWQ394" s="104"/>
      <c r="BWR394" s="455"/>
      <c r="BWS394" s="104"/>
      <c r="BWT394" s="104"/>
      <c r="BWU394" s="109"/>
      <c r="BWV394" s="104"/>
      <c r="BWW394" s="104"/>
      <c r="BWX394" s="119"/>
      <c r="BWY394" s="104"/>
      <c r="BWZ394" s="455"/>
      <c r="BXA394" s="104"/>
      <c r="BXB394" s="104"/>
      <c r="BXC394" s="109"/>
      <c r="BXD394" s="104"/>
      <c r="BXE394" s="104"/>
      <c r="BXF394" s="119"/>
      <c r="BXG394" s="104"/>
      <c r="BXH394" s="455"/>
      <c r="BXI394" s="104"/>
      <c r="BXJ394" s="104"/>
      <c r="BXK394" s="109"/>
      <c r="BXL394" s="104"/>
      <c r="BXM394" s="104"/>
      <c r="BXN394" s="119"/>
      <c r="BXO394" s="104"/>
      <c r="BXP394" s="455"/>
      <c r="BXQ394" s="104"/>
      <c r="BXR394" s="104"/>
      <c r="BXS394" s="109"/>
      <c r="BXT394" s="104"/>
      <c r="BXU394" s="104"/>
      <c r="BXV394" s="119"/>
      <c r="BXW394" s="104"/>
      <c r="BXX394" s="455"/>
      <c r="BXY394" s="104"/>
      <c r="BXZ394" s="104"/>
      <c r="BYA394" s="109"/>
      <c r="BYB394" s="104"/>
      <c r="BYC394" s="104"/>
      <c r="BYD394" s="119"/>
      <c r="BYE394" s="104"/>
      <c r="BYF394" s="455"/>
      <c r="BYG394" s="104"/>
      <c r="BYH394" s="104"/>
      <c r="BYI394" s="109"/>
      <c r="BYJ394" s="104"/>
      <c r="BYK394" s="104"/>
      <c r="BYL394" s="119"/>
      <c r="BYM394" s="104"/>
      <c r="BYN394" s="455"/>
      <c r="BYO394" s="104"/>
      <c r="BYP394" s="104"/>
      <c r="BYQ394" s="109"/>
      <c r="BYR394" s="104"/>
      <c r="BYS394" s="104"/>
      <c r="BYT394" s="119"/>
      <c r="BYU394" s="104"/>
      <c r="BYV394" s="455"/>
      <c r="BYW394" s="104"/>
      <c r="BYX394" s="104"/>
      <c r="BYY394" s="109"/>
      <c r="BYZ394" s="104"/>
      <c r="BZA394" s="104"/>
      <c r="BZB394" s="119"/>
      <c r="BZC394" s="104"/>
      <c r="BZD394" s="455"/>
      <c r="BZE394" s="104"/>
      <c r="BZF394" s="104"/>
      <c r="BZG394" s="109"/>
      <c r="BZH394" s="104"/>
      <c r="BZI394" s="104"/>
      <c r="BZJ394" s="119"/>
      <c r="BZK394" s="104"/>
      <c r="BZL394" s="455"/>
      <c r="BZM394" s="104"/>
      <c r="BZN394" s="104"/>
      <c r="BZO394" s="109"/>
      <c r="BZP394" s="104"/>
      <c r="BZQ394" s="104"/>
      <c r="BZR394" s="119"/>
      <c r="BZS394" s="104"/>
      <c r="BZT394" s="455"/>
      <c r="BZU394" s="104"/>
      <c r="BZV394" s="104"/>
      <c r="BZW394" s="109"/>
      <c r="BZX394" s="104"/>
      <c r="BZY394" s="104"/>
      <c r="BZZ394" s="119"/>
      <c r="CAA394" s="104"/>
      <c r="CAB394" s="455"/>
      <c r="CAC394" s="104"/>
      <c r="CAD394" s="104"/>
      <c r="CAE394" s="109"/>
      <c r="CAF394" s="104"/>
      <c r="CAG394" s="104"/>
      <c r="CAH394" s="119"/>
      <c r="CAI394" s="104"/>
      <c r="CAJ394" s="455"/>
      <c r="CAK394" s="104"/>
      <c r="CAL394" s="104"/>
      <c r="CAM394" s="109"/>
      <c r="CAN394" s="104"/>
      <c r="CAO394" s="104"/>
      <c r="CAP394" s="119"/>
      <c r="CAQ394" s="104"/>
      <c r="CAR394" s="455"/>
      <c r="CAS394" s="104"/>
      <c r="CAT394" s="104"/>
      <c r="CAU394" s="109"/>
      <c r="CAV394" s="104"/>
      <c r="CAW394" s="104"/>
      <c r="CAX394" s="119"/>
      <c r="CAY394" s="104"/>
      <c r="CAZ394" s="455"/>
      <c r="CBA394" s="104"/>
      <c r="CBB394" s="104"/>
      <c r="CBC394" s="109"/>
      <c r="CBD394" s="104"/>
      <c r="CBE394" s="104"/>
      <c r="CBF394" s="119"/>
      <c r="CBG394" s="104"/>
      <c r="CBH394" s="455"/>
      <c r="CBI394" s="104"/>
      <c r="CBJ394" s="104"/>
      <c r="CBK394" s="109"/>
      <c r="CBL394" s="104"/>
      <c r="CBM394" s="104"/>
      <c r="CBN394" s="119"/>
      <c r="CBO394" s="104"/>
      <c r="CBP394" s="455"/>
      <c r="CBQ394" s="104"/>
      <c r="CBR394" s="104"/>
      <c r="CBS394" s="109"/>
      <c r="CBT394" s="104"/>
      <c r="CBU394" s="104"/>
      <c r="CBV394" s="119"/>
      <c r="CBW394" s="104"/>
      <c r="CBX394" s="455"/>
      <c r="CBY394" s="104"/>
      <c r="CBZ394" s="104"/>
      <c r="CCA394" s="109"/>
      <c r="CCB394" s="104"/>
      <c r="CCC394" s="104"/>
      <c r="CCD394" s="119"/>
      <c r="CCE394" s="104"/>
      <c r="CCF394" s="455"/>
      <c r="CCG394" s="104"/>
      <c r="CCH394" s="104"/>
      <c r="CCI394" s="109"/>
      <c r="CCJ394" s="104"/>
      <c r="CCK394" s="104"/>
      <c r="CCL394" s="119"/>
      <c r="CCM394" s="104"/>
      <c r="CCN394" s="455"/>
      <c r="CCO394" s="104"/>
      <c r="CCP394" s="104"/>
      <c r="CCQ394" s="109"/>
      <c r="CCR394" s="104"/>
      <c r="CCS394" s="104"/>
      <c r="CCT394" s="119"/>
      <c r="CCU394" s="104"/>
      <c r="CCV394" s="455"/>
      <c r="CCW394" s="104"/>
      <c r="CCX394" s="104"/>
      <c r="CCY394" s="109"/>
      <c r="CCZ394" s="104"/>
      <c r="CDA394" s="104"/>
      <c r="CDB394" s="119"/>
      <c r="CDC394" s="104"/>
      <c r="CDD394" s="455"/>
      <c r="CDE394" s="104"/>
      <c r="CDF394" s="104"/>
      <c r="CDG394" s="109"/>
      <c r="CDH394" s="104"/>
      <c r="CDI394" s="104"/>
      <c r="CDJ394" s="119"/>
      <c r="CDK394" s="104"/>
      <c r="CDL394" s="455"/>
      <c r="CDM394" s="104"/>
      <c r="CDN394" s="104"/>
      <c r="CDO394" s="109"/>
      <c r="CDP394" s="104"/>
      <c r="CDQ394" s="104"/>
      <c r="CDR394" s="119"/>
      <c r="CDS394" s="104"/>
      <c r="CDT394" s="455"/>
      <c r="CDU394" s="104"/>
      <c r="CDV394" s="104"/>
      <c r="CDW394" s="109"/>
      <c r="CDX394" s="104"/>
      <c r="CDY394" s="104"/>
      <c r="CDZ394" s="119"/>
      <c r="CEA394" s="104"/>
      <c r="CEB394" s="455"/>
      <c r="CEC394" s="104"/>
      <c r="CED394" s="104"/>
      <c r="CEE394" s="109"/>
      <c r="CEF394" s="104"/>
      <c r="CEG394" s="104"/>
      <c r="CEH394" s="119"/>
      <c r="CEI394" s="104"/>
      <c r="CEJ394" s="455"/>
      <c r="CEK394" s="104"/>
      <c r="CEL394" s="104"/>
      <c r="CEM394" s="109"/>
      <c r="CEN394" s="104"/>
      <c r="CEO394" s="104"/>
      <c r="CEP394" s="119"/>
      <c r="CEQ394" s="104"/>
      <c r="CER394" s="455"/>
      <c r="CES394" s="104"/>
      <c r="CET394" s="104"/>
      <c r="CEU394" s="109"/>
      <c r="CEV394" s="104"/>
      <c r="CEW394" s="104"/>
      <c r="CEX394" s="119"/>
      <c r="CEY394" s="104"/>
      <c r="CEZ394" s="455"/>
      <c r="CFA394" s="104"/>
      <c r="CFB394" s="104"/>
      <c r="CFC394" s="109"/>
      <c r="CFD394" s="104"/>
      <c r="CFE394" s="104"/>
      <c r="CFF394" s="119"/>
      <c r="CFG394" s="104"/>
      <c r="CFH394" s="455"/>
      <c r="CFI394" s="104"/>
      <c r="CFJ394" s="104"/>
      <c r="CFK394" s="109"/>
      <c r="CFL394" s="104"/>
      <c r="CFM394" s="104"/>
      <c r="CFN394" s="119"/>
      <c r="CFO394" s="104"/>
      <c r="CFP394" s="455"/>
      <c r="CFQ394" s="104"/>
      <c r="CFR394" s="104"/>
      <c r="CFS394" s="109"/>
      <c r="CFT394" s="104"/>
      <c r="CFU394" s="104"/>
      <c r="CFV394" s="119"/>
      <c r="CFW394" s="104"/>
      <c r="CFX394" s="455"/>
      <c r="CFY394" s="104"/>
      <c r="CFZ394" s="104"/>
      <c r="CGA394" s="109"/>
      <c r="CGB394" s="104"/>
      <c r="CGC394" s="104"/>
      <c r="CGD394" s="119"/>
      <c r="CGE394" s="104"/>
      <c r="CGF394" s="455"/>
      <c r="CGG394" s="104"/>
      <c r="CGH394" s="104"/>
      <c r="CGI394" s="109"/>
      <c r="CGJ394" s="104"/>
      <c r="CGK394" s="104"/>
      <c r="CGL394" s="119"/>
      <c r="CGM394" s="104"/>
      <c r="CGN394" s="455"/>
      <c r="CGO394" s="104"/>
      <c r="CGP394" s="104"/>
      <c r="CGQ394" s="109"/>
      <c r="CGR394" s="104"/>
      <c r="CGS394" s="104"/>
      <c r="CGT394" s="119"/>
      <c r="CGU394" s="104"/>
      <c r="CGV394" s="455"/>
      <c r="CGW394" s="104"/>
      <c r="CGX394" s="104"/>
      <c r="CGY394" s="109"/>
      <c r="CGZ394" s="104"/>
      <c r="CHA394" s="104"/>
      <c r="CHB394" s="119"/>
      <c r="CHC394" s="104"/>
      <c r="CHD394" s="455"/>
      <c r="CHE394" s="104"/>
      <c r="CHF394" s="104"/>
      <c r="CHG394" s="109"/>
      <c r="CHH394" s="104"/>
      <c r="CHI394" s="104"/>
      <c r="CHJ394" s="119"/>
      <c r="CHK394" s="104"/>
      <c r="CHL394" s="455"/>
      <c r="CHM394" s="104"/>
      <c r="CHN394" s="104"/>
      <c r="CHO394" s="109"/>
      <c r="CHP394" s="104"/>
      <c r="CHQ394" s="104"/>
      <c r="CHR394" s="119"/>
      <c r="CHS394" s="104"/>
      <c r="CHT394" s="455"/>
      <c r="CHU394" s="104"/>
      <c r="CHV394" s="104"/>
      <c r="CHW394" s="109"/>
      <c r="CHX394" s="104"/>
      <c r="CHY394" s="104"/>
      <c r="CHZ394" s="119"/>
      <c r="CIA394" s="104"/>
      <c r="CIB394" s="455"/>
      <c r="CIC394" s="104"/>
      <c r="CID394" s="104"/>
      <c r="CIE394" s="109"/>
      <c r="CIF394" s="104"/>
      <c r="CIG394" s="104"/>
      <c r="CIH394" s="119"/>
      <c r="CII394" s="104"/>
      <c r="CIJ394" s="455"/>
      <c r="CIK394" s="104"/>
      <c r="CIL394" s="104"/>
      <c r="CIM394" s="109"/>
      <c r="CIN394" s="104"/>
      <c r="CIO394" s="104"/>
      <c r="CIP394" s="119"/>
      <c r="CIQ394" s="104"/>
      <c r="CIR394" s="455"/>
      <c r="CIS394" s="104"/>
      <c r="CIT394" s="104"/>
      <c r="CIU394" s="109"/>
      <c r="CIV394" s="104"/>
      <c r="CIW394" s="104"/>
      <c r="CIX394" s="119"/>
      <c r="CIY394" s="104"/>
      <c r="CIZ394" s="455"/>
      <c r="CJA394" s="104"/>
      <c r="CJB394" s="104"/>
      <c r="CJC394" s="109"/>
      <c r="CJD394" s="104"/>
      <c r="CJE394" s="104"/>
      <c r="CJF394" s="119"/>
      <c r="CJG394" s="104"/>
      <c r="CJH394" s="455"/>
      <c r="CJI394" s="104"/>
      <c r="CJJ394" s="104"/>
      <c r="CJK394" s="109"/>
      <c r="CJL394" s="104"/>
      <c r="CJM394" s="104"/>
      <c r="CJN394" s="119"/>
      <c r="CJO394" s="104"/>
      <c r="CJP394" s="455"/>
      <c r="CJQ394" s="104"/>
      <c r="CJR394" s="104"/>
      <c r="CJS394" s="109"/>
      <c r="CJT394" s="104"/>
      <c r="CJU394" s="104"/>
      <c r="CJV394" s="119"/>
      <c r="CJW394" s="104"/>
      <c r="CJX394" s="455"/>
      <c r="CJY394" s="104"/>
      <c r="CJZ394" s="104"/>
      <c r="CKA394" s="109"/>
      <c r="CKB394" s="104"/>
      <c r="CKC394" s="104"/>
      <c r="CKD394" s="119"/>
      <c r="CKE394" s="104"/>
      <c r="CKF394" s="455"/>
      <c r="CKG394" s="104"/>
      <c r="CKH394" s="104"/>
      <c r="CKI394" s="109"/>
      <c r="CKJ394" s="104"/>
      <c r="CKK394" s="104"/>
      <c r="CKL394" s="119"/>
      <c r="CKM394" s="104"/>
      <c r="CKN394" s="455"/>
      <c r="CKO394" s="104"/>
      <c r="CKP394" s="104"/>
      <c r="CKQ394" s="109"/>
      <c r="CKR394" s="104"/>
      <c r="CKS394" s="104"/>
      <c r="CKT394" s="119"/>
      <c r="CKU394" s="104"/>
      <c r="CKV394" s="455"/>
      <c r="CKW394" s="104"/>
      <c r="CKX394" s="104"/>
      <c r="CKY394" s="109"/>
      <c r="CKZ394" s="104"/>
      <c r="CLA394" s="104"/>
      <c r="CLB394" s="119"/>
      <c r="CLC394" s="104"/>
      <c r="CLD394" s="455"/>
      <c r="CLE394" s="104"/>
      <c r="CLF394" s="104"/>
      <c r="CLG394" s="109"/>
      <c r="CLH394" s="104"/>
      <c r="CLI394" s="104"/>
      <c r="CLJ394" s="119"/>
      <c r="CLK394" s="104"/>
      <c r="CLL394" s="455"/>
      <c r="CLM394" s="104"/>
      <c r="CLN394" s="104"/>
      <c r="CLO394" s="109"/>
      <c r="CLP394" s="104"/>
      <c r="CLQ394" s="104"/>
      <c r="CLR394" s="119"/>
      <c r="CLS394" s="104"/>
      <c r="CLT394" s="455"/>
      <c r="CLU394" s="104"/>
      <c r="CLV394" s="104"/>
      <c r="CLW394" s="109"/>
      <c r="CLX394" s="104"/>
      <c r="CLY394" s="104"/>
      <c r="CLZ394" s="119"/>
      <c r="CMA394" s="104"/>
      <c r="CMB394" s="455"/>
      <c r="CMC394" s="104"/>
      <c r="CMD394" s="104"/>
      <c r="CME394" s="109"/>
      <c r="CMF394" s="104"/>
      <c r="CMG394" s="104"/>
      <c r="CMH394" s="119"/>
      <c r="CMI394" s="104"/>
      <c r="CMJ394" s="455"/>
      <c r="CMK394" s="104"/>
      <c r="CML394" s="104"/>
      <c r="CMM394" s="109"/>
      <c r="CMN394" s="104"/>
      <c r="CMO394" s="104"/>
      <c r="CMP394" s="119"/>
      <c r="CMQ394" s="104"/>
      <c r="CMR394" s="455"/>
      <c r="CMS394" s="104"/>
      <c r="CMT394" s="104"/>
      <c r="CMU394" s="109"/>
      <c r="CMV394" s="104"/>
      <c r="CMW394" s="104"/>
      <c r="CMX394" s="119"/>
      <c r="CMY394" s="104"/>
      <c r="CMZ394" s="455"/>
      <c r="CNA394" s="104"/>
      <c r="CNB394" s="104"/>
      <c r="CNC394" s="109"/>
      <c r="CND394" s="104"/>
      <c r="CNE394" s="104"/>
      <c r="CNF394" s="119"/>
      <c r="CNG394" s="104"/>
      <c r="CNH394" s="455"/>
      <c r="CNI394" s="104"/>
      <c r="CNJ394" s="104"/>
      <c r="CNK394" s="109"/>
      <c r="CNL394" s="104"/>
      <c r="CNM394" s="104"/>
      <c r="CNN394" s="119"/>
      <c r="CNO394" s="104"/>
      <c r="CNP394" s="455"/>
      <c r="CNQ394" s="104"/>
      <c r="CNR394" s="104"/>
      <c r="CNS394" s="109"/>
      <c r="CNT394" s="104"/>
      <c r="CNU394" s="104"/>
      <c r="CNV394" s="119"/>
      <c r="CNW394" s="104"/>
      <c r="CNX394" s="455"/>
      <c r="CNY394" s="104"/>
      <c r="CNZ394" s="104"/>
      <c r="COA394" s="109"/>
      <c r="COB394" s="104"/>
      <c r="COC394" s="104"/>
      <c r="COD394" s="119"/>
      <c r="COE394" s="104"/>
      <c r="COF394" s="455"/>
      <c r="COG394" s="104"/>
      <c r="COH394" s="104"/>
      <c r="COI394" s="109"/>
      <c r="COJ394" s="104"/>
      <c r="COK394" s="104"/>
      <c r="COL394" s="119"/>
      <c r="COM394" s="104"/>
      <c r="CON394" s="455"/>
      <c r="COO394" s="104"/>
      <c r="COP394" s="104"/>
      <c r="COQ394" s="109"/>
      <c r="COR394" s="104"/>
      <c r="COS394" s="104"/>
      <c r="COT394" s="119"/>
      <c r="COU394" s="104"/>
      <c r="COV394" s="455"/>
      <c r="COW394" s="104"/>
      <c r="COX394" s="104"/>
      <c r="COY394" s="109"/>
      <c r="COZ394" s="104"/>
      <c r="CPA394" s="104"/>
      <c r="CPB394" s="119"/>
      <c r="CPC394" s="104"/>
      <c r="CPD394" s="455"/>
      <c r="CPE394" s="104"/>
      <c r="CPF394" s="104"/>
      <c r="CPG394" s="109"/>
      <c r="CPH394" s="104"/>
      <c r="CPI394" s="104"/>
      <c r="CPJ394" s="119"/>
      <c r="CPK394" s="104"/>
      <c r="CPL394" s="455"/>
      <c r="CPM394" s="104"/>
      <c r="CPN394" s="104"/>
      <c r="CPO394" s="109"/>
      <c r="CPP394" s="104"/>
      <c r="CPQ394" s="104"/>
      <c r="CPR394" s="119"/>
      <c r="CPS394" s="104"/>
      <c r="CPT394" s="455"/>
      <c r="CPU394" s="104"/>
      <c r="CPV394" s="104"/>
      <c r="CPW394" s="109"/>
      <c r="CPX394" s="104"/>
      <c r="CPY394" s="104"/>
      <c r="CPZ394" s="119"/>
      <c r="CQA394" s="104"/>
      <c r="CQB394" s="455"/>
      <c r="CQC394" s="104"/>
      <c r="CQD394" s="104"/>
      <c r="CQE394" s="109"/>
      <c r="CQF394" s="104"/>
      <c r="CQG394" s="104"/>
      <c r="CQH394" s="119"/>
      <c r="CQI394" s="104"/>
      <c r="CQJ394" s="455"/>
      <c r="CQK394" s="104"/>
      <c r="CQL394" s="104"/>
      <c r="CQM394" s="109"/>
      <c r="CQN394" s="104"/>
      <c r="CQO394" s="104"/>
      <c r="CQP394" s="119"/>
      <c r="CQQ394" s="104"/>
      <c r="CQR394" s="455"/>
      <c r="CQS394" s="104"/>
      <c r="CQT394" s="104"/>
      <c r="CQU394" s="109"/>
      <c r="CQV394" s="104"/>
      <c r="CQW394" s="104"/>
      <c r="CQX394" s="119"/>
      <c r="CQY394" s="104"/>
      <c r="CQZ394" s="455"/>
      <c r="CRA394" s="104"/>
      <c r="CRB394" s="104"/>
      <c r="CRC394" s="109"/>
      <c r="CRD394" s="104"/>
      <c r="CRE394" s="104"/>
      <c r="CRF394" s="119"/>
      <c r="CRG394" s="104"/>
      <c r="CRH394" s="455"/>
      <c r="CRI394" s="104"/>
      <c r="CRJ394" s="104"/>
      <c r="CRK394" s="109"/>
      <c r="CRL394" s="104"/>
      <c r="CRM394" s="104"/>
      <c r="CRN394" s="119"/>
      <c r="CRO394" s="104"/>
      <c r="CRP394" s="455"/>
      <c r="CRQ394" s="104"/>
      <c r="CRR394" s="104"/>
      <c r="CRS394" s="109"/>
      <c r="CRT394" s="104"/>
      <c r="CRU394" s="104"/>
      <c r="CRV394" s="119"/>
      <c r="CRW394" s="104"/>
      <c r="CRX394" s="455"/>
      <c r="CRY394" s="104"/>
      <c r="CRZ394" s="104"/>
      <c r="CSA394" s="109"/>
      <c r="CSB394" s="104"/>
      <c r="CSC394" s="104"/>
      <c r="CSD394" s="119"/>
      <c r="CSE394" s="104"/>
      <c r="CSF394" s="455"/>
      <c r="CSG394" s="104"/>
      <c r="CSH394" s="104"/>
      <c r="CSI394" s="109"/>
      <c r="CSJ394" s="104"/>
      <c r="CSK394" s="104"/>
      <c r="CSL394" s="119"/>
      <c r="CSM394" s="104"/>
      <c r="CSN394" s="455"/>
      <c r="CSO394" s="104"/>
      <c r="CSP394" s="104"/>
      <c r="CSQ394" s="109"/>
      <c r="CSR394" s="104"/>
      <c r="CSS394" s="104"/>
      <c r="CST394" s="119"/>
      <c r="CSU394" s="104"/>
      <c r="CSV394" s="455"/>
      <c r="CSW394" s="104"/>
      <c r="CSX394" s="104"/>
      <c r="CSY394" s="109"/>
      <c r="CSZ394" s="104"/>
      <c r="CTA394" s="104"/>
      <c r="CTB394" s="119"/>
      <c r="CTC394" s="104"/>
      <c r="CTD394" s="455"/>
      <c r="CTE394" s="104"/>
      <c r="CTF394" s="104"/>
      <c r="CTG394" s="109"/>
      <c r="CTH394" s="104"/>
      <c r="CTI394" s="104"/>
      <c r="CTJ394" s="119"/>
      <c r="CTK394" s="104"/>
      <c r="CTL394" s="455"/>
      <c r="CTM394" s="104"/>
      <c r="CTN394" s="104"/>
      <c r="CTO394" s="109"/>
      <c r="CTP394" s="104"/>
      <c r="CTQ394" s="104"/>
      <c r="CTR394" s="119"/>
      <c r="CTS394" s="104"/>
      <c r="CTT394" s="455"/>
      <c r="CTU394" s="104"/>
      <c r="CTV394" s="104"/>
      <c r="CTW394" s="109"/>
      <c r="CTX394" s="104"/>
      <c r="CTY394" s="104"/>
      <c r="CTZ394" s="119"/>
      <c r="CUA394" s="104"/>
      <c r="CUB394" s="455"/>
      <c r="CUC394" s="104"/>
      <c r="CUD394" s="104"/>
      <c r="CUE394" s="109"/>
      <c r="CUF394" s="104"/>
      <c r="CUG394" s="104"/>
      <c r="CUH394" s="119"/>
      <c r="CUI394" s="104"/>
      <c r="CUJ394" s="455"/>
      <c r="CUK394" s="104"/>
      <c r="CUL394" s="104"/>
      <c r="CUM394" s="109"/>
      <c r="CUN394" s="104"/>
      <c r="CUO394" s="104"/>
      <c r="CUP394" s="119"/>
      <c r="CUQ394" s="104"/>
      <c r="CUR394" s="455"/>
      <c r="CUS394" s="104"/>
      <c r="CUT394" s="104"/>
      <c r="CUU394" s="109"/>
      <c r="CUV394" s="104"/>
      <c r="CUW394" s="104"/>
      <c r="CUX394" s="119"/>
      <c r="CUY394" s="104"/>
      <c r="CUZ394" s="455"/>
      <c r="CVA394" s="104"/>
      <c r="CVB394" s="104"/>
      <c r="CVC394" s="109"/>
      <c r="CVD394" s="104"/>
      <c r="CVE394" s="104"/>
      <c r="CVF394" s="119"/>
      <c r="CVG394" s="104"/>
      <c r="CVH394" s="455"/>
      <c r="CVI394" s="104"/>
      <c r="CVJ394" s="104"/>
      <c r="CVK394" s="109"/>
      <c r="CVL394" s="104"/>
      <c r="CVM394" s="104"/>
      <c r="CVN394" s="119"/>
      <c r="CVO394" s="104"/>
      <c r="CVP394" s="455"/>
      <c r="CVQ394" s="104"/>
      <c r="CVR394" s="104"/>
      <c r="CVS394" s="109"/>
      <c r="CVT394" s="104"/>
      <c r="CVU394" s="104"/>
      <c r="CVV394" s="119"/>
      <c r="CVW394" s="104"/>
      <c r="CVX394" s="455"/>
      <c r="CVY394" s="104"/>
      <c r="CVZ394" s="104"/>
      <c r="CWA394" s="109"/>
      <c r="CWB394" s="104"/>
      <c r="CWC394" s="104"/>
      <c r="CWD394" s="119"/>
      <c r="CWE394" s="104"/>
      <c r="CWF394" s="455"/>
      <c r="CWG394" s="104"/>
      <c r="CWH394" s="104"/>
      <c r="CWI394" s="109"/>
      <c r="CWJ394" s="104"/>
      <c r="CWK394" s="104"/>
      <c r="CWL394" s="119"/>
      <c r="CWM394" s="104"/>
      <c r="CWN394" s="455"/>
      <c r="CWO394" s="104"/>
      <c r="CWP394" s="104"/>
      <c r="CWQ394" s="109"/>
      <c r="CWR394" s="104"/>
      <c r="CWS394" s="104"/>
      <c r="CWT394" s="119"/>
      <c r="CWU394" s="104"/>
      <c r="CWV394" s="455"/>
      <c r="CWW394" s="104"/>
      <c r="CWX394" s="104"/>
      <c r="CWY394" s="109"/>
      <c r="CWZ394" s="104"/>
      <c r="CXA394" s="104"/>
      <c r="CXB394" s="119"/>
      <c r="CXC394" s="104"/>
      <c r="CXD394" s="455"/>
      <c r="CXE394" s="104"/>
      <c r="CXF394" s="104"/>
      <c r="CXG394" s="109"/>
      <c r="CXH394" s="104"/>
      <c r="CXI394" s="104"/>
      <c r="CXJ394" s="119"/>
      <c r="CXK394" s="104"/>
      <c r="CXL394" s="455"/>
      <c r="CXM394" s="104"/>
      <c r="CXN394" s="104"/>
      <c r="CXO394" s="109"/>
      <c r="CXP394" s="104"/>
      <c r="CXQ394" s="104"/>
      <c r="CXR394" s="119"/>
      <c r="CXS394" s="104"/>
      <c r="CXT394" s="455"/>
      <c r="CXU394" s="104"/>
      <c r="CXV394" s="104"/>
      <c r="CXW394" s="109"/>
      <c r="CXX394" s="104"/>
      <c r="CXY394" s="104"/>
      <c r="CXZ394" s="119"/>
      <c r="CYA394" s="104"/>
      <c r="CYB394" s="455"/>
      <c r="CYC394" s="104"/>
      <c r="CYD394" s="104"/>
      <c r="CYE394" s="109"/>
      <c r="CYF394" s="104"/>
      <c r="CYG394" s="104"/>
      <c r="CYH394" s="119"/>
      <c r="CYI394" s="104"/>
      <c r="CYJ394" s="455"/>
      <c r="CYK394" s="104"/>
      <c r="CYL394" s="104"/>
      <c r="CYM394" s="109"/>
      <c r="CYN394" s="104"/>
      <c r="CYO394" s="104"/>
      <c r="CYP394" s="119"/>
      <c r="CYQ394" s="104"/>
      <c r="CYR394" s="455"/>
      <c r="CYS394" s="104"/>
      <c r="CYT394" s="104"/>
      <c r="CYU394" s="109"/>
      <c r="CYV394" s="104"/>
      <c r="CYW394" s="104"/>
      <c r="CYX394" s="119"/>
      <c r="CYY394" s="104"/>
      <c r="CYZ394" s="455"/>
      <c r="CZA394" s="104"/>
      <c r="CZB394" s="104"/>
      <c r="CZC394" s="109"/>
      <c r="CZD394" s="104"/>
      <c r="CZE394" s="104"/>
      <c r="CZF394" s="119"/>
      <c r="CZG394" s="104"/>
      <c r="CZH394" s="455"/>
      <c r="CZI394" s="104"/>
      <c r="CZJ394" s="104"/>
      <c r="CZK394" s="109"/>
      <c r="CZL394" s="104"/>
      <c r="CZM394" s="104"/>
      <c r="CZN394" s="119"/>
      <c r="CZO394" s="104"/>
      <c r="CZP394" s="455"/>
      <c r="CZQ394" s="104"/>
      <c r="CZR394" s="104"/>
      <c r="CZS394" s="109"/>
      <c r="CZT394" s="104"/>
      <c r="CZU394" s="104"/>
      <c r="CZV394" s="119"/>
      <c r="CZW394" s="104"/>
      <c r="CZX394" s="455"/>
      <c r="CZY394" s="104"/>
      <c r="CZZ394" s="104"/>
      <c r="DAA394" s="109"/>
      <c r="DAB394" s="104"/>
      <c r="DAC394" s="104"/>
      <c r="DAD394" s="119"/>
      <c r="DAE394" s="104"/>
      <c r="DAF394" s="455"/>
      <c r="DAG394" s="104"/>
      <c r="DAH394" s="104"/>
      <c r="DAI394" s="109"/>
      <c r="DAJ394" s="104"/>
      <c r="DAK394" s="104"/>
      <c r="DAL394" s="119"/>
      <c r="DAM394" s="104"/>
      <c r="DAN394" s="455"/>
      <c r="DAO394" s="104"/>
      <c r="DAP394" s="104"/>
      <c r="DAQ394" s="109"/>
      <c r="DAR394" s="104"/>
      <c r="DAS394" s="104"/>
      <c r="DAT394" s="119"/>
      <c r="DAU394" s="104"/>
      <c r="DAV394" s="455"/>
      <c r="DAW394" s="104"/>
      <c r="DAX394" s="104"/>
      <c r="DAY394" s="109"/>
      <c r="DAZ394" s="104"/>
      <c r="DBA394" s="104"/>
      <c r="DBB394" s="119"/>
      <c r="DBC394" s="104"/>
      <c r="DBD394" s="455"/>
      <c r="DBE394" s="104"/>
      <c r="DBF394" s="104"/>
      <c r="DBG394" s="109"/>
      <c r="DBH394" s="104"/>
      <c r="DBI394" s="104"/>
      <c r="DBJ394" s="119"/>
      <c r="DBK394" s="104"/>
      <c r="DBL394" s="455"/>
      <c r="DBM394" s="104"/>
      <c r="DBN394" s="104"/>
      <c r="DBO394" s="109"/>
      <c r="DBP394" s="104"/>
      <c r="DBQ394" s="104"/>
      <c r="DBR394" s="119"/>
      <c r="DBS394" s="104"/>
      <c r="DBT394" s="455"/>
      <c r="DBU394" s="104"/>
      <c r="DBV394" s="104"/>
      <c r="DBW394" s="109"/>
      <c r="DBX394" s="104"/>
      <c r="DBY394" s="104"/>
      <c r="DBZ394" s="119"/>
      <c r="DCA394" s="104"/>
      <c r="DCB394" s="455"/>
      <c r="DCC394" s="104"/>
      <c r="DCD394" s="104"/>
      <c r="DCE394" s="109"/>
      <c r="DCF394" s="104"/>
      <c r="DCG394" s="104"/>
      <c r="DCH394" s="119"/>
      <c r="DCI394" s="104"/>
      <c r="DCJ394" s="455"/>
      <c r="DCK394" s="104"/>
      <c r="DCL394" s="104"/>
      <c r="DCM394" s="109"/>
      <c r="DCN394" s="104"/>
      <c r="DCO394" s="104"/>
      <c r="DCP394" s="119"/>
      <c r="DCQ394" s="104"/>
      <c r="DCR394" s="455"/>
      <c r="DCS394" s="104"/>
      <c r="DCT394" s="104"/>
      <c r="DCU394" s="109"/>
      <c r="DCV394" s="104"/>
      <c r="DCW394" s="104"/>
      <c r="DCX394" s="119"/>
      <c r="DCY394" s="104"/>
      <c r="DCZ394" s="455"/>
      <c r="DDA394" s="104"/>
      <c r="DDB394" s="104"/>
      <c r="DDC394" s="109"/>
      <c r="DDD394" s="104"/>
      <c r="DDE394" s="104"/>
      <c r="DDF394" s="119"/>
      <c r="DDG394" s="104"/>
      <c r="DDH394" s="455"/>
      <c r="DDI394" s="104"/>
      <c r="DDJ394" s="104"/>
      <c r="DDK394" s="109"/>
      <c r="DDL394" s="104"/>
      <c r="DDM394" s="104"/>
      <c r="DDN394" s="119"/>
      <c r="DDO394" s="104"/>
      <c r="DDP394" s="455"/>
      <c r="DDQ394" s="104"/>
      <c r="DDR394" s="104"/>
      <c r="DDS394" s="109"/>
      <c r="DDT394" s="104"/>
      <c r="DDU394" s="104"/>
      <c r="DDV394" s="119"/>
      <c r="DDW394" s="104"/>
      <c r="DDX394" s="455"/>
      <c r="DDY394" s="104"/>
      <c r="DDZ394" s="104"/>
      <c r="DEA394" s="109"/>
      <c r="DEB394" s="104"/>
      <c r="DEC394" s="104"/>
      <c r="DED394" s="119"/>
      <c r="DEE394" s="104"/>
      <c r="DEF394" s="455"/>
      <c r="DEG394" s="104"/>
      <c r="DEH394" s="104"/>
      <c r="DEI394" s="109"/>
      <c r="DEJ394" s="104"/>
      <c r="DEK394" s="104"/>
      <c r="DEL394" s="119"/>
      <c r="DEM394" s="104"/>
      <c r="DEN394" s="455"/>
      <c r="DEO394" s="104"/>
      <c r="DEP394" s="104"/>
      <c r="DEQ394" s="109"/>
      <c r="DER394" s="104"/>
      <c r="DES394" s="104"/>
      <c r="DET394" s="119"/>
      <c r="DEU394" s="104"/>
      <c r="DEV394" s="455"/>
      <c r="DEW394" s="104"/>
      <c r="DEX394" s="104"/>
      <c r="DEY394" s="109"/>
      <c r="DEZ394" s="104"/>
      <c r="DFA394" s="104"/>
      <c r="DFB394" s="119"/>
      <c r="DFC394" s="104"/>
      <c r="DFD394" s="455"/>
      <c r="DFE394" s="104"/>
      <c r="DFF394" s="104"/>
      <c r="DFG394" s="109"/>
      <c r="DFH394" s="104"/>
      <c r="DFI394" s="104"/>
      <c r="DFJ394" s="119"/>
      <c r="DFK394" s="104"/>
      <c r="DFL394" s="455"/>
      <c r="DFM394" s="104"/>
      <c r="DFN394" s="104"/>
      <c r="DFO394" s="109"/>
      <c r="DFP394" s="104"/>
      <c r="DFQ394" s="104"/>
      <c r="DFR394" s="119"/>
      <c r="DFS394" s="104"/>
      <c r="DFT394" s="455"/>
      <c r="DFU394" s="104"/>
      <c r="DFV394" s="104"/>
      <c r="DFW394" s="109"/>
      <c r="DFX394" s="104"/>
      <c r="DFY394" s="104"/>
      <c r="DFZ394" s="119"/>
      <c r="DGA394" s="104"/>
      <c r="DGB394" s="455"/>
      <c r="DGC394" s="104"/>
      <c r="DGD394" s="104"/>
      <c r="DGE394" s="109"/>
      <c r="DGF394" s="104"/>
      <c r="DGG394" s="104"/>
      <c r="DGH394" s="119"/>
      <c r="DGI394" s="104"/>
      <c r="DGJ394" s="455"/>
      <c r="DGK394" s="104"/>
      <c r="DGL394" s="104"/>
      <c r="DGM394" s="109"/>
      <c r="DGN394" s="104"/>
      <c r="DGO394" s="104"/>
      <c r="DGP394" s="119"/>
      <c r="DGQ394" s="104"/>
      <c r="DGR394" s="455"/>
      <c r="DGS394" s="104"/>
      <c r="DGT394" s="104"/>
      <c r="DGU394" s="109"/>
      <c r="DGV394" s="104"/>
      <c r="DGW394" s="104"/>
      <c r="DGX394" s="119"/>
      <c r="DGY394" s="104"/>
      <c r="DGZ394" s="455"/>
      <c r="DHA394" s="104"/>
      <c r="DHB394" s="104"/>
      <c r="DHC394" s="109"/>
      <c r="DHD394" s="104"/>
      <c r="DHE394" s="104"/>
      <c r="DHF394" s="119"/>
      <c r="DHG394" s="104"/>
      <c r="DHH394" s="455"/>
      <c r="DHI394" s="104"/>
      <c r="DHJ394" s="104"/>
      <c r="DHK394" s="109"/>
      <c r="DHL394" s="104"/>
      <c r="DHM394" s="104"/>
      <c r="DHN394" s="119"/>
      <c r="DHO394" s="104"/>
      <c r="DHP394" s="455"/>
      <c r="DHQ394" s="104"/>
      <c r="DHR394" s="104"/>
      <c r="DHS394" s="109"/>
      <c r="DHT394" s="104"/>
      <c r="DHU394" s="104"/>
      <c r="DHV394" s="119"/>
      <c r="DHW394" s="104"/>
      <c r="DHX394" s="455"/>
      <c r="DHY394" s="104"/>
      <c r="DHZ394" s="104"/>
      <c r="DIA394" s="109"/>
      <c r="DIB394" s="104"/>
      <c r="DIC394" s="104"/>
      <c r="DID394" s="119"/>
      <c r="DIE394" s="104"/>
      <c r="DIF394" s="455"/>
      <c r="DIG394" s="104"/>
      <c r="DIH394" s="104"/>
      <c r="DII394" s="109"/>
      <c r="DIJ394" s="104"/>
      <c r="DIK394" s="104"/>
      <c r="DIL394" s="119"/>
      <c r="DIM394" s="104"/>
      <c r="DIN394" s="455"/>
      <c r="DIO394" s="104"/>
      <c r="DIP394" s="104"/>
      <c r="DIQ394" s="109"/>
      <c r="DIR394" s="104"/>
      <c r="DIS394" s="104"/>
      <c r="DIT394" s="119"/>
      <c r="DIU394" s="104"/>
      <c r="DIV394" s="455"/>
      <c r="DIW394" s="104"/>
      <c r="DIX394" s="104"/>
      <c r="DIY394" s="109"/>
      <c r="DIZ394" s="104"/>
      <c r="DJA394" s="104"/>
      <c r="DJB394" s="119"/>
      <c r="DJC394" s="104"/>
      <c r="DJD394" s="455"/>
      <c r="DJE394" s="104"/>
      <c r="DJF394" s="104"/>
      <c r="DJG394" s="109"/>
      <c r="DJH394" s="104"/>
      <c r="DJI394" s="104"/>
      <c r="DJJ394" s="119"/>
      <c r="DJK394" s="104"/>
      <c r="DJL394" s="455"/>
      <c r="DJM394" s="104"/>
      <c r="DJN394" s="104"/>
      <c r="DJO394" s="109"/>
      <c r="DJP394" s="104"/>
      <c r="DJQ394" s="104"/>
      <c r="DJR394" s="119"/>
      <c r="DJS394" s="104"/>
      <c r="DJT394" s="455"/>
      <c r="DJU394" s="104"/>
      <c r="DJV394" s="104"/>
      <c r="DJW394" s="109"/>
      <c r="DJX394" s="104"/>
      <c r="DJY394" s="104"/>
      <c r="DJZ394" s="119"/>
      <c r="DKA394" s="104"/>
      <c r="DKB394" s="455"/>
      <c r="DKC394" s="104"/>
      <c r="DKD394" s="104"/>
      <c r="DKE394" s="109"/>
      <c r="DKF394" s="104"/>
      <c r="DKG394" s="104"/>
      <c r="DKH394" s="119"/>
      <c r="DKI394" s="104"/>
      <c r="DKJ394" s="455"/>
      <c r="DKK394" s="104"/>
      <c r="DKL394" s="104"/>
      <c r="DKM394" s="109"/>
      <c r="DKN394" s="104"/>
      <c r="DKO394" s="104"/>
      <c r="DKP394" s="119"/>
      <c r="DKQ394" s="104"/>
      <c r="DKR394" s="455"/>
      <c r="DKS394" s="104"/>
      <c r="DKT394" s="104"/>
      <c r="DKU394" s="109"/>
      <c r="DKV394" s="104"/>
      <c r="DKW394" s="104"/>
      <c r="DKX394" s="119"/>
      <c r="DKY394" s="104"/>
      <c r="DKZ394" s="455"/>
      <c r="DLA394" s="104"/>
      <c r="DLB394" s="104"/>
      <c r="DLC394" s="109"/>
      <c r="DLD394" s="104"/>
      <c r="DLE394" s="104"/>
      <c r="DLF394" s="119"/>
      <c r="DLG394" s="104"/>
      <c r="DLH394" s="455"/>
      <c r="DLI394" s="104"/>
      <c r="DLJ394" s="104"/>
      <c r="DLK394" s="109"/>
      <c r="DLL394" s="104"/>
      <c r="DLM394" s="104"/>
      <c r="DLN394" s="119"/>
      <c r="DLO394" s="104"/>
      <c r="DLP394" s="455"/>
      <c r="DLQ394" s="104"/>
      <c r="DLR394" s="104"/>
      <c r="DLS394" s="109"/>
      <c r="DLT394" s="104"/>
      <c r="DLU394" s="104"/>
      <c r="DLV394" s="119"/>
      <c r="DLW394" s="104"/>
      <c r="DLX394" s="455"/>
      <c r="DLY394" s="104"/>
      <c r="DLZ394" s="104"/>
      <c r="DMA394" s="109"/>
      <c r="DMB394" s="104"/>
      <c r="DMC394" s="104"/>
      <c r="DMD394" s="119"/>
      <c r="DME394" s="104"/>
      <c r="DMF394" s="455"/>
      <c r="DMG394" s="104"/>
      <c r="DMH394" s="104"/>
      <c r="DMI394" s="109"/>
      <c r="DMJ394" s="104"/>
      <c r="DMK394" s="104"/>
      <c r="DML394" s="119"/>
      <c r="DMM394" s="104"/>
      <c r="DMN394" s="455"/>
      <c r="DMO394" s="104"/>
      <c r="DMP394" s="104"/>
      <c r="DMQ394" s="109"/>
      <c r="DMR394" s="104"/>
      <c r="DMS394" s="104"/>
      <c r="DMT394" s="119"/>
      <c r="DMU394" s="104"/>
      <c r="DMV394" s="455"/>
      <c r="DMW394" s="104"/>
      <c r="DMX394" s="104"/>
      <c r="DMY394" s="109"/>
      <c r="DMZ394" s="104"/>
      <c r="DNA394" s="104"/>
      <c r="DNB394" s="119"/>
      <c r="DNC394" s="104"/>
      <c r="DND394" s="455"/>
      <c r="DNE394" s="104"/>
      <c r="DNF394" s="104"/>
      <c r="DNG394" s="109"/>
      <c r="DNH394" s="104"/>
      <c r="DNI394" s="104"/>
      <c r="DNJ394" s="119"/>
      <c r="DNK394" s="104"/>
      <c r="DNL394" s="455"/>
      <c r="DNM394" s="104"/>
      <c r="DNN394" s="104"/>
      <c r="DNO394" s="109"/>
      <c r="DNP394" s="104"/>
      <c r="DNQ394" s="104"/>
      <c r="DNR394" s="119"/>
      <c r="DNS394" s="104"/>
      <c r="DNT394" s="455"/>
      <c r="DNU394" s="104"/>
      <c r="DNV394" s="104"/>
      <c r="DNW394" s="109"/>
      <c r="DNX394" s="104"/>
      <c r="DNY394" s="104"/>
      <c r="DNZ394" s="119"/>
      <c r="DOA394" s="104"/>
      <c r="DOB394" s="455"/>
      <c r="DOC394" s="104"/>
      <c r="DOD394" s="104"/>
      <c r="DOE394" s="109"/>
      <c r="DOF394" s="104"/>
      <c r="DOG394" s="104"/>
      <c r="DOH394" s="119"/>
      <c r="DOI394" s="104"/>
      <c r="DOJ394" s="455"/>
      <c r="DOK394" s="104"/>
      <c r="DOL394" s="104"/>
      <c r="DOM394" s="109"/>
      <c r="DON394" s="104"/>
      <c r="DOO394" s="104"/>
      <c r="DOP394" s="119"/>
      <c r="DOQ394" s="104"/>
      <c r="DOR394" s="455"/>
      <c r="DOS394" s="104"/>
      <c r="DOT394" s="104"/>
      <c r="DOU394" s="109"/>
      <c r="DOV394" s="104"/>
      <c r="DOW394" s="104"/>
      <c r="DOX394" s="119"/>
      <c r="DOY394" s="104"/>
      <c r="DOZ394" s="455"/>
      <c r="DPA394" s="104"/>
      <c r="DPB394" s="104"/>
      <c r="DPC394" s="109"/>
      <c r="DPD394" s="104"/>
      <c r="DPE394" s="104"/>
      <c r="DPF394" s="119"/>
      <c r="DPG394" s="104"/>
      <c r="DPH394" s="455"/>
      <c r="DPI394" s="104"/>
      <c r="DPJ394" s="104"/>
      <c r="DPK394" s="109"/>
      <c r="DPL394" s="104"/>
      <c r="DPM394" s="104"/>
      <c r="DPN394" s="119"/>
      <c r="DPO394" s="104"/>
      <c r="DPP394" s="455"/>
      <c r="DPQ394" s="104"/>
      <c r="DPR394" s="104"/>
      <c r="DPS394" s="109"/>
      <c r="DPT394" s="104"/>
      <c r="DPU394" s="104"/>
      <c r="DPV394" s="119"/>
      <c r="DPW394" s="104"/>
      <c r="DPX394" s="455"/>
      <c r="DPY394" s="104"/>
      <c r="DPZ394" s="104"/>
      <c r="DQA394" s="109"/>
      <c r="DQB394" s="104"/>
      <c r="DQC394" s="104"/>
      <c r="DQD394" s="119"/>
      <c r="DQE394" s="104"/>
      <c r="DQF394" s="455"/>
      <c r="DQG394" s="104"/>
      <c r="DQH394" s="104"/>
      <c r="DQI394" s="109"/>
      <c r="DQJ394" s="104"/>
      <c r="DQK394" s="104"/>
      <c r="DQL394" s="119"/>
      <c r="DQM394" s="104"/>
      <c r="DQN394" s="455"/>
      <c r="DQO394" s="104"/>
      <c r="DQP394" s="104"/>
      <c r="DQQ394" s="109"/>
      <c r="DQR394" s="104"/>
      <c r="DQS394" s="104"/>
      <c r="DQT394" s="119"/>
      <c r="DQU394" s="104"/>
      <c r="DQV394" s="455"/>
      <c r="DQW394" s="104"/>
      <c r="DQX394" s="104"/>
      <c r="DQY394" s="109"/>
      <c r="DQZ394" s="104"/>
      <c r="DRA394" s="104"/>
      <c r="DRB394" s="119"/>
      <c r="DRC394" s="104"/>
      <c r="DRD394" s="455"/>
      <c r="DRE394" s="104"/>
      <c r="DRF394" s="104"/>
      <c r="DRG394" s="109"/>
      <c r="DRH394" s="104"/>
      <c r="DRI394" s="104"/>
      <c r="DRJ394" s="119"/>
      <c r="DRK394" s="104"/>
      <c r="DRL394" s="455"/>
      <c r="DRM394" s="104"/>
      <c r="DRN394" s="104"/>
      <c r="DRO394" s="109"/>
      <c r="DRP394" s="104"/>
      <c r="DRQ394" s="104"/>
      <c r="DRR394" s="119"/>
      <c r="DRS394" s="104"/>
      <c r="DRT394" s="455"/>
      <c r="DRU394" s="104"/>
      <c r="DRV394" s="104"/>
      <c r="DRW394" s="109"/>
      <c r="DRX394" s="104"/>
      <c r="DRY394" s="104"/>
      <c r="DRZ394" s="119"/>
      <c r="DSA394" s="104"/>
      <c r="DSB394" s="455"/>
      <c r="DSC394" s="104"/>
      <c r="DSD394" s="104"/>
      <c r="DSE394" s="109"/>
      <c r="DSF394" s="104"/>
      <c r="DSG394" s="104"/>
      <c r="DSH394" s="119"/>
      <c r="DSI394" s="104"/>
      <c r="DSJ394" s="455"/>
      <c r="DSK394" s="104"/>
      <c r="DSL394" s="104"/>
      <c r="DSM394" s="109"/>
      <c r="DSN394" s="104"/>
      <c r="DSO394" s="104"/>
      <c r="DSP394" s="119"/>
      <c r="DSQ394" s="104"/>
      <c r="DSR394" s="455"/>
      <c r="DSS394" s="104"/>
      <c r="DST394" s="104"/>
      <c r="DSU394" s="109"/>
      <c r="DSV394" s="104"/>
      <c r="DSW394" s="104"/>
      <c r="DSX394" s="119"/>
      <c r="DSY394" s="104"/>
      <c r="DSZ394" s="455"/>
      <c r="DTA394" s="104"/>
      <c r="DTB394" s="104"/>
      <c r="DTC394" s="109"/>
      <c r="DTD394" s="104"/>
      <c r="DTE394" s="104"/>
      <c r="DTF394" s="119"/>
      <c r="DTG394" s="104"/>
      <c r="DTH394" s="455"/>
      <c r="DTI394" s="104"/>
      <c r="DTJ394" s="104"/>
      <c r="DTK394" s="109"/>
      <c r="DTL394" s="104"/>
      <c r="DTM394" s="104"/>
      <c r="DTN394" s="119"/>
      <c r="DTO394" s="104"/>
      <c r="DTP394" s="455"/>
      <c r="DTQ394" s="104"/>
      <c r="DTR394" s="104"/>
      <c r="DTS394" s="109"/>
      <c r="DTT394" s="104"/>
      <c r="DTU394" s="104"/>
      <c r="DTV394" s="119"/>
      <c r="DTW394" s="104"/>
      <c r="DTX394" s="455"/>
      <c r="DTY394" s="104"/>
      <c r="DTZ394" s="104"/>
      <c r="DUA394" s="109"/>
      <c r="DUB394" s="104"/>
      <c r="DUC394" s="104"/>
      <c r="DUD394" s="119"/>
      <c r="DUE394" s="104"/>
      <c r="DUF394" s="455"/>
      <c r="DUG394" s="104"/>
      <c r="DUH394" s="104"/>
      <c r="DUI394" s="109"/>
      <c r="DUJ394" s="104"/>
      <c r="DUK394" s="104"/>
      <c r="DUL394" s="119"/>
      <c r="DUM394" s="104"/>
      <c r="DUN394" s="455"/>
      <c r="DUO394" s="104"/>
      <c r="DUP394" s="104"/>
      <c r="DUQ394" s="109"/>
      <c r="DUR394" s="104"/>
      <c r="DUS394" s="104"/>
      <c r="DUT394" s="119"/>
      <c r="DUU394" s="104"/>
      <c r="DUV394" s="455"/>
      <c r="DUW394" s="104"/>
      <c r="DUX394" s="104"/>
      <c r="DUY394" s="109"/>
      <c r="DUZ394" s="104"/>
      <c r="DVA394" s="104"/>
      <c r="DVB394" s="119"/>
      <c r="DVC394" s="104"/>
      <c r="DVD394" s="455"/>
      <c r="DVE394" s="104"/>
      <c r="DVF394" s="104"/>
      <c r="DVG394" s="109"/>
      <c r="DVH394" s="104"/>
      <c r="DVI394" s="104"/>
      <c r="DVJ394" s="119"/>
      <c r="DVK394" s="104"/>
      <c r="DVL394" s="455"/>
      <c r="DVM394" s="104"/>
      <c r="DVN394" s="104"/>
      <c r="DVO394" s="109"/>
      <c r="DVP394" s="104"/>
      <c r="DVQ394" s="104"/>
      <c r="DVR394" s="119"/>
      <c r="DVS394" s="104"/>
      <c r="DVT394" s="455"/>
      <c r="DVU394" s="104"/>
      <c r="DVV394" s="104"/>
      <c r="DVW394" s="109"/>
      <c r="DVX394" s="104"/>
      <c r="DVY394" s="104"/>
      <c r="DVZ394" s="119"/>
      <c r="DWA394" s="104"/>
      <c r="DWB394" s="455"/>
      <c r="DWC394" s="104"/>
      <c r="DWD394" s="104"/>
      <c r="DWE394" s="109"/>
      <c r="DWF394" s="104"/>
      <c r="DWG394" s="104"/>
      <c r="DWH394" s="119"/>
      <c r="DWI394" s="104"/>
      <c r="DWJ394" s="455"/>
      <c r="DWK394" s="104"/>
      <c r="DWL394" s="104"/>
      <c r="DWM394" s="109"/>
      <c r="DWN394" s="104"/>
      <c r="DWO394" s="104"/>
      <c r="DWP394" s="119"/>
      <c r="DWQ394" s="104"/>
      <c r="DWR394" s="455"/>
      <c r="DWS394" s="104"/>
      <c r="DWT394" s="104"/>
      <c r="DWU394" s="109"/>
      <c r="DWV394" s="104"/>
      <c r="DWW394" s="104"/>
      <c r="DWX394" s="119"/>
      <c r="DWY394" s="104"/>
      <c r="DWZ394" s="455"/>
      <c r="DXA394" s="104"/>
      <c r="DXB394" s="104"/>
      <c r="DXC394" s="109"/>
      <c r="DXD394" s="104"/>
      <c r="DXE394" s="104"/>
      <c r="DXF394" s="119"/>
      <c r="DXG394" s="104"/>
      <c r="DXH394" s="455"/>
      <c r="DXI394" s="104"/>
      <c r="DXJ394" s="104"/>
      <c r="DXK394" s="109"/>
      <c r="DXL394" s="104"/>
      <c r="DXM394" s="104"/>
      <c r="DXN394" s="119"/>
      <c r="DXO394" s="104"/>
      <c r="DXP394" s="455"/>
      <c r="DXQ394" s="104"/>
      <c r="DXR394" s="104"/>
      <c r="DXS394" s="109"/>
      <c r="DXT394" s="104"/>
      <c r="DXU394" s="104"/>
      <c r="DXV394" s="119"/>
      <c r="DXW394" s="104"/>
      <c r="DXX394" s="455"/>
      <c r="DXY394" s="104"/>
      <c r="DXZ394" s="104"/>
      <c r="DYA394" s="109"/>
      <c r="DYB394" s="104"/>
      <c r="DYC394" s="104"/>
      <c r="DYD394" s="119"/>
      <c r="DYE394" s="104"/>
      <c r="DYF394" s="455"/>
      <c r="DYG394" s="104"/>
      <c r="DYH394" s="104"/>
      <c r="DYI394" s="109"/>
      <c r="DYJ394" s="104"/>
      <c r="DYK394" s="104"/>
      <c r="DYL394" s="119"/>
      <c r="DYM394" s="104"/>
      <c r="DYN394" s="455"/>
      <c r="DYO394" s="104"/>
      <c r="DYP394" s="104"/>
      <c r="DYQ394" s="109"/>
      <c r="DYR394" s="104"/>
      <c r="DYS394" s="104"/>
      <c r="DYT394" s="119"/>
      <c r="DYU394" s="104"/>
      <c r="DYV394" s="455"/>
      <c r="DYW394" s="104"/>
      <c r="DYX394" s="104"/>
      <c r="DYY394" s="109"/>
      <c r="DYZ394" s="104"/>
      <c r="DZA394" s="104"/>
      <c r="DZB394" s="119"/>
      <c r="DZC394" s="104"/>
      <c r="DZD394" s="455"/>
      <c r="DZE394" s="104"/>
      <c r="DZF394" s="104"/>
      <c r="DZG394" s="109"/>
      <c r="DZH394" s="104"/>
      <c r="DZI394" s="104"/>
      <c r="DZJ394" s="119"/>
      <c r="DZK394" s="104"/>
      <c r="DZL394" s="455"/>
      <c r="DZM394" s="104"/>
      <c r="DZN394" s="104"/>
      <c r="DZO394" s="109"/>
      <c r="DZP394" s="104"/>
      <c r="DZQ394" s="104"/>
      <c r="DZR394" s="119"/>
      <c r="DZS394" s="104"/>
      <c r="DZT394" s="455"/>
      <c r="DZU394" s="104"/>
      <c r="DZV394" s="104"/>
      <c r="DZW394" s="109"/>
      <c r="DZX394" s="104"/>
      <c r="DZY394" s="104"/>
      <c r="DZZ394" s="119"/>
      <c r="EAA394" s="104"/>
      <c r="EAB394" s="455"/>
      <c r="EAC394" s="104"/>
      <c r="EAD394" s="104"/>
      <c r="EAE394" s="109"/>
      <c r="EAF394" s="104"/>
      <c r="EAG394" s="104"/>
      <c r="EAH394" s="119"/>
      <c r="EAI394" s="104"/>
      <c r="EAJ394" s="455"/>
      <c r="EAK394" s="104"/>
      <c r="EAL394" s="104"/>
      <c r="EAM394" s="109"/>
      <c r="EAN394" s="104"/>
      <c r="EAO394" s="104"/>
      <c r="EAP394" s="119"/>
      <c r="EAQ394" s="104"/>
      <c r="EAR394" s="455"/>
      <c r="EAS394" s="104"/>
      <c r="EAT394" s="104"/>
      <c r="EAU394" s="109"/>
      <c r="EAV394" s="104"/>
      <c r="EAW394" s="104"/>
      <c r="EAX394" s="119"/>
      <c r="EAY394" s="104"/>
      <c r="EAZ394" s="455"/>
      <c r="EBA394" s="104"/>
      <c r="EBB394" s="104"/>
      <c r="EBC394" s="109"/>
      <c r="EBD394" s="104"/>
      <c r="EBE394" s="104"/>
      <c r="EBF394" s="119"/>
      <c r="EBG394" s="104"/>
      <c r="EBH394" s="455"/>
      <c r="EBI394" s="104"/>
      <c r="EBJ394" s="104"/>
      <c r="EBK394" s="109"/>
      <c r="EBL394" s="104"/>
      <c r="EBM394" s="104"/>
      <c r="EBN394" s="119"/>
      <c r="EBO394" s="104"/>
      <c r="EBP394" s="455"/>
      <c r="EBQ394" s="104"/>
      <c r="EBR394" s="104"/>
      <c r="EBS394" s="109"/>
      <c r="EBT394" s="104"/>
      <c r="EBU394" s="104"/>
      <c r="EBV394" s="119"/>
      <c r="EBW394" s="104"/>
      <c r="EBX394" s="455"/>
      <c r="EBY394" s="104"/>
      <c r="EBZ394" s="104"/>
      <c r="ECA394" s="109"/>
      <c r="ECB394" s="104"/>
      <c r="ECC394" s="104"/>
      <c r="ECD394" s="119"/>
      <c r="ECE394" s="104"/>
      <c r="ECF394" s="455"/>
      <c r="ECG394" s="104"/>
      <c r="ECH394" s="104"/>
      <c r="ECI394" s="109"/>
      <c r="ECJ394" s="104"/>
      <c r="ECK394" s="104"/>
      <c r="ECL394" s="119"/>
      <c r="ECM394" s="104"/>
      <c r="ECN394" s="455"/>
      <c r="ECO394" s="104"/>
      <c r="ECP394" s="104"/>
      <c r="ECQ394" s="109"/>
      <c r="ECR394" s="104"/>
      <c r="ECS394" s="104"/>
      <c r="ECT394" s="119"/>
      <c r="ECU394" s="104"/>
      <c r="ECV394" s="455"/>
      <c r="ECW394" s="104"/>
      <c r="ECX394" s="104"/>
      <c r="ECY394" s="109"/>
      <c r="ECZ394" s="104"/>
      <c r="EDA394" s="104"/>
      <c r="EDB394" s="119"/>
      <c r="EDC394" s="104"/>
      <c r="EDD394" s="455"/>
      <c r="EDE394" s="104"/>
      <c r="EDF394" s="104"/>
      <c r="EDG394" s="109"/>
      <c r="EDH394" s="104"/>
      <c r="EDI394" s="104"/>
      <c r="EDJ394" s="119"/>
      <c r="EDK394" s="104"/>
      <c r="EDL394" s="455"/>
      <c r="EDM394" s="104"/>
      <c r="EDN394" s="104"/>
      <c r="EDO394" s="109"/>
      <c r="EDP394" s="104"/>
      <c r="EDQ394" s="104"/>
      <c r="EDR394" s="119"/>
      <c r="EDS394" s="104"/>
      <c r="EDT394" s="455"/>
      <c r="EDU394" s="104"/>
      <c r="EDV394" s="104"/>
      <c r="EDW394" s="109"/>
      <c r="EDX394" s="104"/>
      <c r="EDY394" s="104"/>
      <c r="EDZ394" s="119"/>
      <c r="EEA394" s="104"/>
      <c r="EEB394" s="455"/>
      <c r="EEC394" s="104"/>
      <c r="EED394" s="104"/>
      <c r="EEE394" s="109"/>
      <c r="EEF394" s="104"/>
      <c r="EEG394" s="104"/>
      <c r="EEH394" s="119"/>
      <c r="EEI394" s="104"/>
      <c r="EEJ394" s="455"/>
      <c r="EEK394" s="104"/>
      <c r="EEL394" s="104"/>
      <c r="EEM394" s="109"/>
      <c r="EEN394" s="104"/>
      <c r="EEO394" s="104"/>
      <c r="EEP394" s="119"/>
      <c r="EEQ394" s="104"/>
      <c r="EER394" s="455"/>
      <c r="EES394" s="104"/>
      <c r="EET394" s="104"/>
      <c r="EEU394" s="109"/>
      <c r="EEV394" s="104"/>
      <c r="EEW394" s="104"/>
      <c r="EEX394" s="119"/>
      <c r="EEY394" s="104"/>
      <c r="EEZ394" s="455"/>
      <c r="EFA394" s="104"/>
      <c r="EFB394" s="104"/>
      <c r="EFC394" s="109"/>
      <c r="EFD394" s="104"/>
      <c r="EFE394" s="104"/>
      <c r="EFF394" s="119"/>
      <c r="EFG394" s="104"/>
      <c r="EFH394" s="455"/>
      <c r="EFI394" s="104"/>
      <c r="EFJ394" s="104"/>
      <c r="EFK394" s="109"/>
      <c r="EFL394" s="104"/>
      <c r="EFM394" s="104"/>
      <c r="EFN394" s="119"/>
      <c r="EFO394" s="104"/>
      <c r="EFP394" s="455"/>
      <c r="EFQ394" s="104"/>
      <c r="EFR394" s="104"/>
      <c r="EFS394" s="109"/>
      <c r="EFT394" s="104"/>
      <c r="EFU394" s="104"/>
      <c r="EFV394" s="119"/>
      <c r="EFW394" s="104"/>
      <c r="EFX394" s="455"/>
      <c r="EFY394" s="104"/>
      <c r="EFZ394" s="104"/>
      <c r="EGA394" s="109"/>
      <c r="EGB394" s="104"/>
      <c r="EGC394" s="104"/>
      <c r="EGD394" s="119"/>
      <c r="EGE394" s="104"/>
      <c r="EGF394" s="455"/>
      <c r="EGG394" s="104"/>
      <c r="EGH394" s="104"/>
      <c r="EGI394" s="109"/>
      <c r="EGJ394" s="104"/>
      <c r="EGK394" s="104"/>
      <c r="EGL394" s="119"/>
      <c r="EGM394" s="104"/>
      <c r="EGN394" s="455"/>
      <c r="EGO394" s="104"/>
      <c r="EGP394" s="104"/>
      <c r="EGQ394" s="109"/>
      <c r="EGR394" s="104"/>
      <c r="EGS394" s="104"/>
      <c r="EGT394" s="119"/>
      <c r="EGU394" s="104"/>
      <c r="EGV394" s="455"/>
      <c r="EGW394" s="104"/>
      <c r="EGX394" s="104"/>
      <c r="EGY394" s="109"/>
      <c r="EGZ394" s="104"/>
      <c r="EHA394" s="104"/>
      <c r="EHB394" s="119"/>
      <c r="EHC394" s="104"/>
      <c r="EHD394" s="455"/>
      <c r="EHE394" s="104"/>
      <c r="EHF394" s="104"/>
      <c r="EHG394" s="109"/>
      <c r="EHH394" s="104"/>
      <c r="EHI394" s="104"/>
      <c r="EHJ394" s="119"/>
      <c r="EHK394" s="104"/>
      <c r="EHL394" s="455"/>
      <c r="EHM394" s="104"/>
      <c r="EHN394" s="104"/>
      <c r="EHO394" s="109"/>
      <c r="EHP394" s="104"/>
      <c r="EHQ394" s="104"/>
      <c r="EHR394" s="119"/>
      <c r="EHS394" s="104"/>
      <c r="EHT394" s="455"/>
      <c r="EHU394" s="104"/>
      <c r="EHV394" s="104"/>
      <c r="EHW394" s="109"/>
      <c r="EHX394" s="104"/>
      <c r="EHY394" s="104"/>
      <c r="EHZ394" s="119"/>
      <c r="EIA394" s="104"/>
      <c r="EIB394" s="455"/>
      <c r="EIC394" s="104"/>
      <c r="EID394" s="104"/>
      <c r="EIE394" s="109"/>
      <c r="EIF394" s="104"/>
      <c r="EIG394" s="104"/>
      <c r="EIH394" s="119"/>
      <c r="EII394" s="104"/>
      <c r="EIJ394" s="455"/>
      <c r="EIK394" s="104"/>
      <c r="EIL394" s="104"/>
      <c r="EIM394" s="109"/>
      <c r="EIN394" s="104"/>
      <c r="EIO394" s="104"/>
      <c r="EIP394" s="119"/>
      <c r="EIQ394" s="104"/>
      <c r="EIR394" s="455"/>
      <c r="EIS394" s="104"/>
      <c r="EIT394" s="104"/>
      <c r="EIU394" s="109"/>
      <c r="EIV394" s="104"/>
      <c r="EIW394" s="104"/>
      <c r="EIX394" s="119"/>
      <c r="EIY394" s="104"/>
      <c r="EIZ394" s="455"/>
      <c r="EJA394" s="104"/>
      <c r="EJB394" s="104"/>
      <c r="EJC394" s="109"/>
      <c r="EJD394" s="104"/>
      <c r="EJE394" s="104"/>
      <c r="EJF394" s="119"/>
      <c r="EJG394" s="104"/>
      <c r="EJH394" s="455"/>
      <c r="EJI394" s="104"/>
      <c r="EJJ394" s="104"/>
      <c r="EJK394" s="109"/>
      <c r="EJL394" s="104"/>
      <c r="EJM394" s="104"/>
      <c r="EJN394" s="119"/>
      <c r="EJO394" s="104"/>
      <c r="EJP394" s="455"/>
      <c r="EJQ394" s="104"/>
      <c r="EJR394" s="104"/>
      <c r="EJS394" s="109"/>
      <c r="EJT394" s="104"/>
      <c r="EJU394" s="104"/>
      <c r="EJV394" s="119"/>
      <c r="EJW394" s="104"/>
      <c r="EJX394" s="455"/>
      <c r="EJY394" s="104"/>
      <c r="EJZ394" s="104"/>
      <c r="EKA394" s="109"/>
      <c r="EKB394" s="104"/>
      <c r="EKC394" s="104"/>
      <c r="EKD394" s="119"/>
      <c r="EKE394" s="104"/>
      <c r="EKF394" s="455"/>
      <c r="EKG394" s="104"/>
      <c r="EKH394" s="104"/>
      <c r="EKI394" s="109"/>
      <c r="EKJ394" s="104"/>
      <c r="EKK394" s="104"/>
      <c r="EKL394" s="119"/>
      <c r="EKM394" s="104"/>
      <c r="EKN394" s="455"/>
      <c r="EKO394" s="104"/>
      <c r="EKP394" s="104"/>
      <c r="EKQ394" s="109"/>
      <c r="EKR394" s="104"/>
      <c r="EKS394" s="104"/>
      <c r="EKT394" s="119"/>
      <c r="EKU394" s="104"/>
      <c r="EKV394" s="455"/>
      <c r="EKW394" s="104"/>
      <c r="EKX394" s="104"/>
      <c r="EKY394" s="109"/>
      <c r="EKZ394" s="104"/>
      <c r="ELA394" s="104"/>
      <c r="ELB394" s="119"/>
      <c r="ELC394" s="104"/>
      <c r="ELD394" s="455"/>
      <c r="ELE394" s="104"/>
      <c r="ELF394" s="104"/>
      <c r="ELG394" s="109"/>
      <c r="ELH394" s="104"/>
      <c r="ELI394" s="104"/>
      <c r="ELJ394" s="119"/>
      <c r="ELK394" s="104"/>
      <c r="ELL394" s="455"/>
      <c r="ELM394" s="104"/>
      <c r="ELN394" s="104"/>
      <c r="ELO394" s="109"/>
      <c r="ELP394" s="104"/>
      <c r="ELQ394" s="104"/>
      <c r="ELR394" s="119"/>
      <c r="ELS394" s="104"/>
      <c r="ELT394" s="455"/>
      <c r="ELU394" s="104"/>
      <c r="ELV394" s="104"/>
      <c r="ELW394" s="109"/>
      <c r="ELX394" s="104"/>
      <c r="ELY394" s="104"/>
      <c r="ELZ394" s="119"/>
      <c r="EMA394" s="104"/>
      <c r="EMB394" s="455"/>
      <c r="EMC394" s="104"/>
      <c r="EMD394" s="104"/>
      <c r="EME394" s="109"/>
      <c r="EMF394" s="104"/>
      <c r="EMG394" s="104"/>
      <c r="EMH394" s="119"/>
      <c r="EMI394" s="104"/>
      <c r="EMJ394" s="455"/>
      <c r="EMK394" s="104"/>
      <c r="EML394" s="104"/>
      <c r="EMM394" s="109"/>
      <c r="EMN394" s="104"/>
      <c r="EMO394" s="104"/>
      <c r="EMP394" s="119"/>
      <c r="EMQ394" s="104"/>
      <c r="EMR394" s="455"/>
      <c r="EMS394" s="104"/>
      <c r="EMT394" s="104"/>
      <c r="EMU394" s="109"/>
      <c r="EMV394" s="104"/>
      <c r="EMW394" s="104"/>
      <c r="EMX394" s="119"/>
      <c r="EMY394" s="104"/>
      <c r="EMZ394" s="455"/>
      <c r="ENA394" s="104"/>
      <c r="ENB394" s="104"/>
      <c r="ENC394" s="109"/>
      <c r="END394" s="104"/>
      <c r="ENE394" s="104"/>
      <c r="ENF394" s="119"/>
      <c r="ENG394" s="104"/>
      <c r="ENH394" s="455"/>
      <c r="ENI394" s="104"/>
      <c r="ENJ394" s="104"/>
      <c r="ENK394" s="109"/>
      <c r="ENL394" s="104"/>
      <c r="ENM394" s="104"/>
      <c r="ENN394" s="119"/>
      <c r="ENO394" s="104"/>
      <c r="ENP394" s="455"/>
      <c r="ENQ394" s="104"/>
      <c r="ENR394" s="104"/>
      <c r="ENS394" s="109"/>
      <c r="ENT394" s="104"/>
      <c r="ENU394" s="104"/>
      <c r="ENV394" s="119"/>
      <c r="ENW394" s="104"/>
      <c r="ENX394" s="455"/>
      <c r="ENY394" s="104"/>
      <c r="ENZ394" s="104"/>
      <c r="EOA394" s="109"/>
      <c r="EOB394" s="104"/>
      <c r="EOC394" s="104"/>
      <c r="EOD394" s="119"/>
      <c r="EOE394" s="104"/>
      <c r="EOF394" s="455"/>
      <c r="EOG394" s="104"/>
      <c r="EOH394" s="104"/>
      <c r="EOI394" s="109"/>
      <c r="EOJ394" s="104"/>
      <c r="EOK394" s="104"/>
      <c r="EOL394" s="119"/>
      <c r="EOM394" s="104"/>
      <c r="EON394" s="455"/>
      <c r="EOO394" s="104"/>
      <c r="EOP394" s="104"/>
      <c r="EOQ394" s="109"/>
      <c r="EOR394" s="104"/>
      <c r="EOS394" s="104"/>
      <c r="EOT394" s="119"/>
      <c r="EOU394" s="104"/>
      <c r="EOV394" s="455"/>
      <c r="EOW394" s="104"/>
      <c r="EOX394" s="104"/>
      <c r="EOY394" s="109"/>
      <c r="EOZ394" s="104"/>
      <c r="EPA394" s="104"/>
      <c r="EPB394" s="119"/>
      <c r="EPC394" s="104"/>
      <c r="EPD394" s="455"/>
      <c r="EPE394" s="104"/>
      <c r="EPF394" s="104"/>
      <c r="EPG394" s="109"/>
      <c r="EPH394" s="104"/>
      <c r="EPI394" s="104"/>
      <c r="EPJ394" s="119"/>
      <c r="EPK394" s="104"/>
      <c r="EPL394" s="455"/>
      <c r="EPM394" s="104"/>
      <c r="EPN394" s="104"/>
      <c r="EPO394" s="109"/>
      <c r="EPP394" s="104"/>
      <c r="EPQ394" s="104"/>
      <c r="EPR394" s="119"/>
      <c r="EPS394" s="104"/>
      <c r="EPT394" s="455"/>
      <c r="EPU394" s="104"/>
      <c r="EPV394" s="104"/>
      <c r="EPW394" s="109"/>
      <c r="EPX394" s="104"/>
      <c r="EPY394" s="104"/>
      <c r="EPZ394" s="119"/>
      <c r="EQA394" s="104"/>
      <c r="EQB394" s="455"/>
      <c r="EQC394" s="104"/>
      <c r="EQD394" s="104"/>
      <c r="EQE394" s="109"/>
      <c r="EQF394" s="104"/>
      <c r="EQG394" s="104"/>
      <c r="EQH394" s="119"/>
      <c r="EQI394" s="104"/>
      <c r="EQJ394" s="455"/>
      <c r="EQK394" s="104"/>
      <c r="EQL394" s="104"/>
      <c r="EQM394" s="109"/>
      <c r="EQN394" s="104"/>
      <c r="EQO394" s="104"/>
      <c r="EQP394" s="119"/>
      <c r="EQQ394" s="104"/>
      <c r="EQR394" s="455"/>
      <c r="EQS394" s="104"/>
      <c r="EQT394" s="104"/>
      <c r="EQU394" s="109"/>
      <c r="EQV394" s="104"/>
      <c r="EQW394" s="104"/>
      <c r="EQX394" s="119"/>
      <c r="EQY394" s="104"/>
      <c r="EQZ394" s="455"/>
      <c r="ERA394" s="104"/>
      <c r="ERB394" s="104"/>
      <c r="ERC394" s="109"/>
      <c r="ERD394" s="104"/>
      <c r="ERE394" s="104"/>
      <c r="ERF394" s="119"/>
      <c r="ERG394" s="104"/>
      <c r="ERH394" s="455"/>
      <c r="ERI394" s="104"/>
      <c r="ERJ394" s="104"/>
      <c r="ERK394" s="109"/>
      <c r="ERL394" s="104"/>
      <c r="ERM394" s="104"/>
      <c r="ERN394" s="119"/>
      <c r="ERO394" s="104"/>
      <c r="ERP394" s="455"/>
      <c r="ERQ394" s="104"/>
      <c r="ERR394" s="104"/>
      <c r="ERS394" s="109"/>
      <c r="ERT394" s="104"/>
      <c r="ERU394" s="104"/>
      <c r="ERV394" s="119"/>
      <c r="ERW394" s="104"/>
      <c r="ERX394" s="455"/>
      <c r="ERY394" s="104"/>
      <c r="ERZ394" s="104"/>
      <c r="ESA394" s="109"/>
      <c r="ESB394" s="104"/>
      <c r="ESC394" s="104"/>
      <c r="ESD394" s="119"/>
      <c r="ESE394" s="104"/>
      <c r="ESF394" s="455"/>
      <c r="ESG394" s="104"/>
      <c r="ESH394" s="104"/>
      <c r="ESI394" s="109"/>
      <c r="ESJ394" s="104"/>
      <c r="ESK394" s="104"/>
      <c r="ESL394" s="119"/>
      <c r="ESM394" s="104"/>
      <c r="ESN394" s="455"/>
      <c r="ESO394" s="104"/>
      <c r="ESP394" s="104"/>
      <c r="ESQ394" s="109"/>
      <c r="ESR394" s="104"/>
      <c r="ESS394" s="104"/>
      <c r="EST394" s="119"/>
      <c r="ESU394" s="104"/>
      <c r="ESV394" s="455"/>
      <c r="ESW394" s="104"/>
      <c r="ESX394" s="104"/>
      <c r="ESY394" s="109"/>
      <c r="ESZ394" s="104"/>
      <c r="ETA394" s="104"/>
      <c r="ETB394" s="119"/>
      <c r="ETC394" s="104"/>
      <c r="ETD394" s="455"/>
      <c r="ETE394" s="104"/>
      <c r="ETF394" s="104"/>
      <c r="ETG394" s="109"/>
      <c r="ETH394" s="104"/>
      <c r="ETI394" s="104"/>
      <c r="ETJ394" s="119"/>
      <c r="ETK394" s="104"/>
      <c r="ETL394" s="455"/>
      <c r="ETM394" s="104"/>
      <c r="ETN394" s="104"/>
      <c r="ETO394" s="109"/>
      <c r="ETP394" s="104"/>
      <c r="ETQ394" s="104"/>
      <c r="ETR394" s="119"/>
      <c r="ETS394" s="104"/>
      <c r="ETT394" s="455"/>
      <c r="ETU394" s="104"/>
      <c r="ETV394" s="104"/>
      <c r="ETW394" s="109"/>
      <c r="ETX394" s="104"/>
      <c r="ETY394" s="104"/>
      <c r="ETZ394" s="119"/>
      <c r="EUA394" s="104"/>
      <c r="EUB394" s="455"/>
      <c r="EUC394" s="104"/>
      <c r="EUD394" s="104"/>
      <c r="EUE394" s="109"/>
      <c r="EUF394" s="104"/>
      <c r="EUG394" s="104"/>
      <c r="EUH394" s="119"/>
      <c r="EUI394" s="104"/>
      <c r="EUJ394" s="455"/>
      <c r="EUK394" s="104"/>
      <c r="EUL394" s="104"/>
      <c r="EUM394" s="109"/>
      <c r="EUN394" s="104"/>
      <c r="EUO394" s="104"/>
      <c r="EUP394" s="119"/>
      <c r="EUQ394" s="104"/>
      <c r="EUR394" s="455"/>
      <c r="EUS394" s="104"/>
      <c r="EUT394" s="104"/>
      <c r="EUU394" s="109"/>
      <c r="EUV394" s="104"/>
      <c r="EUW394" s="104"/>
      <c r="EUX394" s="119"/>
      <c r="EUY394" s="104"/>
      <c r="EUZ394" s="455"/>
      <c r="EVA394" s="104"/>
      <c r="EVB394" s="104"/>
      <c r="EVC394" s="109"/>
      <c r="EVD394" s="104"/>
      <c r="EVE394" s="104"/>
      <c r="EVF394" s="119"/>
      <c r="EVG394" s="104"/>
      <c r="EVH394" s="455"/>
      <c r="EVI394" s="104"/>
      <c r="EVJ394" s="104"/>
      <c r="EVK394" s="109"/>
      <c r="EVL394" s="104"/>
      <c r="EVM394" s="104"/>
      <c r="EVN394" s="119"/>
      <c r="EVO394" s="104"/>
      <c r="EVP394" s="455"/>
      <c r="EVQ394" s="104"/>
      <c r="EVR394" s="104"/>
      <c r="EVS394" s="109"/>
      <c r="EVT394" s="104"/>
      <c r="EVU394" s="104"/>
      <c r="EVV394" s="119"/>
      <c r="EVW394" s="104"/>
      <c r="EVX394" s="455"/>
      <c r="EVY394" s="104"/>
      <c r="EVZ394" s="104"/>
      <c r="EWA394" s="109"/>
      <c r="EWB394" s="104"/>
      <c r="EWC394" s="104"/>
      <c r="EWD394" s="119"/>
      <c r="EWE394" s="104"/>
      <c r="EWF394" s="455"/>
      <c r="EWG394" s="104"/>
      <c r="EWH394" s="104"/>
      <c r="EWI394" s="109"/>
      <c r="EWJ394" s="104"/>
      <c r="EWK394" s="104"/>
      <c r="EWL394" s="119"/>
      <c r="EWM394" s="104"/>
      <c r="EWN394" s="455"/>
      <c r="EWO394" s="104"/>
      <c r="EWP394" s="104"/>
      <c r="EWQ394" s="109"/>
      <c r="EWR394" s="104"/>
      <c r="EWS394" s="104"/>
      <c r="EWT394" s="119"/>
      <c r="EWU394" s="104"/>
      <c r="EWV394" s="455"/>
      <c r="EWW394" s="104"/>
      <c r="EWX394" s="104"/>
      <c r="EWY394" s="109"/>
      <c r="EWZ394" s="104"/>
      <c r="EXA394" s="104"/>
      <c r="EXB394" s="119"/>
      <c r="EXC394" s="104"/>
      <c r="EXD394" s="455"/>
      <c r="EXE394" s="104"/>
      <c r="EXF394" s="104"/>
      <c r="EXG394" s="109"/>
      <c r="EXH394" s="104"/>
      <c r="EXI394" s="104"/>
      <c r="EXJ394" s="119"/>
      <c r="EXK394" s="104"/>
      <c r="EXL394" s="455"/>
      <c r="EXM394" s="104"/>
      <c r="EXN394" s="104"/>
      <c r="EXO394" s="109"/>
      <c r="EXP394" s="104"/>
      <c r="EXQ394" s="104"/>
      <c r="EXR394" s="119"/>
      <c r="EXS394" s="104"/>
      <c r="EXT394" s="455"/>
      <c r="EXU394" s="104"/>
      <c r="EXV394" s="104"/>
      <c r="EXW394" s="109"/>
      <c r="EXX394" s="104"/>
      <c r="EXY394" s="104"/>
      <c r="EXZ394" s="119"/>
      <c r="EYA394" s="104"/>
      <c r="EYB394" s="455"/>
      <c r="EYC394" s="104"/>
      <c r="EYD394" s="104"/>
      <c r="EYE394" s="109"/>
      <c r="EYF394" s="104"/>
      <c r="EYG394" s="104"/>
      <c r="EYH394" s="119"/>
      <c r="EYI394" s="104"/>
      <c r="EYJ394" s="455"/>
      <c r="EYK394" s="104"/>
      <c r="EYL394" s="104"/>
      <c r="EYM394" s="109"/>
      <c r="EYN394" s="104"/>
      <c r="EYO394" s="104"/>
      <c r="EYP394" s="119"/>
      <c r="EYQ394" s="104"/>
      <c r="EYR394" s="455"/>
      <c r="EYS394" s="104"/>
      <c r="EYT394" s="104"/>
      <c r="EYU394" s="109"/>
      <c r="EYV394" s="104"/>
      <c r="EYW394" s="104"/>
      <c r="EYX394" s="119"/>
      <c r="EYY394" s="104"/>
      <c r="EYZ394" s="455"/>
      <c r="EZA394" s="104"/>
      <c r="EZB394" s="104"/>
      <c r="EZC394" s="109"/>
      <c r="EZD394" s="104"/>
      <c r="EZE394" s="104"/>
      <c r="EZF394" s="119"/>
      <c r="EZG394" s="104"/>
      <c r="EZH394" s="455"/>
      <c r="EZI394" s="104"/>
      <c r="EZJ394" s="104"/>
      <c r="EZK394" s="109"/>
      <c r="EZL394" s="104"/>
      <c r="EZM394" s="104"/>
      <c r="EZN394" s="119"/>
      <c r="EZO394" s="104"/>
      <c r="EZP394" s="455"/>
      <c r="EZQ394" s="104"/>
      <c r="EZR394" s="104"/>
      <c r="EZS394" s="109"/>
      <c r="EZT394" s="104"/>
      <c r="EZU394" s="104"/>
      <c r="EZV394" s="119"/>
      <c r="EZW394" s="104"/>
      <c r="EZX394" s="455"/>
      <c r="EZY394" s="104"/>
      <c r="EZZ394" s="104"/>
      <c r="FAA394" s="109"/>
      <c r="FAB394" s="104"/>
      <c r="FAC394" s="104"/>
      <c r="FAD394" s="119"/>
      <c r="FAE394" s="104"/>
      <c r="FAF394" s="455"/>
      <c r="FAG394" s="104"/>
      <c r="FAH394" s="104"/>
      <c r="FAI394" s="109"/>
      <c r="FAJ394" s="104"/>
      <c r="FAK394" s="104"/>
      <c r="FAL394" s="119"/>
      <c r="FAM394" s="104"/>
      <c r="FAN394" s="455"/>
      <c r="FAO394" s="104"/>
      <c r="FAP394" s="104"/>
      <c r="FAQ394" s="109"/>
      <c r="FAR394" s="104"/>
      <c r="FAS394" s="104"/>
      <c r="FAT394" s="119"/>
      <c r="FAU394" s="104"/>
      <c r="FAV394" s="455"/>
      <c r="FAW394" s="104"/>
      <c r="FAX394" s="104"/>
      <c r="FAY394" s="109"/>
      <c r="FAZ394" s="104"/>
      <c r="FBA394" s="104"/>
      <c r="FBB394" s="119"/>
      <c r="FBC394" s="104"/>
      <c r="FBD394" s="455"/>
      <c r="FBE394" s="104"/>
      <c r="FBF394" s="104"/>
      <c r="FBG394" s="109"/>
      <c r="FBH394" s="104"/>
      <c r="FBI394" s="104"/>
      <c r="FBJ394" s="119"/>
      <c r="FBK394" s="104"/>
      <c r="FBL394" s="455"/>
      <c r="FBM394" s="104"/>
      <c r="FBN394" s="104"/>
      <c r="FBO394" s="109"/>
      <c r="FBP394" s="104"/>
      <c r="FBQ394" s="104"/>
      <c r="FBR394" s="119"/>
      <c r="FBS394" s="104"/>
      <c r="FBT394" s="455"/>
      <c r="FBU394" s="104"/>
      <c r="FBV394" s="104"/>
      <c r="FBW394" s="109"/>
      <c r="FBX394" s="104"/>
      <c r="FBY394" s="104"/>
      <c r="FBZ394" s="119"/>
      <c r="FCA394" s="104"/>
      <c r="FCB394" s="455"/>
      <c r="FCC394" s="104"/>
      <c r="FCD394" s="104"/>
      <c r="FCE394" s="109"/>
      <c r="FCF394" s="104"/>
      <c r="FCG394" s="104"/>
      <c r="FCH394" s="119"/>
      <c r="FCI394" s="104"/>
      <c r="FCJ394" s="455"/>
      <c r="FCK394" s="104"/>
      <c r="FCL394" s="104"/>
      <c r="FCM394" s="109"/>
      <c r="FCN394" s="104"/>
      <c r="FCO394" s="104"/>
      <c r="FCP394" s="119"/>
      <c r="FCQ394" s="104"/>
      <c r="FCR394" s="455"/>
      <c r="FCS394" s="104"/>
      <c r="FCT394" s="104"/>
      <c r="FCU394" s="109"/>
      <c r="FCV394" s="104"/>
      <c r="FCW394" s="104"/>
      <c r="FCX394" s="119"/>
      <c r="FCY394" s="104"/>
      <c r="FCZ394" s="455"/>
      <c r="FDA394" s="104"/>
      <c r="FDB394" s="104"/>
      <c r="FDC394" s="109"/>
      <c r="FDD394" s="104"/>
      <c r="FDE394" s="104"/>
      <c r="FDF394" s="119"/>
      <c r="FDG394" s="104"/>
      <c r="FDH394" s="455"/>
      <c r="FDI394" s="104"/>
      <c r="FDJ394" s="104"/>
      <c r="FDK394" s="109"/>
      <c r="FDL394" s="104"/>
      <c r="FDM394" s="104"/>
      <c r="FDN394" s="119"/>
      <c r="FDO394" s="104"/>
      <c r="FDP394" s="455"/>
      <c r="FDQ394" s="104"/>
      <c r="FDR394" s="104"/>
      <c r="FDS394" s="109"/>
      <c r="FDT394" s="104"/>
      <c r="FDU394" s="104"/>
      <c r="FDV394" s="119"/>
      <c r="FDW394" s="104"/>
      <c r="FDX394" s="455"/>
      <c r="FDY394" s="104"/>
      <c r="FDZ394" s="104"/>
      <c r="FEA394" s="109"/>
      <c r="FEB394" s="104"/>
      <c r="FEC394" s="104"/>
      <c r="FED394" s="119"/>
      <c r="FEE394" s="104"/>
      <c r="FEF394" s="455"/>
      <c r="FEG394" s="104"/>
      <c r="FEH394" s="104"/>
      <c r="FEI394" s="109"/>
      <c r="FEJ394" s="104"/>
      <c r="FEK394" s="104"/>
      <c r="FEL394" s="119"/>
      <c r="FEM394" s="104"/>
      <c r="FEN394" s="455"/>
      <c r="FEO394" s="104"/>
      <c r="FEP394" s="104"/>
      <c r="FEQ394" s="109"/>
      <c r="FER394" s="104"/>
      <c r="FES394" s="104"/>
      <c r="FET394" s="119"/>
      <c r="FEU394" s="104"/>
      <c r="FEV394" s="455"/>
      <c r="FEW394" s="104"/>
      <c r="FEX394" s="104"/>
      <c r="FEY394" s="109"/>
      <c r="FEZ394" s="104"/>
      <c r="FFA394" s="104"/>
      <c r="FFB394" s="119"/>
      <c r="FFC394" s="104"/>
      <c r="FFD394" s="455"/>
      <c r="FFE394" s="104"/>
      <c r="FFF394" s="104"/>
      <c r="FFG394" s="109"/>
      <c r="FFH394" s="104"/>
      <c r="FFI394" s="104"/>
      <c r="FFJ394" s="119"/>
      <c r="FFK394" s="104"/>
      <c r="FFL394" s="455"/>
      <c r="FFM394" s="104"/>
      <c r="FFN394" s="104"/>
      <c r="FFO394" s="109"/>
      <c r="FFP394" s="104"/>
      <c r="FFQ394" s="104"/>
      <c r="FFR394" s="119"/>
      <c r="FFS394" s="104"/>
      <c r="FFT394" s="455"/>
      <c r="FFU394" s="104"/>
      <c r="FFV394" s="104"/>
      <c r="FFW394" s="109"/>
      <c r="FFX394" s="104"/>
      <c r="FFY394" s="104"/>
      <c r="FFZ394" s="119"/>
      <c r="FGA394" s="104"/>
      <c r="FGB394" s="455"/>
      <c r="FGC394" s="104"/>
      <c r="FGD394" s="104"/>
      <c r="FGE394" s="109"/>
      <c r="FGF394" s="104"/>
      <c r="FGG394" s="104"/>
      <c r="FGH394" s="119"/>
      <c r="FGI394" s="104"/>
      <c r="FGJ394" s="455"/>
      <c r="FGK394" s="104"/>
      <c r="FGL394" s="104"/>
      <c r="FGM394" s="109"/>
      <c r="FGN394" s="104"/>
      <c r="FGO394" s="104"/>
      <c r="FGP394" s="119"/>
      <c r="FGQ394" s="104"/>
      <c r="FGR394" s="455"/>
      <c r="FGS394" s="104"/>
      <c r="FGT394" s="104"/>
      <c r="FGU394" s="109"/>
      <c r="FGV394" s="104"/>
      <c r="FGW394" s="104"/>
      <c r="FGX394" s="119"/>
      <c r="FGY394" s="104"/>
      <c r="FGZ394" s="455"/>
      <c r="FHA394" s="104"/>
      <c r="FHB394" s="104"/>
      <c r="FHC394" s="109"/>
      <c r="FHD394" s="104"/>
      <c r="FHE394" s="104"/>
      <c r="FHF394" s="119"/>
      <c r="FHG394" s="104"/>
      <c r="FHH394" s="455"/>
      <c r="FHI394" s="104"/>
      <c r="FHJ394" s="104"/>
      <c r="FHK394" s="109"/>
      <c r="FHL394" s="104"/>
      <c r="FHM394" s="104"/>
      <c r="FHN394" s="119"/>
      <c r="FHO394" s="104"/>
      <c r="FHP394" s="455"/>
      <c r="FHQ394" s="104"/>
      <c r="FHR394" s="104"/>
      <c r="FHS394" s="109"/>
      <c r="FHT394" s="104"/>
      <c r="FHU394" s="104"/>
      <c r="FHV394" s="119"/>
      <c r="FHW394" s="104"/>
      <c r="FHX394" s="455"/>
      <c r="FHY394" s="104"/>
      <c r="FHZ394" s="104"/>
      <c r="FIA394" s="109"/>
      <c r="FIB394" s="104"/>
      <c r="FIC394" s="104"/>
      <c r="FID394" s="119"/>
      <c r="FIE394" s="104"/>
      <c r="FIF394" s="455"/>
      <c r="FIG394" s="104"/>
      <c r="FIH394" s="104"/>
      <c r="FII394" s="109"/>
      <c r="FIJ394" s="104"/>
      <c r="FIK394" s="104"/>
      <c r="FIL394" s="119"/>
      <c r="FIM394" s="104"/>
      <c r="FIN394" s="455"/>
      <c r="FIO394" s="104"/>
      <c r="FIP394" s="104"/>
      <c r="FIQ394" s="109"/>
      <c r="FIR394" s="104"/>
      <c r="FIS394" s="104"/>
      <c r="FIT394" s="119"/>
      <c r="FIU394" s="104"/>
      <c r="FIV394" s="455"/>
      <c r="FIW394" s="104"/>
      <c r="FIX394" s="104"/>
      <c r="FIY394" s="109"/>
      <c r="FIZ394" s="104"/>
      <c r="FJA394" s="104"/>
      <c r="FJB394" s="119"/>
      <c r="FJC394" s="104"/>
      <c r="FJD394" s="455"/>
      <c r="FJE394" s="104"/>
      <c r="FJF394" s="104"/>
      <c r="FJG394" s="109"/>
      <c r="FJH394" s="104"/>
      <c r="FJI394" s="104"/>
      <c r="FJJ394" s="119"/>
      <c r="FJK394" s="104"/>
      <c r="FJL394" s="455"/>
      <c r="FJM394" s="104"/>
      <c r="FJN394" s="104"/>
      <c r="FJO394" s="109"/>
      <c r="FJP394" s="104"/>
      <c r="FJQ394" s="104"/>
      <c r="FJR394" s="119"/>
      <c r="FJS394" s="104"/>
      <c r="FJT394" s="455"/>
      <c r="FJU394" s="104"/>
      <c r="FJV394" s="104"/>
      <c r="FJW394" s="109"/>
      <c r="FJX394" s="104"/>
      <c r="FJY394" s="104"/>
      <c r="FJZ394" s="119"/>
      <c r="FKA394" s="104"/>
      <c r="FKB394" s="455"/>
      <c r="FKC394" s="104"/>
      <c r="FKD394" s="104"/>
      <c r="FKE394" s="109"/>
      <c r="FKF394" s="104"/>
      <c r="FKG394" s="104"/>
      <c r="FKH394" s="119"/>
      <c r="FKI394" s="104"/>
      <c r="FKJ394" s="455"/>
      <c r="FKK394" s="104"/>
      <c r="FKL394" s="104"/>
      <c r="FKM394" s="109"/>
      <c r="FKN394" s="104"/>
      <c r="FKO394" s="104"/>
      <c r="FKP394" s="119"/>
      <c r="FKQ394" s="104"/>
      <c r="FKR394" s="455"/>
      <c r="FKS394" s="104"/>
      <c r="FKT394" s="104"/>
      <c r="FKU394" s="109"/>
      <c r="FKV394" s="104"/>
      <c r="FKW394" s="104"/>
      <c r="FKX394" s="119"/>
      <c r="FKY394" s="104"/>
      <c r="FKZ394" s="455"/>
      <c r="FLA394" s="104"/>
      <c r="FLB394" s="104"/>
      <c r="FLC394" s="109"/>
      <c r="FLD394" s="104"/>
      <c r="FLE394" s="104"/>
      <c r="FLF394" s="119"/>
      <c r="FLG394" s="104"/>
      <c r="FLH394" s="455"/>
      <c r="FLI394" s="104"/>
      <c r="FLJ394" s="104"/>
      <c r="FLK394" s="109"/>
      <c r="FLL394" s="104"/>
      <c r="FLM394" s="104"/>
      <c r="FLN394" s="119"/>
      <c r="FLO394" s="104"/>
      <c r="FLP394" s="455"/>
      <c r="FLQ394" s="104"/>
      <c r="FLR394" s="104"/>
      <c r="FLS394" s="109"/>
      <c r="FLT394" s="104"/>
      <c r="FLU394" s="104"/>
      <c r="FLV394" s="119"/>
      <c r="FLW394" s="104"/>
      <c r="FLX394" s="455"/>
      <c r="FLY394" s="104"/>
      <c r="FLZ394" s="104"/>
      <c r="FMA394" s="109"/>
      <c r="FMB394" s="104"/>
      <c r="FMC394" s="104"/>
      <c r="FMD394" s="119"/>
      <c r="FME394" s="104"/>
      <c r="FMF394" s="455"/>
      <c r="FMG394" s="104"/>
      <c r="FMH394" s="104"/>
      <c r="FMI394" s="109"/>
      <c r="FMJ394" s="104"/>
      <c r="FMK394" s="104"/>
      <c r="FML394" s="119"/>
      <c r="FMM394" s="104"/>
      <c r="FMN394" s="455"/>
      <c r="FMO394" s="104"/>
      <c r="FMP394" s="104"/>
      <c r="FMQ394" s="109"/>
      <c r="FMR394" s="104"/>
      <c r="FMS394" s="104"/>
      <c r="FMT394" s="119"/>
      <c r="FMU394" s="104"/>
      <c r="FMV394" s="455"/>
      <c r="FMW394" s="104"/>
      <c r="FMX394" s="104"/>
      <c r="FMY394" s="109"/>
      <c r="FMZ394" s="104"/>
      <c r="FNA394" s="104"/>
      <c r="FNB394" s="119"/>
      <c r="FNC394" s="104"/>
      <c r="FND394" s="455"/>
      <c r="FNE394" s="104"/>
      <c r="FNF394" s="104"/>
      <c r="FNG394" s="109"/>
      <c r="FNH394" s="104"/>
      <c r="FNI394" s="104"/>
      <c r="FNJ394" s="119"/>
      <c r="FNK394" s="104"/>
      <c r="FNL394" s="455"/>
      <c r="FNM394" s="104"/>
      <c r="FNN394" s="104"/>
      <c r="FNO394" s="109"/>
      <c r="FNP394" s="104"/>
      <c r="FNQ394" s="104"/>
      <c r="FNR394" s="119"/>
      <c r="FNS394" s="104"/>
      <c r="FNT394" s="455"/>
      <c r="FNU394" s="104"/>
      <c r="FNV394" s="104"/>
      <c r="FNW394" s="109"/>
      <c r="FNX394" s="104"/>
      <c r="FNY394" s="104"/>
      <c r="FNZ394" s="119"/>
      <c r="FOA394" s="104"/>
      <c r="FOB394" s="455"/>
      <c r="FOC394" s="104"/>
      <c r="FOD394" s="104"/>
      <c r="FOE394" s="109"/>
      <c r="FOF394" s="104"/>
      <c r="FOG394" s="104"/>
      <c r="FOH394" s="119"/>
      <c r="FOI394" s="104"/>
      <c r="FOJ394" s="455"/>
      <c r="FOK394" s="104"/>
      <c r="FOL394" s="104"/>
      <c r="FOM394" s="109"/>
      <c r="FON394" s="104"/>
      <c r="FOO394" s="104"/>
      <c r="FOP394" s="119"/>
      <c r="FOQ394" s="104"/>
      <c r="FOR394" s="455"/>
      <c r="FOS394" s="104"/>
      <c r="FOT394" s="104"/>
      <c r="FOU394" s="109"/>
      <c r="FOV394" s="104"/>
      <c r="FOW394" s="104"/>
      <c r="FOX394" s="119"/>
      <c r="FOY394" s="104"/>
      <c r="FOZ394" s="455"/>
      <c r="FPA394" s="104"/>
      <c r="FPB394" s="104"/>
      <c r="FPC394" s="109"/>
      <c r="FPD394" s="104"/>
      <c r="FPE394" s="104"/>
      <c r="FPF394" s="119"/>
      <c r="FPG394" s="104"/>
      <c r="FPH394" s="455"/>
      <c r="FPI394" s="104"/>
      <c r="FPJ394" s="104"/>
      <c r="FPK394" s="109"/>
      <c r="FPL394" s="104"/>
      <c r="FPM394" s="104"/>
      <c r="FPN394" s="119"/>
      <c r="FPO394" s="104"/>
      <c r="FPP394" s="455"/>
      <c r="FPQ394" s="104"/>
      <c r="FPR394" s="104"/>
      <c r="FPS394" s="109"/>
      <c r="FPT394" s="104"/>
      <c r="FPU394" s="104"/>
      <c r="FPV394" s="119"/>
      <c r="FPW394" s="104"/>
      <c r="FPX394" s="455"/>
      <c r="FPY394" s="104"/>
      <c r="FPZ394" s="104"/>
      <c r="FQA394" s="109"/>
      <c r="FQB394" s="104"/>
      <c r="FQC394" s="104"/>
      <c r="FQD394" s="119"/>
      <c r="FQE394" s="104"/>
      <c r="FQF394" s="455"/>
      <c r="FQG394" s="104"/>
      <c r="FQH394" s="104"/>
      <c r="FQI394" s="109"/>
      <c r="FQJ394" s="104"/>
      <c r="FQK394" s="104"/>
      <c r="FQL394" s="119"/>
      <c r="FQM394" s="104"/>
      <c r="FQN394" s="455"/>
      <c r="FQO394" s="104"/>
      <c r="FQP394" s="104"/>
      <c r="FQQ394" s="109"/>
      <c r="FQR394" s="104"/>
      <c r="FQS394" s="104"/>
      <c r="FQT394" s="119"/>
      <c r="FQU394" s="104"/>
      <c r="FQV394" s="455"/>
      <c r="FQW394" s="104"/>
      <c r="FQX394" s="104"/>
      <c r="FQY394" s="109"/>
      <c r="FQZ394" s="104"/>
      <c r="FRA394" s="104"/>
      <c r="FRB394" s="119"/>
      <c r="FRC394" s="104"/>
      <c r="FRD394" s="455"/>
      <c r="FRE394" s="104"/>
      <c r="FRF394" s="104"/>
      <c r="FRG394" s="109"/>
      <c r="FRH394" s="104"/>
      <c r="FRI394" s="104"/>
      <c r="FRJ394" s="119"/>
      <c r="FRK394" s="104"/>
      <c r="FRL394" s="455"/>
      <c r="FRM394" s="104"/>
      <c r="FRN394" s="104"/>
      <c r="FRO394" s="109"/>
      <c r="FRP394" s="104"/>
      <c r="FRQ394" s="104"/>
      <c r="FRR394" s="119"/>
      <c r="FRS394" s="104"/>
      <c r="FRT394" s="455"/>
      <c r="FRU394" s="104"/>
      <c r="FRV394" s="104"/>
      <c r="FRW394" s="109"/>
      <c r="FRX394" s="104"/>
      <c r="FRY394" s="104"/>
      <c r="FRZ394" s="119"/>
      <c r="FSA394" s="104"/>
      <c r="FSB394" s="455"/>
      <c r="FSC394" s="104"/>
      <c r="FSD394" s="104"/>
      <c r="FSE394" s="109"/>
      <c r="FSF394" s="104"/>
      <c r="FSG394" s="104"/>
      <c r="FSH394" s="119"/>
      <c r="FSI394" s="104"/>
      <c r="FSJ394" s="455"/>
      <c r="FSK394" s="104"/>
      <c r="FSL394" s="104"/>
      <c r="FSM394" s="109"/>
      <c r="FSN394" s="104"/>
      <c r="FSO394" s="104"/>
      <c r="FSP394" s="119"/>
      <c r="FSQ394" s="104"/>
      <c r="FSR394" s="455"/>
      <c r="FSS394" s="104"/>
      <c r="FST394" s="104"/>
      <c r="FSU394" s="109"/>
      <c r="FSV394" s="104"/>
      <c r="FSW394" s="104"/>
      <c r="FSX394" s="119"/>
      <c r="FSY394" s="104"/>
      <c r="FSZ394" s="455"/>
      <c r="FTA394" s="104"/>
      <c r="FTB394" s="104"/>
      <c r="FTC394" s="109"/>
      <c r="FTD394" s="104"/>
      <c r="FTE394" s="104"/>
      <c r="FTF394" s="119"/>
      <c r="FTG394" s="104"/>
      <c r="FTH394" s="455"/>
      <c r="FTI394" s="104"/>
      <c r="FTJ394" s="104"/>
      <c r="FTK394" s="109"/>
      <c r="FTL394" s="104"/>
      <c r="FTM394" s="104"/>
      <c r="FTN394" s="119"/>
      <c r="FTO394" s="104"/>
      <c r="FTP394" s="455"/>
      <c r="FTQ394" s="104"/>
      <c r="FTR394" s="104"/>
      <c r="FTS394" s="109"/>
      <c r="FTT394" s="104"/>
      <c r="FTU394" s="104"/>
      <c r="FTV394" s="119"/>
      <c r="FTW394" s="104"/>
      <c r="FTX394" s="455"/>
      <c r="FTY394" s="104"/>
      <c r="FTZ394" s="104"/>
      <c r="FUA394" s="109"/>
      <c r="FUB394" s="104"/>
      <c r="FUC394" s="104"/>
      <c r="FUD394" s="119"/>
      <c r="FUE394" s="104"/>
      <c r="FUF394" s="455"/>
      <c r="FUG394" s="104"/>
      <c r="FUH394" s="104"/>
      <c r="FUI394" s="109"/>
      <c r="FUJ394" s="104"/>
      <c r="FUK394" s="104"/>
      <c r="FUL394" s="119"/>
      <c r="FUM394" s="104"/>
      <c r="FUN394" s="455"/>
      <c r="FUO394" s="104"/>
      <c r="FUP394" s="104"/>
      <c r="FUQ394" s="109"/>
      <c r="FUR394" s="104"/>
      <c r="FUS394" s="104"/>
      <c r="FUT394" s="119"/>
      <c r="FUU394" s="104"/>
      <c r="FUV394" s="455"/>
      <c r="FUW394" s="104"/>
      <c r="FUX394" s="104"/>
      <c r="FUY394" s="109"/>
      <c r="FUZ394" s="104"/>
      <c r="FVA394" s="104"/>
      <c r="FVB394" s="119"/>
      <c r="FVC394" s="104"/>
      <c r="FVD394" s="455"/>
      <c r="FVE394" s="104"/>
      <c r="FVF394" s="104"/>
      <c r="FVG394" s="109"/>
      <c r="FVH394" s="104"/>
      <c r="FVI394" s="104"/>
      <c r="FVJ394" s="119"/>
      <c r="FVK394" s="104"/>
      <c r="FVL394" s="455"/>
      <c r="FVM394" s="104"/>
      <c r="FVN394" s="104"/>
      <c r="FVO394" s="109"/>
      <c r="FVP394" s="104"/>
      <c r="FVQ394" s="104"/>
      <c r="FVR394" s="119"/>
      <c r="FVS394" s="104"/>
      <c r="FVT394" s="455"/>
      <c r="FVU394" s="104"/>
      <c r="FVV394" s="104"/>
      <c r="FVW394" s="109"/>
      <c r="FVX394" s="104"/>
      <c r="FVY394" s="104"/>
      <c r="FVZ394" s="119"/>
      <c r="FWA394" s="104"/>
      <c r="FWB394" s="455"/>
      <c r="FWC394" s="104"/>
      <c r="FWD394" s="104"/>
      <c r="FWE394" s="109"/>
      <c r="FWF394" s="104"/>
      <c r="FWG394" s="104"/>
      <c r="FWH394" s="119"/>
      <c r="FWI394" s="104"/>
      <c r="FWJ394" s="455"/>
      <c r="FWK394" s="104"/>
      <c r="FWL394" s="104"/>
      <c r="FWM394" s="109"/>
      <c r="FWN394" s="104"/>
      <c r="FWO394" s="104"/>
      <c r="FWP394" s="119"/>
      <c r="FWQ394" s="104"/>
      <c r="FWR394" s="455"/>
      <c r="FWS394" s="104"/>
      <c r="FWT394" s="104"/>
      <c r="FWU394" s="109"/>
      <c r="FWV394" s="104"/>
      <c r="FWW394" s="104"/>
      <c r="FWX394" s="119"/>
      <c r="FWY394" s="104"/>
      <c r="FWZ394" s="455"/>
      <c r="FXA394" s="104"/>
      <c r="FXB394" s="104"/>
      <c r="FXC394" s="109"/>
      <c r="FXD394" s="104"/>
      <c r="FXE394" s="104"/>
      <c r="FXF394" s="119"/>
      <c r="FXG394" s="104"/>
      <c r="FXH394" s="455"/>
      <c r="FXI394" s="104"/>
      <c r="FXJ394" s="104"/>
      <c r="FXK394" s="109"/>
      <c r="FXL394" s="104"/>
      <c r="FXM394" s="104"/>
      <c r="FXN394" s="119"/>
      <c r="FXO394" s="104"/>
      <c r="FXP394" s="455"/>
      <c r="FXQ394" s="104"/>
      <c r="FXR394" s="104"/>
      <c r="FXS394" s="109"/>
      <c r="FXT394" s="104"/>
      <c r="FXU394" s="104"/>
      <c r="FXV394" s="119"/>
      <c r="FXW394" s="104"/>
      <c r="FXX394" s="455"/>
      <c r="FXY394" s="104"/>
      <c r="FXZ394" s="104"/>
      <c r="FYA394" s="109"/>
      <c r="FYB394" s="104"/>
      <c r="FYC394" s="104"/>
      <c r="FYD394" s="119"/>
      <c r="FYE394" s="104"/>
      <c r="FYF394" s="455"/>
      <c r="FYG394" s="104"/>
      <c r="FYH394" s="104"/>
      <c r="FYI394" s="109"/>
      <c r="FYJ394" s="104"/>
      <c r="FYK394" s="104"/>
      <c r="FYL394" s="119"/>
      <c r="FYM394" s="104"/>
      <c r="FYN394" s="455"/>
      <c r="FYO394" s="104"/>
      <c r="FYP394" s="104"/>
      <c r="FYQ394" s="109"/>
      <c r="FYR394" s="104"/>
      <c r="FYS394" s="104"/>
      <c r="FYT394" s="119"/>
      <c r="FYU394" s="104"/>
      <c r="FYV394" s="455"/>
      <c r="FYW394" s="104"/>
      <c r="FYX394" s="104"/>
      <c r="FYY394" s="109"/>
      <c r="FYZ394" s="104"/>
      <c r="FZA394" s="104"/>
      <c r="FZB394" s="119"/>
      <c r="FZC394" s="104"/>
      <c r="FZD394" s="455"/>
      <c r="FZE394" s="104"/>
      <c r="FZF394" s="104"/>
      <c r="FZG394" s="109"/>
      <c r="FZH394" s="104"/>
      <c r="FZI394" s="104"/>
      <c r="FZJ394" s="119"/>
      <c r="FZK394" s="104"/>
      <c r="FZL394" s="455"/>
      <c r="FZM394" s="104"/>
      <c r="FZN394" s="104"/>
      <c r="FZO394" s="109"/>
      <c r="FZP394" s="104"/>
      <c r="FZQ394" s="104"/>
      <c r="FZR394" s="119"/>
      <c r="FZS394" s="104"/>
      <c r="FZT394" s="455"/>
      <c r="FZU394" s="104"/>
      <c r="FZV394" s="104"/>
      <c r="FZW394" s="109"/>
      <c r="FZX394" s="104"/>
      <c r="FZY394" s="104"/>
      <c r="FZZ394" s="119"/>
      <c r="GAA394" s="104"/>
      <c r="GAB394" s="455"/>
      <c r="GAC394" s="104"/>
      <c r="GAD394" s="104"/>
      <c r="GAE394" s="109"/>
      <c r="GAF394" s="104"/>
      <c r="GAG394" s="104"/>
      <c r="GAH394" s="119"/>
      <c r="GAI394" s="104"/>
      <c r="GAJ394" s="455"/>
      <c r="GAK394" s="104"/>
      <c r="GAL394" s="104"/>
      <c r="GAM394" s="109"/>
      <c r="GAN394" s="104"/>
      <c r="GAO394" s="104"/>
      <c r="GAP394" s="119"/>
      <c r="GAQ394" s="104"/>
      <c r="GAR394" s="455"/>
      <c r="GAS394" s="104"/>
      <c r="GAT394" s="104"/>
      <c r="GAU394" s="109"/>
      <c r="GAV394" s="104"/>
      <c r="GAW394" s="104"/>
      <c r="GAX394" s="119"/>
      <c r="GAY394" s="104"/>
      <c r="GAZ394" s="455"/>
      <c r="GBA394" s="104"/>
      <c r="GBB394" s="104"/>
      <c r="GBC394" s="109"/>
      <c r="GBD394" s="104"/>
      <c r="GBE394" s="104"/>
      <c r="GBF394" s="119"/>
      <c r="GBG394" s="104"/>
      <c r="GBH394" s="455"/>
      <c r="GBI394" s="104"/>
      <c r="GBJ394" s="104"/>
      <c r="GBK394" s="109"/>
      <c r="GBL394" s="104"/>
      <c r="GBM394" s="104"/>
      <c r="GBN394" s="119"/>
      <c r="GBO394" s="104"/>
      <c r="GBP394" s="455"/>
      <c r="GBQ394" s="104"/>
      <c r="GBR394" s="104"/>
      <c r="GBS394" s="109"/>
      <c r="GBT394" s="104"/>
      <c r="GBU394" s="104"/>
      <c r="GBV394" s="119"/>
      <c r="GBW394" s="104"/>
      <c r="GBX394" s="455"/>
      <c r="GBY394" s="104"/>
      <c r="GBZ394" s="104"/>
      <c r="GCA394" s="109"/>
      <c r="GCB394" s="104"/>
      <c r="GCC394" s="104"/>
      <c r="GCD394" s="119"/>
      <c r="GCE394" s="104"/>
      <c r="GCF394" s="455"/>
      <c r="GCG394" s="104"/>
      <c r="GCH394" s="104"/>
      <c r="GCI394" s="109"/>
      <c r="GCJ394" s="104"/>
      <c r="GCK394" s="104"/>
      <c r="GCL394" s="119"/>
      <c r="GCM394" s="104"/>
      <c r="GCN394" s="455"/>
      <c r="GCO394" s="104"/>
      <c r="GCP394" s="104"/>
      <c r="GCQ394" s="109"/>
      <c r="GCR394" s="104"/>
      <c r="GCS394" s="104"/>
      <c r="GCT394" s="119"/>
      <c r="GCU394" s="104"/>
      <c r="GCV394" s="455"/>
      <c r="GCW394" s="104"/>
      <c r="GCX394" s="104"/>
      <c r="GCY394" s="109"/>
      <c r="GCZ394" s="104"/>
      <c r="GDA394" s="104"/>
      <c r="GDB394" s="119"/>
      <c r="GDC394" s="104"/>
      <c r="GDD394" s="455"/>
      <c r="GDE394" s="104"/>
      <c r="GDF394" s="104"/>
      <c r="GDG394" s="109"/>
      <c r="GDH394" s="104"/>
      <c r="GDI394" s="104"/>
      <c r="GDJ394" s="119"/>
      <c r="GDK394" s="104"/>
      <c r="GDL394" s="455"/>
      <c r="GDM394" s="104"/>
      <c r="GDN394" s="104"/>
      <c r="GDO394" s="109"/>
      <c r="GDP394" s="104"/>
      <c r="GDQ394" s="104"/>
      <c r="GDR394" s="119"/>
      <c r="GDS394" s="104"/>
      <c r="GDT394" s="455"/>
      <c r="GDU394" s="104"/>
      <c r="GDV394" s="104"/>
      <c r="GDW394" s="109"/>
      <c r="GDX394" s="104"/>
      <c r="GDY394" s="104"/>
      <c r="GDZ394" s="119"/>
      <c r="GEA394" s="104"/>
      <c r="GEB394" s="455"/>
      <c r="GEC394" s="104"/>
      <c r="GED394" s="104"/>
      <c r="GEE394" s="109"/>
      <c r="GEF394" s="104"/>
      <c r="GEG394" s="104"/>
      <c r="GEH394" s="119"/>
      <c r="GEI394" s="104"/>
      <c r="GEJ394" s="455"/>
      <c r="GEK394" s="104"/>
      <c r="GEL394" s="104"/>
      <c r="GEM394" s="109"/>
      <c r="GEN394" s="104"/>
      <c r="GEO394" s="104"/>
      <c r="GEP394" s="119"/>
      <c r="GEQ394" s="104"/>
      <c r="GER394" s="455"/>
      <c r="GES394" s="104"/>
      <c r="GET394" s="104"/>
      <c r="GEU394" s="109"/>
      <c r="GEV394" s="104"/>
      <c r="GEW394" s="104"/>
      <c r="GEX394" s="119"/>
      <c r="GEY394" s="104"/>
      <c r="GEZ394" s="455"/>
      <c r="GFA394" s="104"/>
      <c r="GFB394" s="104"/>
      <c r="GFC394" s="109"/>
      <c r="GFD394" s="104"/>
      <c r="GFE394" s="104"/>
      <c r="GFF394" s="119"/>
      <c r="GFG394" s="104"/>
      <c r="GFH394" s="455"/>
      <c r="GFI394" s="104"/>
      <c r="GFJ394" s="104"/>
      <c r="GFK394" s="109"/>
      <c r="GFL394" s="104"/>
      <c r="GFM394" s="104"/>
      <c r="GFN394" s="119"/>
      <c r="GFO394" s="104"/>
      <c r="GFP394" s="455"/>
      <c r="GFQ394" s="104"/>
      <c r="GFR394" s="104"/>
      <c r="GFS394" s="109"/>
      <c r="GFT394" s="104"/>
      <c r="GFU394" s="104"/>
      <c r="GFV394" s="119"/>
      <c r="GFW394" s="104"/>
      <c r="GFX394" s="455"/>
      <c r="GFY394" s="104"/>
      <c r="GFZ394" s="104"/>
      <c r="GGA394" s="109"/>
      <c r="GGB394" s="104"/>
      <c r="GGC394" s="104"/>
      <c r="GGD394" s="119"/>
      <c r="GGE394" s="104"/>
      <c r="GGF394" s="455"/>
      <c r="GGG394" s="104"/>
      <c r="GGH394" s="104"/>
      <c r="GGI394" s="109"/>
      <c r="GGJ394" s="104"/>
      <c r="GGK394" s="104"/>
      <c r="GGL394" s="119"/>
      <c r="GGM394" s="104"/>
      <c r="GGN394" s="455"/>
      <c r="GGO394" s="104"/>
      <c r="GGP394" s="104"/>
      <c r="GGQ394" s="109"/>
      <c r="GGR394" s="104"/>
      <c r="GGS394" s="104"/>
      <c r="GGT394" s="119"/>
      <c r="GGU394" s="104"/>
      <c r="GGV394" s="455"/>
      <c r="GGW394" s="104"/>
      <c r="GGX394" s="104"/>
      <c r="GGY394" s="109"/>
      <c r="GGZ394" s="104"/>
      <c r="GHA394" s="104"/>
      <c r="GHB394" s="119"/>
      <c r="GHC394" s="104"/>
      <c r="GHD394" s="455"/>
      <c r="GHE394" s="104"/>
      <c r="GHF394" s="104"/>
      <c r="GHG394" s="109"/>
      <c r="GHH394" s="104"/>
      <c r="GHI394" s="104"/>
      <c r="GHJ394" s="119"/>
      <c r="GHK394" s="104"/>
      <c r="GHL394" s="455"/>
      <c r="GHM394" s="104"/>
      <c r="GHN394" s="104"/>
      <c r="GHO394" s="109"/>
      <c r="GHP394" s="104"/>
      <c r="GHQ394" s="104"/>
      <c r="GHR394" s="119"/>
      <c r="GHS394" s="104"/>
      <c r="GHT394" s="455"/>
      <c r="GHU394" s="104"/>
      <c r="GHV394" s="104"/>
      <c r="GHW394" s="109"/>
      <c r="GHX394" s="104"/>
      <c r="GHY394" s="104"/>
      <c r="GHZ394" s="119"/>
      <c r="GIA394" s="104"/>
      <c r="GIB394" s="455"/>
      <c r="GIC394" s="104"/>
      <c r="GID394" s="104"/>
      <c r="GIE394" s="109"/>
      <c r="GIF394" s="104"/>
      <c r="GIG394" s="104"/>
      <c r="GIH394" s="119"/>
      <c r="GII394" s="104"/>
      <c r="GIJ394" s="455"/>
      <c r="GIK394" s="104"/>
      <c r="GIL394" s="104"/>
      <c r="GIM394" s="109"/>
      <c r="GIN394" s="104"/>
      <c r="GIO394" s="104"/>
      <c r="GIP394" s="119"/>
      <c r="GIQ394" s="104"/>
      <c r="GIR394" s="455"/>
      <c r="GIS394" s="104"/>
      <c r="GIT394" s="104"/>
      <c r="GIU394" s="109"/>
      <c r="GIV394" s="104"/>
      <c r="GIW394" s="104"/>
      <c r="GIX394" s="119"/>
      <c r="GIY394" s="104"/>
      <c r="GIZ394" s="455"/>
      <c r="GJA394" s="104"/>
      <c r="GJB394" s="104"/>
      <c r="GJC394" s="109"/>
      <c r="GJD394" s="104"/>
      <c r="GJE394" s="104"/>
      <c r="GJF394" s="119"/>
      <c r="GJG394" s="104"/>
      <c r="GJH394" s="455"/>
      <c r="GJI394" s="104"/>
      <c r="GJJ394" s="104"/>
      <c r="GJK394" s="109"/>
      <c r="GJL394" s="104"/>
      <c r="GJM394" s="104"/>
      <c r="GJN394" s="119"/>
      <c r="GJO394" s="104"/>
      <c r="GJP394" s="455"/>
      <c r="GJQ394" s="104"/>
      <c r="GJR394" s="104"/>
      <c r="GJS394" s="109"/>
      <c r="GJT394" s="104"/>
      <c r="GJU394" s="104"/>
      <c r="GJV394" s="119"/>
      <c r="GJW394" s="104"/>
      <c r="GJX394" s="455"/>
      <c r="GJY394" s="104"/>
      <c r="GJZ394" s="104"/>
      <c r="GKA394" s="109"/>
      <c r="GKB394" s="104"/>
      <c r="GKC394" s="104"/>
      <c r="GKD394" s="119"/>
      <c r="GKE394" s="104"/>
      <c r="GKF394" s="455"/>
      <c r="GKG394" s="104"/>
      <c r="GKH394" s="104"/>
      <c r="GKI394" s="109"/>
      <c r="GKJ394" s="104"/>
      <c r="GKK394" s="104"/>
      <c r="GKL394" s="119"/>
      <c r="GKM394" s="104"/>
      <c r="GKN394" s="455"/>
      <c r="GKO394" s="104"/>
      <c r="GKP394" s="104"/>
      <c r="GKQ394" s="109"/>
      <c r="GKR394" s="104"/>
      <c r="GKS394" s="104"/>
      <c r="GKT394" s="119"/>
      <c r="GKU394" s="104"/>
      <c r="GKV394" s="455"/>
      <c r="GKW394" s="104"/>
      <c r="GKX394" s="104"/>
      <c r="GKY394" s="109"/>
      <c r="GKZ394" s="104"/>
      <c r="GLA394" s="104"/>
      <c r="GLB394" s="119"/>
      <c r="GLC394" s="104"/>
      <c r="GLD394" s="455"/>
      <c r="GLE394" s="104"/>
      <c r="GLF394" s="104"/>
      <c r="GLG394" s="109"/>
      <c r="GLH394" s="104"/>
      <c r="GLI394" s="104"/>
      <c r="GLJ394" s="119"/>
      <c r="GLK394" s="104"/>
      <c r="GLL394" s="455"/>
      <c r="GLM394" s="104"/>
      <c r="GLN394" s="104"/>
      <c r="GLO394" s="109"/>
      <c r="GLP394" s="104"/>
      <c r="GLQ394" s="104"/>
      <c r="GLR394" s="119"/>
      <c r="GLS394" s="104"/>
      <c r="GLT394" s="455"/>
      <c r="GLU394" s="104"/>
      <c r="GLV394" s="104"/>
      <c r="GLW394" s="109"/>
      <c r="GLX394" s="104"/>
      <c r="GLY394" s="104"/>
      <c r="GLZ394" s="119"/>
      <c r="GMA394" s="104"/>
      <c r="GMB394" s="455"/>
      <c r="GMC394" s="104"/>
      <c r="GMD394" s="104"/>
      <c r="GME394" s="109"/>
      <c r="GMF394" s="104"/>
      <c r="GMG394" s="104"/>
      <c r="GMH394" s="119"/>
      <c r="GMI394" s="104"/>
      <c r="GMJ394" s="455"/>
      <c r="GMK394" s="104"/>
      <c r="GML394" s="104"/>
      <c r="GMM394" s="109"/>
      <c r="GMN394" s="104"/>
      <c r="GMO394" s="104"/>
      <c r="GMP394" s="119"/>
      <c r="GMQ394" s="104"/>
      <c r="GMR394" s="455"/>
      <c r="GMS394" s="104"/>
      <c r="GMT394" s="104"/>
      <c r="GMU394" s="109"/>
      <c r="GMV394" s="104"/>
      <c r="GMW394" s="104"/>
      <c r="GMX394" s="119"/>
      <c r="GMY394" s="104"/>
      <c r="GMZ394" s="455"/>
      <c r="GNA394" s="104"/>
      <c r="GNB394" s="104"/>
      <c r="GNC394" s="109"/>
      <c r="GND394" s="104"/>
      <c r="GNE394" s="104"/>
      <c r="GNF394" s="119"/>
      <c r="GNG394" s="104"/>
      <c r="GNH394" s="455"/>
      <c r="GNI394" s="104"/>
      <c r="GNJ394" s="104"/>
      <c r="GNK394" s="109"/>
      <c r="GNL394" s="104"/>
      <c r="GNM394" s="104"/>
      <c r="GNN394" s="119"/>
      <c r="GNO394" s="104"/>
      <c r="GNP394" s="455"/>
      <c r="GNQ394" s="104"/>
      <c r="GNR394" s="104"/>
      <c r="GNS394" s="109"/>
      <c r="GNT394" s="104"/>
      <c r="GNU394" s="104"/>
      <c r="GNV394" s="119"/>
      <c r="GNW394" s="104"/>
      <c r="GNX394" s="455"/>
      <c r="GNY394" s="104"/>
      <c r="GNZ394" s="104"/>
      <c r="GOA394" s="109"/>
      <c r="GOB394" s="104"/>
      <c r="GOC394" s="104"/>
      <c r="GOD394" s="119"/>
      <c r="GOE394" s="104"/>
      <c r="GOF394" s="455"/>
      <c r="GOG394" s="104"/>
      <c r="GOH394" s="104"/>
      <c r="GOI394" s="109"/>
      <c r="GOJ394" s="104"/>
      <c r="GOK394" s="104"/>
      <c r="GOL394" s="119"/>
      <c r="GOM394" s="104"/>
      <c r="GON394" s="455"/>
      <c r="GOO394" s="104"/>
      <c r="GOP394" s="104"/>
      <c r="GOQ394" s="109"/>
      <c r="GOR394" s="104"/>
      <c r="GOS394" s="104"/>
      <c r="GOT394" s="119"/>
      <c r="GOU394" s="104"/>
      <c r="GOV394" s="455"/>
      <c r="GOW394" s="104"/>
      <c r="GOX394" s="104"/>
      <c r="GOY394" s="109"/>
      <c r="GOZ394" s="104"/>
      <c r="GPA394" s="104"/>
      <c r="GPB394" s="119"/>
      <c r="GPC394" s="104"/>
      <c r="GPD394" s="455"/>
      <c r="GPE394" s="104"/>
      <c r="GPF394" s="104"/>
      <c r="GPG394" s="109"/>
      <c r="GPH394" s="104"/>
      <c r="GPI394" s="104"/>
      <c r="GPJ394" s="119"/>
      <c r="GPK394" s="104"/>
      <c r="GPL394" s="455"/>
      <c r="GPM394" s="104"/>
      <c r="GPN394" s="104"/>
      <c r="GPO394" s="109"/>
      <c r="GPP394" s="104"/>
      <c r="GPQ394" s="104"/>
      <c r="GPR394" s="119"/>
      <c r="GPS394" s="104"/>
      <c r="GPT394" s="455"/>
      <c r="GPU394" s="104"/>
      <c r="GPV394" s="104"/>
      <c r="GPW394" s="109"/>
      <c r="GPX394" s="104"/>
      <c r="GPY394" s="104"/>
      <c r="GPZ394" s="119"/>
      <c r="GQA394" s="104"/>
      <c r="GQB394" s="455"/>
      <c r="GQC394" s="104"/>
      <c r="GQD394" s="104"/>
      <c r="GQE394" s="109"/>
      <c r="GQF394" s="104"/>
      <c r="GQG394" s="104"/>
      <c r="GQH394" s="119"/>
      <c r="GQI394" s="104"/>
      <c r="GQJ394" s="455"/>
      <c r="GQK394" s="104"/>
      <c r="GQL394" s="104"/>
      <c r="GQM394" s="109"/>
      <c r="GQN394" s="104"/>
      <c r="GQO394" s="104"/>
      <c r="GQP394" s="119"/>
      <c r="GQQ394" s="104"/>
      <c r="GQR394" s="455"/>
      <c r="GQS394" s="104"/>
      <c r="GQT394" s="104"/>
      <c r="GQU394" s="109"/>
      <c r="GQV394" s="104"/>
      <c r="GQW394" s="104"/>
      <c r="GQX394" s="119"/>
      <c r="GQY394" s="104"/>
      <c r="GQZ394" s="455"/>
      <c r="GRA394" s="104"/>
      <c r="GRB394" s="104"/>
      <c r="GRC394" s="109"/>
      <c r="GRD394" s="104"/>
      <c r="GRE394" s="104"/>
      <c r="GRF394" s="119"/>
      <c r="GRG394" s="104"/>
      <c r="GRH394" s="455"/>
      <c r="GRI394" s="104"/>
      <c r="GRJ394" s="104"/>
      <c r="GRK394" s="109"/>
      <c r="GRL394" s="104"/>
      <c r="GRM394" s="104"/>
      <c r="GRN394" s="119"/>
      <c r="GRO394" s="104"/>
      <c r="GRP394" s="455"/>
      <c r="GRQ394" s="104"/>
      <c r="GRR394" s="104"/>
      <c r="GRS394" s="109"/>
      <c r="GRT394" s="104"/>
      <c r="GRU394" s="104"/>
      <c r="GRV394" s="119"/>
      <c r="GRW394" s="104"/>
      <c r="GRX394" s="455"/>
      <c r="GRY394" s="104"/>
      <c r="GRZ394" s="104"/>
      <c r="GSA394" s="109"/>
      <c r="GSB394" s="104"/>
      <c r="GSC394" s="104"/>
      <c r="GSD394" s="119"/>
      <c r="GSE394" s="104"/>
      <c r="GSF394" s="455"/>
      <c r="GSG394" s="104"/>
      <c r="GSH394" s="104"/>
      <c r="GSI394" s="109"/>
      <c r="GSJ394" s="104"/>
      <c r="GSK394" s="104"/>
      <c r="GSL394" s="119"/>
      <c r="GSM394" s="104"/>
      <c r="GSN394" s="455"/>
      <c r="GSO394" s="104"/>
      <c r="GSP394" s="104"/>
      <c r="GSQ394" s="109"/>
      <c r="GSR394" s="104"/>
      <c r="GSS394" s="104"/>
      <c r="GST394" s="119"/>
      <c r="GSU394" s="104"/>
      <c r="GSV394" s="455"/>
      <c r="GSW394" s="104"/>
      <c r="GSX394" s="104"/>
      <c r="GSY394" s="109"/>
      <c r="GSZ394" s="104"/>
      <c r="GTA394" s="104"/>
      <c r="GTB394" s="119"/>
      <c r="GTC394" s="104"/>
      <c r="GTD394" s="455"/>
      <c r="GTE394" s="104"/>
      <c r="GTF394" s="104"/>
      <c r="GTG394" s="109"/>
      <c r="GTH394" s="104"/>
      <c r="GTI394" s="104"/>
      <c r="GTJ394" s="119"/>
      <c r="GTK394" s="104"/>
      <c r="GTL394" s="455"/>
      <c r="GTM394" s="104"/>
      <c r="GTN394" s="104"/>
      <c r="GTO394" s="109"/>
      <c r="GTP394" s="104"/>
      <c r="GTQ394" s="104"/>
      <c r="GTR394" s="119"/>
      <c r="GTS394" s="104"/>
      <c r="GTT394" s="455"/>
      <c r="GTU394" s="104"/>
      <c r="GTV394" s="104"/>
      <c r="GTW394" s="109"/>
      <c r="GTX394" s="104"/>
      <c r="GTY394" s="104"/>
      <c r="GTZ394" s="119"/>
      <c r="GUA394" s="104"/>
      <c r="GUB394" s="455"/>
      <c r="GUC394" s="104"/>
      <c r="GUD394" s="104"/>
      <c r="GUE394" s="109"/>
      <c r="GUF394" s="104"/>
      <c r="GUG394" s="104"/>
      <c r="GUH394" s="119"/>
      <c r="GUI394" s="104"/>
      <c r="GUJ394" s="455"/>
      <c r="GUK394" s="104"/>
      <c r="GUL394" s="104"/>
      <c r="GUM394" s="109"/>
      <c r="GUN394" s="104"/>
      <c r="GUO394" s="104"/>
      <c r="GUP394" s="119"/>
      <c r="GUQ394" s="104"/>
      <c r="GUR394" s="455"/>
      <c r="GUS394" s="104"/>
      <c r="GUT394" s="104"/>
      <c r="GUU394" s="109"/>
      <c r="GUV394" s="104"/>
      <c r="GUW394" s="104"/>
      <c r="GUX394" s="119"/>
      <c r="GUY394" s="104"/>
      <c r="GUZ394" s="455"/>
      <c r="GVA394" s="104"/>
      <c r="GVB394" s="104"/>
      <c r="GVC394" s="109"/>
      <c r="GVD394" s="104"/>
      <c r="GVE394" s="104"/>
      <c r="GVF394" s="119"/>
      <c r="GVG394" s="104"/>
      <c r="GVH394" s="455"/>
      <c r="GVI394" s="104"/>
      <c r="GVJ394" s="104"/>
      <c r="GVK394" s="109"/>
      <c r="GVL394" s="104"/>
      <c r="GVM394" s="104"/>
      <c r="GVN394" s="119"/>
      <c r="GVO394" s="104"/>
      <c r="GVP394" s="455"/>
      <c r="GVQ394" s="104"/>
      <c r="GVR394" s="104"/>
      <c r="GVS394" s="109"/>
      <c r="GVT394" s="104"/>
      <c r="GVU394" s="104"/>
      <c r="GVV394" s="119"/>
      <c r="GVW394" s="104"/>
      <c r="GVX394" s="455"/>
      <c r="GVY394" s="104"/>
      <c r="GVZ394" s="104"/>
      <c r="GWA394" s="109"/>
      <c r="GWB394" s="104"/>
      <c r="GWC394" s="104"/>
      <c r="GWD394" s="119"/>
      <c r="GWE394" s="104"/>
      <c r="GWF394" s="455"/>
      <c r="GWG394" s="104"/>
      <c r="GWH394" s="104"/>
      <c r="GWI394" s="109"/>
      <c r="GWJ394" s="104"/>
      <c r="GWK394" s="104"/>
      <c r="GWL394" s="119"/>
      <c r="GWM394" s="104"/>
      <c r="GWN394" s="455"/>
      <c r="GWO394" s="104"/>
      <c r="GWP394" s="104"/>
      <c r="GWQ394" s="109"/>
      <c r="GWR394" s="104"/>
      <c r="GWS394" s="104"/>
      <c r="GWT394" s="119"/>
      <c r="GWU394" s="104"/>
      <c r="GWV394" s="455"/>
      <c r="GWW394" s="104"/>
      <c r="GWX394" s="104"/>
      <c r="GWY394" s="109"/>
      <c r="GWZ394" s="104"/>
      <c r="GXA394" s="104"/>
      <c r="GXB394" s="119"/>
      <c r="GXC394" s="104"/>
      <c r="GXD394" s="455"/>
      <c r="GXE394" s="104"/>
      <c r="GXF394" s="104"/>
      <c r="GXG394" s="109"/>
      <c r="GXH394" s="104"/>
      <c r="GXI394" s="104"/>
      <c r="GXJ394" s="119"/>
      <c r="GXK394" s="104"/>
      <c r="GXL394" s="455"/>
      <c r="GXM394" s="104"/>
      <c r="GXN394" s="104"/>
      <c r="GXO394" s="109"/>
      <c r="GXP394" s="104"/>
      <c r="GXQ394" s="104"/>
      <c r="GXR394" s="119"/>
      <c r="GXS394" s="104"/>
      <c r="GXT394" s="455"/>
      <c r="GXU394" s="104"/>
      <c r="GXV394" s="104"/>
      <c r="GXW394" s="109"/>
      <c r="GXX394" s="104"/>
      <c r="GXY394" s="104"/>
      <c r="GXZ394" s="119"/>
      <c r="GYA394" s="104"/>
      <c r="GYB394" s="455"/>
      <c r="GYC394" s="104"/>
      <c r="GYD394" s="104"/>
      <c r="GYE394" s="109"/>
      <c r="GYF394" s="104"/>
      <c r="GYG394" s="104"/>
      <c r="GYH394" s="119"/>
      <c r="GYI394" s="104"/>
      <c r="GYJ394" s="455"/>
      <c r="GYK394" s="104"/>
      <c r="GYL394" s="104"/>
      <c r="GYM394" s="109"/>
      <c r="GYN394" s="104"/>
      <c r="GYO394" s="104"/>
      <c r="GYP394" s="119"/>
      <c r="GYQ394" s="104"/>
      <c r="GYR394" s="455"/>
      <c r="GYS394" s="104"/>
      <c r="GYT394" s="104"/>
      <c r="GYU394" s="109"/>
      <c r="GYV394" s="104"/>
      <c r="GYW394" s="104"/>
      <c r="GYX394" s="119"/>
      <c r="GYY394" s="104"/>
      <c r="GYZ394" s="455"/>
      <c r="GZA394" s="104"/>
      <c r="GZB394" s="104"/>
      <c r="GZC394" s="109"/>
      <c r="GZD394" s="104"/>
      <c r="GZE394" s="104"/>
      <c r="GZF394" s="119"/>
      <c r="GZG394" s="104"/>
      <c r="GZH394" s="455"/>
      <c r="GZI394" s="104"/>
      <c r="GZJ394" s="104"/>
      <c r="GZK394" s="109"/>
      <c r="GZL394" s="104"/>
      <c r="GZM394" s="104"/>
      <c r="GZN394" s="119"/>
      <c r="GZO394" s="104"/>
      <c r="GZP394" s="455"/>
      <c r="GZQ394" s="104"/>
      <c r="GZR394" s="104"/>
      <c r="GZS394" s="109"/>
      <c r="GZT394" s="104"/>
      <c r="GZU394" s="104"/>
      <c r="GZV394" s="119"/>
      <c r="GZW394" s="104"/>
      <c r="GZX394" s="455"/>
      <c r="GZY394" s="104"/>
      <c r="GZZ394" s="104"/>
      <c r="HAA394" s="109"/>
      <c r="HAB394" s="104"/>
      <c r="HAC394" s="104"/>
      <c r="HAD394" s="119"/>
      <c r="HAE394" s="104"/>
      <c r="HAF394" s="455"/>
      <c r="HAG394" s="104"/>
      <c r="HAH394" s="104"/>
      <c r="HAI394" s="109"/>
      <c r="HAJ394" s="104"/>
      <c r="HAK394" s="104"/>
      <c r="HAL394" s="119"/>
      <c r="HAM394" s="104"/>
      <c r="HAN394" s="455"/>
      <c r="HAO394" s="104"/>
      <c r="HAP394" s="104"/>
      <c r="HAQ394" s="109"/>
      <c r="HAR394" s="104"/>
      <c r="HAS394" s="104"/>
      <c r="HAT394" s="119"/>
      <c r="HAU394" s="104"/>
      <c r="HAV394" s="455"/>
      <c r="HAW394" s="104"/>
      <c r="HAX394" s="104"/>
      <c r="HAY394" s="109"/>
      <c r="HAZ394" s="104"/>
      <c r="HBA394" s="104"/>
      <c r="HBB394" s="119"/>
      <c r="HBC394" s="104"/>
      <c r="HBD394" s="455"/>
      <c r="HBE394" s="104"/>
      <c r="HBF394" s="104"/>
      <c r="HBG394" s="109"/>
      <c r="HBH394" s="104"/>
      <c r="HBI394" s="104"/>
      <c r="HBJ394" s="119"/>
      <c r="HBK394" s="104"/>
      <c r="HBL394" s="455"/>
      <c r="HBM394" s="104"/>
      <c r="HBN394" s="104"/>
      <c r="HBO394" s="109"/>
      <c r="HBP394" s="104"/>
      <c r="HBQ394" s="104"/>
      <c r="HBR394" s="119"/>
      <c r="HBS394" s="104"/>
      <c r="HBT394" s="455"/>
      <c r="HBU394" s="104"/>
      <c r="HBV394" s="104"/>
      <c r="HBW394" s="109"/>
      <c r="HBX394" s="104"/>
      <c r="HBY394" s="104"/>
      <c r="HBZ394" s="119"/>
      <c r="HCA394" s="104"/>
      <c r="HCB394" s="455"/>
      <c r="HCC394" s="104"/>
      <c r="HCD394" s="104"/>
      <c r="HCE394" s="109"/>
      <c r="HCF394" s="104"/>
      <c r="HCG394" s="104"/>
      <c r="HCH394" s="119"/>
      <c r="HCI394" s="104"/>
      <c r="HCJ394" s="455"/>
      <c r="HCK394" s="104"/>
      <c r="HCL394" s="104"/>
      <c r="HCM394" s="109"/>
      <c r="HCN394" s="104"/>
      <c r="HCO394" s="104"/>
      <c r="HCP394" s="119"/>
      <c r="HCQ394" s="104"/>
      <c r="HCR394" s="455"/>
      <c r="HCS394" s="104"/>
      <c r="HCT394" s="104"/>
      <c r="HCU394" s="109"/>
      <c r="HCV394" s="104"/>
      <c r="HCW394" s="104"/>
      <c r="HCX394" s="119"/>
      <c r="HCY394" s="104"/>
      <c r="HCZ394" s="455"/>
      <c r="HDA394" s="104"/>
      <c r="HDB394" s="104"/>
      <c r="HDC394" s="109"/>
      <c r="HDD394" s="104"/>
      <c r="HDE394" s="104"/>
      <c r="HDF394" s="119"/>
      <c r="HDG394" s="104"/>
      <c r="HDH394" s="455"/>
      <c r="HDI394" s="104"/>
      <c r="HDJ394" s="104"/>
      <c r="HDK394" s="109"/>
      <c r="HDL394" s="104"/>
      <c r="HDM394" s="104"/>
      <c r="HDN394" s="119"/>
      <c r="HDO394" s="104"/>
      <c r="HDP394" s="455"/>
      <c r="HDQ394" s="104"/>
      <c r="HDR394" s="104"/>
      <c r="HDS394" s="109"/>
      <c r="HDT394" s="104"/>
      <c r="HDU394" s="104"/>
      <c r="HDV394" s="119"/>
      <c r="HDW394" s="104"/>
      <c r="HDX394" s="455"/>
      <c r="HDY394" s="104"/>
      <c r="HDZ394" s="104"/>
      <c r="HEA394" s="109"/>
      <c r="HEB394" s="104"/>
      <c r="HEC394" s="104"/>
      <c r="HED394" s="119"/>
      <c r="HEE394" s="104"/>
      <c r="HEF394" s="455"/>
      <c r="HEG394" s="104"/>
      <c r="HEH394" s="104"/>
      <c r="HEI394" s="109"/>
      <c r="HEJ394" s="104"/>
      <c r="HEK394" s="104"/>
      <c r="HEL394" s="119"/>
      <c r="HEM394" s="104"/>
      <c r="HEN394" s="455"/>
      <c r="HEO394" s="104"/>
      <c r="HEP394" s="104"/>
      <c r="HEQ394" s="109"/>
      <c r="HER394" s="104"/>
      <c r="HES394" s="104"/>
      <c r="HET394" s="119"/>
      <c r="HEU394" s="104"/>
      <c r="HEV394" s="455"/>
      <c r="HEW394" s="104"/>
      <c r="HEX394" s="104"/>
      <c r="HEY394" s="109"/>
      <c r="HEZ394" s="104"/>
      <c r="HFA394" s="104"/>
      <c r="HFB394" s="119"/>
      <c r="HFC394" s="104"/>
      <c r="HFD394" s="455"/>
      <c r="HFE394" s="104"/>
      <c r="HFF394" s="104"/>
      <c r="HFG394" s="109"/>
      <c r="HFH394" s="104"/>
      <c r="HFI394" s="104"/>
      <c r="HFJ394" s="119"/>
      <c r="HFK394" s="104"/>
      <c r="HFL394" s="455"/>
      <c r="HFM394" s="104"/>
      <c r="HFN394" s="104"/>
      <c r="HFO394" s="109"/>
      <c r="HFP394" s="104"/>
      <c r="HFQ394" s="104"/>
      <c r="HFR394" s="119"/>
      <c r="HFS394" s="104"/>
      <c r="HFT394" s="455"/>
      <c r="HFU394" s="104"/>
      <c r="HFV394" s="104"/>
      <c r="HFW394" s="109"/>
      <c r="HFX394" s="104"/>
      <c r="HFY394" s="104"/>
      <c r="HFZ394" s="119"/>
      <c r="HGA394" s="104"/>
      <c r="HGB394" s="455"/>
      <c r="HGC394" s="104"/>
      <c r="HGD394" s="104"/>
      <c r="HGE394" s="109"/>
      <c r="HGF394" s="104"/>
      <c r="HGG394" s="104"/>
      <c r="HGH394" s="119"/>
      <c r="HGI394" s="104"/>
      <c r="HGJ394" s="455"/>
      <c r="HGK394" s="104"/>
      <c r="HGL394" s="104"/>
      <c r="HGM394" s="109"/>
      <c r="HGN394" s="104"/>
      <c r="HGO394" s="104"/>
      <c r="HGP394" s="119"/>
      <c r="HGQ394" s="104"/>
      <c r="HGR394" s="455"/>
      <c r="HGS394" s="104"/>
      <c r="HGT394" s="104"/>
      <c r="HGU394" s="109"/>
      <c r="HGV394" s="104"/>
      <c r="HGW394" s="104"/>
      <c r="HGX394" s="119"/>
      <c r="HGY394" s="104"/>
      <c r="HGZ394" s="455"/>
      <c r="HHA394" s="104"/>
      <c r="HHB394" s="104"/>
      <c r="HHC394" s="109"/>
      <c r="HHD394" s="104"/>
      <c r="HHE394" s="104"/>
      <c r="HHF394" s="119"/>
      <c r="HHG394" s="104"/>
      <c r="HHH394" s="455"/>
      <c r="HHI394" s="104"/>
      <c r="HHJ394" s="104"/>
      <c r="HHK394" s="109"/>
      <c r="HHL394" s="104"/>
      <c r="HHM394" s="104"/>
      <c r="HHN394" s="119"/>
      <c r="HHO394" s="104"/>
      <c r="HHP394" s="455"/>
      <c r="HHQ394" s="104"/>
      <c r="HHR394" s="104"/>
      <c r="HHS394" s="109"/>
      <c r="HHT394" s="104"/>
      <c r="HHU394" s="104"/>
      <c r="HHV394" s="119"/>
      <c r="HHW394" s="104"/>
      <c r="HHX394" s="455"/>
      <c r="HHY394" s="104"/>
      <c r="HHZ394" s="104"/>
      <c r="HIA394" s="109"/>
      <c r="HIB394" s="104"/>
      <c r="HIC394" s="104"/>
      <c r="HID394" s="119"/>
      <c r="HIE394" s="104"/>
      <c r="HIF394" s="455"/>
      <c r="HIG394" s="104"/>
      <c r="HIH394" s="104"/>
      <c r="HII394" s="109"/>
      <c r="HIJ394" s="104"/>
      <c r="HIK394" s="104"/>
      <c r="HIL394" s="119"/>
      <c r="HIM394" s="104"/>
      <c r="HIN394" s="455"/>
      <c r="HIO394" s="104"/>
      <c r="HIP394" s="104"/>
      <c r="HIQ394" s="109"/>
      <c r="HIR394" s="104"/>
      <c r="HIS394" s="104"/>
      <c r="HIT394" s="119"/>
      <c r="HIU394" s="104"/>
      <c r="HIV394" s="455"/>
      <c r="HIW394" s="104"/>
      <c r="HIX394" s="104"/>
      <c r="HIY394" s="109"/>
      <c r="HIZ394" s="104"/>
      <c r="HJA394" s="104"/>
      <c r="HJB394" s="119"/>
      <c r="HJC394" s="104"/>
      <c r="HJD394" s="455"/>
      <c r="HJE394" s="104"/>
      <c r="HJF394" s="104"/>
      <c r="HJG394" s="109"/>
      <c r="HJH394" s="104"/>
      <c r="HJI394" s="104"/>
      <c r="HJJ394" s="119"/>
      <c r="HJK394" s="104"/>
      <c r="HJL394" s="455"/>
      <c r="HJM394" s="104"/>
      <c r="HJN394" s="104"/>
      <c r="HJO394" s="109"/>
      <c r="HJP394" s="104"/>
      <c r="HJQ394" s="104"/>
      <c r="HJR394" s="119"/>
      <c r="HJS394" s="104"/>
      <c r="HJT394" s="455"/>
      <c r="HJU394" s="104"/>
      <c r="HJV394" s="104"/>
      <c r="HJW394" s="109"/>
      <c r="HJX394" s="104"/>
      <c r="HJY394" s="104"/>
      <c r="HJZ394" s="119"/>
      <c r="HKA394" s="104"/>
      <c r="HKB394" s="455"/>
      <c r="HKC394" s="104"/>
      <c r="HKD394" s="104"/>
      <c r="HKE394" s="109"/>
      <c r="HKF394" s="104"/>
      <c r="HKG394" s="104"/>
      <c r="HKH394" s="119"/>
      <c r="HKI394" s="104"/>
      <c r="HKJ394" s="455"/>
      <c r="HKK394" s="104"/>
      <c r="HKL394" s="104"/>
      <c r="HKM394" s="109"/>
      <c r="HKN394" s="104"/>
      <c r="HKO394" s="104"/>
      <c r="HKP394" s="119"/>
      <c r="HKQ394" s="104"/>
      <c r="HKR394" s="455"/>
      <c r="HKS394" s="104"/>
      <c r="HKT394" s="104"/>
      <c r="HKU394" s="109"/>
      <c r="HKV394" s="104"/>
      <c r="HKW394" s="104"/>
      <c r="HKX394" s="119"/>
      <c r="HKY394" s="104"/>
      <c r="HKZ394" s="455"/>
      <c r="HLA394" s="104"/>
      <c r="HLB394" s="104"/>
      <c r="HLC394" s="109"/>
      <c r="HLD394" s="104"/>
      <c r="HLE394" s="104"/>
      <c r="HLF394" s="119"/>
      <c r="HLG394" s="104"/>
      <c r="HLH394" s="455"/>
      <c r="HLI394" s="104"/>
      <c r="HLJ394" s="104"/>
      <c r="HLK394" s="109"/>
      <c r="HLL394" s="104"/>
      <c r="HLM394" s="104"/>
      <c r="HLN394" s="119"/>
      <c r="HLO394" s="104"/>
      <c r="HLP394" s="455"/>
      <c r="HLQ394" s="104"/>
      <c r="HLR394" s="104"/>
      <c r="HLS394" s="109"/>
      <c r="HLT394" s="104"/>
      <c r="HLU394" s="104"/>
      <c r="HLV394" s="119"/>
      <c r="HLW394" s="104"/>
      <c r="HLX394" s="455"/>
      <c r="HLY394" s="104"/>
      <c r="HLZ394" s="104"/>
      <c r="HMA394" s="109"/>
      <c r="HMB394" s="104"/>
      <c r="HMC394" s="104"/>
      <c r="HMD394" s="119"/>
      <c r="HME394" s="104"/>
      <c r="HMF394" s="455"/>
      <c r="HMG394" s="104"/>
      <c r="HMH394" s="104"/>
      <c r="HMI394" s="109"/>
      <c r="HMJ394" s="104"/>
      <c r="HMK394" s="104"/>
      <c r="HML394" s="119"/>
      <c r="HMM394" s="104"/>
      <c r="HMN394" s="455"/>
      <c r="HMO394" s="104"/>
      <c r="HMP394" s="104"/>
      <c r="HMQ394" s="109"/>
      <c r="HMR394" s="104"/>
      <c r="HMS394" s="104"/>
      <c r="HMT394" s="119"/>
      <c r="HMU394" s="104"/>
      <c r="HMV394" s="455"/>
      <c r="HMW394" s="104"/>
      <c r="HMX394" s="104"/>
      <c r="HMY394" s="109"/>
      <c r="HMZ394" s="104"/>
      <c r="HNA394" s="104"/>
      <c r="HNB394" s="119"/>
      <c r="HNC394" s="104"/>
      <c r="HND394" s="455"/>
      <c r="HNE394" s="104"/>
      <c r="HNF394" s="104"/>
      <c r="HNG394" s="109"/>
      <c r="HNH394" s="104"/>
      <c r="HNI394" s="104"/>
      <c r="HNJ394" s="119"/>
      <c r="HNK394" s="104"/>
      <c r="HNL394" s="455"/>
      <c r="HNM394" s="104"/>
      <c r="HNN394" s="104"/>
      <c r="HNO394" s="109"/>
      <c r="HNP394" s="104"/>
      <c r="HNQ394" s="104"/>
      <c r="HNR394" s="119"/>
      <c r="HNS394" s="104"/>
      <c r="HNT394" s="455"/>
      <c r="HNU394" s="104"/>
      <c r="HNV394" s="104"/>
      <c r="HNW394" s="109"/>
      <c r="HNX394" s="104"/>
      <c r="HNY394" s="104"/>
      <c r="HNZ394" s="119"/>
      <c r="HOA394" s="104"/>
      <c r="HOB394" s="455"/>
      <c r="HOC394" s="104"/>
      <c r="HOD394" s="104"/>
      <c r="HOE394" s="109"/>
      <c r="HOF394" s="104"/>
      <c r="HOG394" s="104"/>
      <c r="HOH394" s="119"/>
      <c r="HOI394" s="104"/>
      <c r="HOJ394" s="455"/>
      <c r="HOK394" s="104"/>
      <c r="HOL394" s="104"/>
      <c r="HOM394" s="109"/>
      <c r="HON394" s="104"/>
      <c r="HOO394" s="104"/>
      <c r="HOP394" s="119"/>
      <c r="HOQ394" s="104"/>
      <c r="HOR394" s="455"/>
      <c r="HOS394" s="104"/>
      <c r="HOT394" s="104"/>
      <c r="HOU394" s="109"/>
      <c r="HOV394" s="104"/>
      <c r="HOW394" s="104"/>
      <c r="HOX394" s="119"/>
      <c r="HOY394" s="104"/>
      <c r="HOZ394" s="455"/>
      <c r="HPA394" s="104"/>
      <c r="HPB394" s="104"/>
      <c r="HPC394" s="109"/>
      <c r="HPD394" s="104"/>
      <c r="HPE394" s="104"/>
      <c r="HPF394" s="119"/>
      <c r="HPG394" s="104"/>
      <c r="HPH394" s="455"/>
      <c r="HPI394" s="104"/>
      <c r="HPJ394" s="104"/>
      <c r="HPK394" s="109"/>
      <c r="HPL394" s="104"/>
      <c r="HPM394" s="104"/>
      <c r="HPN394" s="119"/>
      <c r="HPO394" s="104"/>
      <c r="HPP394" s="455"/>
      <c r="HPQ394" s="104"/>
      <c r="HPR394" s="104"/>
      <c r="HPS394" s="109"/>
      <c r="HPT394" s="104"/>
      <c r="HPU394" s="104"/>
      <c r="HPV394" s="119"/>
      <c r="HPW394" s="104"/>
      <c r="HPX394" s="455"/>
      <c r="HPY394" s="104"/>
      <c r="HPZ394" s="104"/>
      <c r="HQA394" s="109"/>
      <c r="HQB394" s="104"/>
      <c r="HQC394" s="104"/>
      <c r="HQD394" s="119"/>
      <c r="HQE394" s="104"/>
      <c r="HQF394" s="455"/>
      <c r="HQG394" s="104"/>
      <c r="HQH394" s="104"/>
      <c r="HQI394" s="109"/>
      <c r="HQJ394" s="104"/>
      <c r="HQK394" s="104"/>
      <c r="HQL394" s="119"/>
      <c r="HQM394" s="104"/>
      <c r="HQN394" s="455"/>
      <c r="HQO394" s="104"/>
      <c r="HQP394" s="104"/>
      <c r="HQQ394" s="109"/>
      <c r="HQR394" s="104"/>
      <c r="HQS394" s="104"/>
      <c r="HQT394" s="119"/>
      <c r="HQU394" s="104"/>
      <c r="HQV394" s="455"/>
      <c r="HQW394" s="104"/>
      <c r="HQX394" s="104"/>
      <c r="HQY394" s="109"/>
      <c r="HQZ394" s="104"/>
      <c r="HRA394" s="104"/>
      <c r="HRB394" s="119"/>
      <c r="HRC394" s="104"/>
      <c r="HRD394" s="455"/>
      <c r="HRE394" s="104"/>
      <c r="HRF394" s="104"/>
      <c r="HRG394" s="109"/>
      <c r="HRH394" s="104"/>
      <c r="HRI394" s="104"/>
      <c r="HRJ394" s="119"/>
      <c r="HRK394" s="104"/>
      <c r="HRL394" s="455"/>
      <c r="HRM394" s="104"/>
      <c r="HRN394" s="104"/>
      <c r="HRO394" s="109"/>
      <c r="HRP394" s="104"/>
      <c r="HRQ394" s="104"/>
      <c r="HRR394" s="119"/>
      <c r="HRS394" s="104"/>
      <c r="HRT394" s="455"/>
      <c r="HRU394" s="104"/>
      <c r="HRV394" s="104"/>
      <c r="HRW394" s="109"/>
      <c r="HRX394" s="104"/>
      <c r="HRY394" s="104"/>
      <c r="HRZ394" s="119"/>
      <c r="HSA394" s="104"/>
      <c r="HSB394" s="455"/>
      <c r="HSC394" s="104"/>
      <c r="HSD394" s="104"/>
      <c r="HSE394" s="109"/>
      <c r="HSF394" s="104"/>
      <c r="HSG394" s="104"/>
      <c r="HSH394" s="119"/>
      <c r="HSI394" s="104"/>
      <c r="HSJ394" s="455"/>
      <c r="HSK394" s="104"/>
      <c r="HSL394" s="104"/>
      <c r="HSM394" s="109"/>
      <c r="HSN394" s="104"/>
      <c r="HSO394" s="104"/>
      <c r="HSP394" s="119"/>
      <c r="HSQ394" s="104"/>
      <c r="HSR394" s="455"/>
      <c r="HSS394" s="104"/>
      <c r="HST394" s="104"/>
      <c r="HSU394" s="109"/>
      <c r="HSV394" s="104"/>
      <c r="HSW394" s="104"/>
      <c r="HSX394" s="119"/>
      <c r="HSY394" s="104"/>
      <c r="HSZ394" s="455"/>
      <c r="HTA394" s="104"/>
      <c r="HTB394" s="104"/>
      <c r="HTC394" s="109"/>
      <c r="HTD394" s="104"/>
      <c r="HTE394" s="104"/>
      <c r="HTF394" s="119"/>
      <c r="HTG394" s="104"/>
      <c r="HTH394" s="455"/>
      <c r="HTI394" s="104"/>
      <c r="HTJ394" s="104"/>
      <c r="HTK394" s="109"/>
      <c r="HTL394" s="104"/>
      <c r="HTM394" s="104"/>
      <c r="HTN394" s="119"/>
      <c r="HTO394" s="104"/>
      <c r="HTP394" s="455"/>
      <c r="HTQ394" s="104"/>
      <c r="HTR394" s="104"/>
      <c r="HTS394" s="109"/>
      <c r="HTT394" s="104"/>
      <c r="HTU394" s="104"/>
      <c r="HTV394" s="119"/>
      <c r="HTW394" s="104"/>
      <c r="HTX394" s="455"/>
      <c r="HTY394" s="104"/>
      <c r="HTZ394" s="104"/>
      <c r="HUA394" s="109"/>
      <c r="HUB394" s="104"/>
      <c r="HUC394" s="104"/>
      <c r="HUD394" s="119"/>
      <c r="HUE394" s="104"/>
      <c r="HUF394" s="455"/>
      <c r="HUG394" s="104"/>
      <c r="HUH394" s="104"/>
      <c r="HUI394" s="109"/>
      <c r="HUJ394" s="104"/>
      <c r="HUK394" s="104"/>
      <c r="HUL394" s="119"/>
      <c r="HUM394" s="104"/>
      <c r="HUN394" s="455"/>
      <c r="HUO394" s="104"/>
      <c r="HUP394" s="104"/>
      <c r="HUQ394" s="109"/>
      <c r="HUR394" s="104"/>
      <c r="HUS394" s="104"/>
      <c r="HUT394" s="119"/>
      <c r="HUU394" s="104"/>
      <c r="HUV394" s="455"/>
      <c r="HUW394" s="104"/>
      <c r="HUX394" s="104"/>
      <c r="HUY394" s="109"/>
      <c r="HUZ394" s="104"/>
      <c r="HVA394" s="104"/>
      <c r="HVB394" s="119"/>
      <c r="HVC394" s="104"/>
      <c r="HVD394" s="455"/>
      <c r="HVE394" s="104"/>
      <c r="HVF394" s="104"/>
      <c r="HVG394" s="109"/>
      <c r="HVH394" s="104"/>
      <c r="HVI394" s="104"/>
      <c r="HVJ394" s="119"/>
      <c r="HVK394" s="104"/>
      <c r="HVL394" s="455"/>
      <c r="HVM394" s="104"/>
      <c r="HVN394" s="104"/>
      <c r="HVO394" s="109"/>
      <c r="HVP394" s="104"/>
      <c r="HVQ394" s="104"/>
      <c r="HVR394" s="119"/>
      <c r="HVS394" s="104"/>
      <c r="HVT394" s="455"/>
      <c r="HVU394" s="104"/>
      <c r="HVV394" s="104"/>
      <c r="HVW394" s="109"/>
      <c r="HVX394" s="104"/>
      <c r="HVY394" s="104"/>
      <c r="HVZ394" s="119"/>
      <c r="HWA394" s="104"/>
      <c r="HWB394" s="455"/>
      <c r="HWC394" s="104"/>
      <c r="HWD394" s="104"/>
      <c r="HWE394" s="109"/>
      <c r="HWF394" s="104"/>
      <c r="HWG394" s="104"/>
      <c r="HWH394" s="119"/>
      <c r="HWI394" s="104"/>
      <c r="HWJ394" s="455"/>
      <c r="HWK394" s="104"/>
      <c r="HWL394" s="104"/>
      <c r="HWM394" s="109"/>
      <c r="HWN394" s="104"/>
      <c r="HWO394" s="104"/>
      <c r="HWP394" s="119"/>
      <c r="HWQ394" s="104"/>
      <c r="HWR394" s="455"/>
      <c r="HWS394" s="104"/>
      <c r="HWT394" s="104"/>
      <c r="HWU394" s="109"/>
      <c r="HWV394" s="104"/>
      <c r="HWW394" s="104"/>
      <c r="HWX394" s="119"/>
      <c r="HWY394" s="104"/>
      <c r="HWZ394" s="455"/>
      <c r="HXA394" s="104"/>
      <c r="HXB394" s="104"/>
      <c r="HXC394" s="109"/>
      <c r="HXD394" s="104"/>
      <c r="HXE394" s="104"/>
      <c r="HXF394" s="119"/>
      <c r="HXG394" s="104"/>
      <c r="HXH394" s="455"/>
      <c r="HXI394" s="104"/>
      <c r="HXJ394" s="104"/>
      <c r="HXK394" s="109"/>
      <c r="HXL394" s="104"/>
      <c r="HXM394" s="104"/>
      <c r="HXN394" s="119"/>
      <c r="HXO394" s="104"/>
      <c r="HXP394" s="455"/>
      <c r="HXQ394" s="104"/>
      <c r="HXR394" s="104"/>
      <c r="HXS394" s="109"/>
      <c r="HXT394" s="104"/>
      <c r="HXU394" s="104"/>
      <c r="HXV394" s="119"/>
      <c r="HXW394" s="104"/>
      <c r="HXX394" s="455"/>
      <c r="HXY394" s="104"/>
      <c r="HXZ394" s="104"/>
      <c r="HYA394" s="109"/>
      <c r="HYB394" s="104"/>
      <c r="HYC394" s="104"/>
      <c r="HYD394" s="119"/>
      <c r="HYE394" s="104"/>
      <c r="HYF394" s="455"/>
      <c r="HYG394" s="104"/>
      <c r="HYH394" s="104"/>
      <c r="HYI394" s="109"/>
      <c r="HYJ394" s="104"/>
      <c r="HYK394" s="104"/>
      <c r="HYL394" s="119"/>
      <c r="HYM394" s="104"/>
      <c r="HYN394" s="455"/>
      <c r="HYO394" s="104"/>
      <c r="HYP394" s="104"/>
      <c r="HYQ394" s="109"/>
      <c r="HYR394" s="104"/>
      <c r="HYS394" s="104"/>
      <c r="HYT394" s="119"/>
      <c r="HYU394" s="104"/>
      <c r="HYV394" s="455"/>
      <c r="HYW394" s="104"/>
      <c r="HYX394" s="104"/>
      <c r="HYY394" s="109"/>
      <c r="HYZ394" s="104"/>
      <c r="HZA394" s="104"/>
      <c r="HZB394" s="119"/>
      <c r="HZC394" s="104"/>
      <c r="HZD394" s="455"/>
      <c r="HZE394" s="104"/>
      <c r="HZF394" s="104"/>
      <c r="HZG394" s="109"/>
      <c r="HZH394" s="104"/>
      <c r="HZI394" s="104"/>
      <c r="HZJ394" s="119"/>
      <c r="HZK394" s="104"/>
      <c r="HZL394" s="455"/>
      <c r="HZM394" s="104"/>
      <c r="HZN394" s="104"/>
      <c r="HZO394" s="109"/>
      <c r="HZP394" s="104"/>
      <c r="HZQ394" s="104"/>
      <c r="HZR394" s="119"/>
      <c r="HZS394" s="104"/>
      <c r="HZT394" s="455"/>
      <c r="HZU394" s="104"/>
      <c r="HZV394" s="104"/>
      <c r="HZW394" s="109"/>
      <c r="HZX394" s="104"/>
      <c r="HZY394" s="104"/>
      <c r="HZZ394" s="119"/>
      <c r="IAA394" s="104"/>
      <c r="IAB394" s="455"/>
      <c r="IAC394" s="104"/>
      <c r="IAD394" s="104"/>
      <c r="IAE394" s="109"/>
      <c r="IAF394" s="104"/>
      <c r="IAG394" s="104"/>
      <c r="IAH394" s="119"/>
      <c r="IAI394" s="104"/>
      <c r="IAJ394" s="455"/>
      <c r="IAK394" s="104"/>
      <c r="IAL394" s="104"/>
      <c r="IAM394" s="109"/>
      <c r="IAN394" s="104"/>
      <c r="IAO394" s="104"/>
      <c r="IAP394" s="119"/>
      <c r="IAQ394" s="104"/>
      <c r="IAR394" s="455"/>
      <c r="IAS394" s="104"/>
      <c r="IAT394" s="104"/>
      <c r="IAU394" s="109"/>
      <c r="IAV394" s="104"/>
      <c r="IAW394" s="104"/>
      <c r="IAX394" s="119"/>
      <c r="IAY394" s="104"/>
      <c r="IAZ394" s="455"/>
      <c r="IBA394" s="104"/>
      <c r="IBB394" s="104"/>
      <c r="IBC394" s="109"/>
      <c r="IBD394" s="104"/>
      <c r="IBE394" s="104"/>
      <c r="IBF394" s="119"/>
      <c r="IBG394" s="104"/>
      <c r="IBH394" s="455"/>
      <c r="IBI394" s="104"/>
      <c r="IBJ394" s="104"/>
      <c r="IBK394" s="109"/>
      <c r="IBL394" s="104"/>
      <c r="IBM394" s="104"/>
      <c r="IBN394" s="119"/>
      <c r="IBO394" s="104"/>
      <c r="IBP394" s="455"/>
      <c r="IBQ394" s="104"/>
      <c r="IBR394" s="104"/>
      <c r="IBS394" s="109"/>
      <c r="IBT394" s="104"/>
      <c r="IBU394" s="104"/>
      <c r="IBV394" s="119"/>
      <c r="IBW394" s="104"/>
      <c r="IBX394" s="455"/>
      <c r="IBY394" s="104"/>
      <c r="IBZ394" s="104"/>
      <c r="ICA394" s="109"/>
      <c r="ICB394" s="104"/>
      <c r="ICC394" s="104"/>
      <c r="ICD394" s="119"/>
      <c r="ICE394" s="104"/>
      <c r="ICF394" s="455"/>
      <c r="ICG394" s="104"/>
      <c r="ICH394" s="104"/>
      <c r="ICI394" s="109"/>
      <c r="ICJ394" s="104"/>
      <c r="ICK394" s="104"/>
      <c r="ICL394" s="119"/>
      <c r="ICM394" s="104"/>
      <c r="ICN394" s="455"/>
      <c r="ICO394" s="104"/>
      <c r="ICP394" s="104"/>
      <c r="ICQ394" s="109"/>
      <c r="ICR394" s="104"/>
      <c r="ICS394" s="104"/>
      <c r="ICT394" s="119"/>
      <c r="ICU394" s="104"/>
      <c r="ICV394" s="455"/>
      <c r="ICW394" s="104"/>
      <c r="ICX394" s="104"/>
      <c r="ICY394" s="109"/>
      <c r="ICZ394" s="104"/>
      <c r="IDA394" s="104"/>
      <c r="IDB394" s="119"/>
      <c r="IDC394" s="104"/>
      <c r="IDD394" s="455"/>
      <c r="IDE394" s="104"/>
      <c r="IDF394" s="104"/>
      <c r="IDG394" s="109"/>
      <c r="IDH394" s="104"/>
      <c r="IDI394" s="104"/>
      <c r="IDJ394" s="119"/>
      <c r="IDK394" s="104"/>
      <c r="IDL394" s="455"/>
      <c r="IDM394" s="104"/>
      <c r="IDN394" s="104"/>
      <c r="IDO394" s="109"/>
      <c r="IDP394" s="104"/>
      <c r="IDQ394" s="104"/>
      <c r="IDR394" s="119"/>
      <c r="IDS394" s="104"/>
      <c r="IDT394" s="455"/>
      <c r="IDU394" s="104"/>
      <c r="IDV394" s="104"/>
      <c r="IDW394" s="109"/>
      <c r="IDX394" s="104"/>
      <c r="IDY394" s="104"/>
      <c r="IDZ394" s="119"/>
      <c r="IEA394" s="104"/>
      <c r="IEB394" s="455"/>
      <c r="IEC394" s="104"/>
      <c r="IED394" s="104"/>
      <c r="IEE394" s="109"/>
      <c r="IEF394" s="104"/>
      <c r="IEG394" s="104"/>
      <c r="IEH394" s="119"/>
      <c r="IEI394" s="104"/>
      <c r="IEJ394" s="455"/>
      <c r="IEK394" s="104"/>
      <c r="IEL394" s="104"/>
      <c r="IEM394" s="109"/>
      <c r="IEN394" s="104"/>
      <c r="IEO394" s="104"/>
      <c r="IEP394" s="119"/>
      <c r="IEQ394" s="104"/>
      <c r="IER394" s="455"/>
      <c r="IES394" s="104"/>
      <c r="IET394" s="104"/>
      <c r="IEU394" s="109"/>
      <c r="IEV394" s="104"/>
      <c r="IEW394" s="104"/>
      <c r="IEX394" s="119"/>
      <c r="IEY394" s="104"/>
      <c r="IEZ394" s="455"/>
      <c r="IFA394" s="104"/>
      <c r="IFB394" s="104"/>
      <c r="IFC394" s="109"/>
      <c r="IFD394" s="104"/>
      <c r="IFE394" s="104"/>
      <c r="IFF394" s="119"/>
      <c r="IFG394" s="104"/>
      <c r="IFH394" s="455"/>
      <c r="IFI394" s="104"/>
      <c r="IFJ394" s="104"/>
      <c r="IFK394" s="109"/>
      <c r="IFL394" s="104"/>
      <c r="IFM394" s="104"/>
      <c r="IFN394" s="119"/>
      <c r="IFO394" s="104"/>
      <c r="IFP394" s="455"/>
      <c r="IFQ394" s="104"/>
      <c r="IFR394" s="104"/>
      <c r="IFS394" s="109"/>
      <c r="IFT394" s="104"/>
      <c r="IFU394" s="104"/>
      <c r="IFV394" s="119"/>
      <c r="IFW394" s="104"/>
      <c r="IFX394" s="455"/>
      <c r="IFY394" s="104"/>
      <c r="IFZ394" s="104"/>
      <c r="IGA394" s="109"/>
      <c r="IGB394" s="104"/>
      <c r="IGC394" s="104"/>
      <c r="IGD394" s="119"/>
      <c r="IGE394" s="104"/>
      <c r="IGF394" s="455"/>
      <c r="IGG394" s="104"/>
      <c r="IGH394" s="104"/>
      <c r="IGI394" s="109"/>
      <c r="IGJ394" s="104"/>
      <c r="IGK394" s="104"/>
      <c r="IGL394" s="119"/>
      <c r="IGM394" s="104"/>
      <c r="IGN394" s="455"/>
      <c r="IGO394" s="104"/>
      <c r="IGP394" s="104"/>
      <c r="IGQ394" s="109"/>
      <c r="IGR394" s="104"/>
      <c r="IGS394" s="104"/>
      <c r="IGT394" s="119"/>
      <c r="IGU394" s="104"/>
      <c r="IGV394" s="455"/>
      <c r="IGW394" s="104"/>
      <c r="IGX394" s="104"/>
      <c r="IGY394" s="109"/>
      <c r="IGZ394" s="104"/>
      <c r="IHA394" s="104"/>
      <c r="IHB394" s="119"/>
      <c r="IHC394" s="104"/>
      <c r="IHD394" s="455"/>
      <c r="IHE394" s="104"/>
      <c r="IHF394" s="104"/>
      <c r="IHG394" s="109"/>
      <c r="IHH394" s="104"/>
      <c r="IHI394" s="104"/>
      <c r="IHJ394" s="119"/>
      <c r="IHK394" s="104"/>
      <c r="IHL394" s="455"/>
      <c r="IHM394" s="104"/>
      <c r="IHN394" s="104"/>
      <c r="IHO394" s="109"/>
      <c r="IHP394" s="104"/>
      <c r="IHQ394" s="104"/>
      <c r="IHR394" s="119"/>
      <c r="IHS394" s="104"/>
      <c r="IHT394" s="455"/>
      <c r="IHU394" s="104"/>
      <c r="IHV394" s="104"/>
      <c r="IHW394" s="109"/>
      <c r="IHX394" s="104"/>
      <c r="IHY394" s="104"/>
      <c r="IHZ394" s="119"/>
      <c r="IIA394" s="104"/>
      <c r="IIB394" s="455"/>
      <c r="IIC394" s="104"/>
      <c r="IID394" s="104"/>
      <c r="IIE394" s="109"/>
      <c r="IIF394" s="104"/>
      <c r="IIG394" s="104"/>
      <c r="IIH394" s="119"/>
      <c r="III394" s="104"/>
      <c r="IIJ394" s="455"/>
      <c r="IIK394" s="104"/>
      <c r="IIL394" s="104"/>
      <c r="IIM394" s="109"/>
      <c r="IIN394" s="104"/>
      <c r="IIO394" s="104"/>
      <c r="IIP394" s="119"/>
      <c r="IIQ394" s="104"/>
      <c r="IIR394" s="455"/>
      <c r="IIS394" s="104"/>
      <c r="IIT394" s="104"/>
      <c r="IIU394" s="109"/>
      <c r="IIV394" s="104"/>
      <c r="IIW394" s="104"/>
      <c r="IIX394" s="119"/>
      <c r="IIY394" s="104"/>
      <c r="IIZ394" s="455"/>
      <c r="IJA394" s="104"/>
      <c r="IJB394" s="104"/>
      <c r="IJC394" s="109"/>
      <c r="IJD394" s="104"/>
      <c r="IJE394" s="104"/>
      <c r="IJF394" s="119"/>
      <c r="IJG394" s="104"/>
      <c r="IJH394" s="455"/>
      <c r="IJI394" s="104"/>
      <c r="IJJ394" s="104"/>
      <c r="IJK394" s="109"/>
      <c r="IJL394" s="104"/>
      <c r="IJM394" s="104"/>
      <c r="IJN394" s="119"/>
      <c r="IJO394" s="104"/>
      <c r="IJP394" s="455"/>
      <c r="IJQ394" s="104"/>
      <c r="IJR394" s="104"/>
      <c r="IJS394" s="109"/>
      <c r="IJT394" s="104"/>
      <c r="IJU394" s="104"/>
      <c r="IJV394" s="119"/>
      <c r="IJW394" s="104"/>
      <c r="IJX394" s="455"/>
      <c r="IJY394" s="104"/>
      <c r="IJZ394" s="104"/>
      <c r="IKA394" s="109"/>
      <c r="IKB394" s="104"/>
      <c r="IKC394" s="104"/>
      <c r="IKD394" s="119"/>
      <c r="IKE394" s="104"/>
      <c r="IKF394" s="455"/>
      <c r="IKG394" s="104"/>
      <c r="IKH394" s="104"/>
      <c r="IKI394" s="109"/>
      <c r="IKJ394" s="104"/>
      <c r="IKK394" s="104"/>
      <c r="IKL394" s="119"/>
      <c r="IKM394" s="104"/>
      <c r="IKN394" s="455"/>
      <c r="IKO394" s="104"/>
      <c r="IKP394" s="104"/>
      <c r="IKQ394" s="109"/>
      <c r="IKR394" s="104"/>
      <c r="IKS394" s="104"/>
      <c r="IKT394" s="119"/>
      <c r="IKU394" s="104"/>
      <c r="IKV394" s="455"/>
      <c r="IKW394" s="104"/>
      <c r="IKX394" s="104"/>
      <c r="IKY394" s="109"/>
      <c r="IKZ394" s="104"/>
      <c r="ILA394" s="104"/>
      <c r="ILB394" s="119"/>
      <c r="ILC394" s="104"/>
      <c r="ILD394" s="455"/>
      <c r="ILE394" s="104"/>
      <c r="ILF394" s="104"/>
      <c r="ILG394" s="109"/>
      <c r="ILH394" s="104"/>
      <c r="ILI394" s="104"/>
      <c r="ILJ394" s="119"/>
      <c r="ILK394" s="104"/>
      <c r="ILL394" s="455"/>
      <c r="ILM394" s="104"/>
      <c r="ILN394" s="104"/>
      <c r="ILO394" s="109"/>
      <c r="ILP394" s="104"/>
      <c r="ILQ394" s="104"/>
      <c r="ILR394" s="119"/>
      <c r="ILS394" s="104"/>
      <c r="ILT394" s="455"/>
      <c r="ILU394" s="104"/>
      <c r="ILV394" s="104"/>
      <c r="ILW394" s="109"/>
      <c r="ILX394" s="104"/>
      <c r="ILY394" s="104"/>
      <c r="ILZ394" s="119"/>
      <c r="IMA394" s="104"/>
      <c r="IMB394" s="455"/>
      <c r="IMC394" s="104"/>
      <c r="IMD394" s="104"/>
      <c r="IME394" s="109"/>
      <c r="IMF394" s="104"/>
      <c r="IMG394" s="104"/>
      <c r="IMH394" s="119"/>
      <c r="IMI394" s="104"/>
      <c r="IMJ394" s="455"/>
      <c r="IMK394" s="104"/>
      <c r="IML394" s="104"/>
      <c r="IMM394" s="109"/>
      <c r="IMN394" s="104"/>
      <c r="IMO394" s="104"/>
      <c r="IMP394" s="119"/>
      <c r="IMQ394" s="104"/>
      <c r="IMR394" s="455"/>
      <c r="IMS394" s="104"/>
      <c r="IMT394" s="104"/>
      <c r="IMU394" s="109"/>
      <c r="IMV394" s="104"/>
      <c r="IMW394" s="104"/>
      <c r="IMX394" s="119"/>
      <c r="IMY394" s="104"/>
      <c r="IMZ394" s="455"/>
      <c r="INA394" s="104"/>
      <c r="INB394" s="104"/>
      <c r="INC394" s="109"/>
      <c r="IND394" s="104"/>
      <c r="INE394" s="104"/>
      <c r="INF394" s="119"/>
      <c r="ING394" s="104"/>
      <c r="INH394" s="455"/>
      <c r="INI394" s="104"/>
      <c r="INJ394" s="104"/>
      <c r="INK394" s="109"/>
      <c r="INL394" s="104"/>
      <c r="INM394" s="104"/>
      <c r="INN394" s="119"/>
      <c r="INO394" s="104"/>
      <c r="INP394" s="455"/>
      <c r="INQ394" s="104"/>
      <c r="INR394" s="104"/>
      <c r="INS394" s="109"/>
      <c r="INT394" s="104"/>
      <c r="INU394" s="104"/>
      <c r="INV394" s="119"/>
      <c r="INW394" s="104"/>
      <c r="INX394" s="455"/>
      <c r="INY394" s="104"/>
      <c r="INZ394" s="104"/>
      <c r="IOA394" s="109"/>
      <c r="IOB394" s="104"/>
      <c r="IOC394" s="104"/>
      <c r="IOD394" s="119"/>
      <c r="IOE394" s="104"/>
      <c r="IOF394" s="455"/>
      <c r="IOG394" s="104"/>
      <c r="IOH394" s="104"/>
      <c r="IOI394" s="109"/>
      <c r="IOJ394" s="104"/>
      <c r="IOK394" s="104"/>
      <c r="IOL394" s="119"/>
      <c r="IOM394" s="104"/>
      <c r="ION394" s="455"/>
      <c r="IOO394" s="104"/>
      <c r="IOP394" s="104"/>
      <c r="IOQ394" s="109"/>
      <c r="IOR394" s="104"/>
      <c r="IOS394" s="104"/>
      <c r="IOT394" s="119"/>
      <c r="IOU394" s="104"/>
      <c r="IOV394" s="455"/>
      <c r="IOW394" s="104"/>
      <c r="IOX394" s="104"/>
      <c r="IOY394" s="109"/>
      <c r="IOZ394" s="104"/>
      <c r="IPA394" s="104"/>
      <c r="IPB394" s="119"/>
      <c r="IPC394" s="104"/>
      <c r="IPD394" s="455"/>
      <c r="IPE394" s="104"/>
      <c r="IPF394" s="104"/>
      <c r="IPG394" s="109"/>
      <c r="IPH394" s="104"/>
      <c r="IPI394" s="104"/>
      <c r="IPJ394" s="119"/>
      <c r="IPK394" s="104"/>
      <c r="IPL394" s="455"/>
      <c r="IPM394" s="104"/>
      <c r="IPN394" s="104"/>
      <c r="IPO394" s="109"/>
      <c r="IPP394" s="104"/>
      <c r="IPQ394" s="104"/>
      <c r="IPR394" s="119"/>
      <c r="IPS394" s="104"/>
      <c r="IPT394" s="455"/>
      <c r="IPU394" s="104"/>
      <c r="IPV394" s="104"/>
      <c r="IPW394" s="109"/>
      <c r="IPX394" s="104"/>
      <c r="IPY394" s="104"/>
      <c r="IPZ394" s="119"/>
      <c r="IQA394" s="104"/>
      <c r="IQB394" s="455"/>
      <c r="IQC394" s="104"/>
      <c r="IQD394" s="104"/>
      <c r="IQE394" s="109"/>
      <c r="IQF394" s="104"/>
      <c r="IQG394" s="104"/>
      <c r="IQH394" s="119"/>
      <c r="IQI394" s="104"/>
      <c r="IQJ394" s="455"/>
      <c r="IQK394" s="104"/>
      <c r="IQL394" s="104"/>
      <c r="IQM394" s="109"/>
      <c r="IQN394" s="104"/>
      <c r="IQO394" s="104"/>
      <c r="IQP394" s="119"/>
      <c r="IQQ394" s="104"/>
      <c r="IQR394" s="455"/>
      <c r="IQS394" s="104"/>
      <c r="IQT394" s="104"/>
      <c r="IQU394" s="109"/>
      <c r="IQV394" s="104"/>
      <c r="IQW394" s="104"/>
      <c r="IQX394" s="119"/>
      <c r="IQY394" s="104"/>
      <c r="IQZ394" s="455"/>
      <c r="IRA394" s="104"/>
      <c r="IRB394" s="104"/>
      <c r="IRC394" s="109"/>
      <c r="IRD394" s="104"/>
      <c r="IRE394" s="104"/>
      <c r="IRF394" s="119"/>
      <c r="IRG394" s="104"/>
      <c r="IRH394" s="455"/>
      <c r="IRI394" s="104"/>
      <c r="IRJ394" s="104"/>
      <c r="IRK394" s="109"/>
      <c r="IRL394" s="104"/>
      <c r="IRM394" s="104"/>
      <c r="IRN394" s="119"/>
      <c r="IRO394" s="104"/>
      <c r="IRP394" s="455"/>
      <c r="IRQ394" s="104"/>
      <c r="IRR394" s="104"/>
      <c r="IRS394" s="109"/>
      <c r="IRT394" s="104"/>
      <c r="IRU394" s="104"/>
      <c r="IRV394" s="119"/>
      <c r="IRW394" s="104"/>
      <c r="IRX394" s="455"/>
      <c r="IRY394" s="104"/>
      <c r="IRZ394" s="104"/>
      <c r="ISA394" s="109"/>
      <c r="ISB394" s="104"/>
      <c r="ISC394" s="104"/>
      <c r="ISD394" s="119"/>
      <c r="ISE394" s="104"/>
      <c r="ISF394" s="455"/>
      <c r="ISG394" s="104"/>
      <c r="ISH394" s="104"/>
      <c r="ISI394" s="109"/>
      <c r="ISJ394" s="104"/>
      <c r="ISK394" s="104"/>
      <c r="ISL394" s="119"/>
      <c r="ISM394" s="104"/>
      <c r="ISN394" s="455"/>
      <c r="ISO394" s="104"/>
      <c r="ISP394" s="104"/>
      <c r="ISQ394" s="109"/>
      <c r="ISR394" s="104"/>
      <c r="ISS394" s="104"/>
      <c r="IST394" s="119"/>
      <c r="ISU394" s="104"/>
      <c r="ISV394" s="455"/>
      <c r="ISW394" s="104"/>
      <c r="ISX394" s="104"/>
      <c r="ISY394" s="109"/>
      <c r="ISZ394" s="104"/>
      <c r="ITA394" s="104"/>
      <c r="ITB394" s="119"/>
      <c r="ITC394" s="104"/>
      <c r="ITD394" s="455"/>
      <c r="ITE394" s="104"/>
      <c r="ITF394" s="104"/>
      <c r="ITG394" s="109"/>
      <c r="ITH394" s="104"/>
      <c r="ITI394" s="104"/>
      <c r="ITJ394" s="119"/>
      <c r="ITK394" s="104"/>
      <c r="ITL394" s="455"/>
      <c r="ITM394" s="104"/>
      <c r="ITN394" s="104"/>
      <c r="ITO394" s="109"/>
      <c r="ITP394" s="104"/>
      <c r="ITQ394" s="104"/>
      <c r="ITR394" s="119"/>
      <c r="ITS394" s="104"/>
      <c r="ITT394" s="455"/>
      <c r="ITU394" s="104"/>
      <c r="ITV394" s="104"/>
      <c r="ITW394" s="109"/>
      <c r="ITX394" s="104"/>
      <c r="ITY394" s="104"/>
      <c r="ITZ394" s="119"/>
      <c r="IUA394" s="104"/>
      <c r="IUB394" s="455"/>
      <c r="IUC394" s="104"/>
      <c r="IUD394" s="104"/>
      <c r="IUE394" s="109"/>
      <c r="IUF394" s="104"/>
      <c r="IUG394" s="104"/>
      <c r="IUH394" s="119"/>
      <c r="IUI394" s="104"/>
      <c r="IUJ394" s="455"/>
      <c r="IUK394" s="104"/>
      <c r="IUL394" s="104"/>
      <c r="IUM394" s="109"/>
      <c r="IUN394" s="104"/>
      <c r="IUO394" s="104"/>
      <c r="IUP394" s="119"/>
      <c r="IUQ394" s="104"/>
      <c r="IUR394" s="455"/>
      <c r="IUS394" s="104"/>
      <c r="IUT394" s="104"/>
      <c r="IUU394" s="109"/>
      <c r="IUV394" s="104"/>
      <c r="IUW394" s="104"/>
      <c r="IUX394" s="119"/>
      <c r="IUY394" s="104"/>
      <c r="IUZ394" s="455"/>
      <c r="IVA394" s="104"/>
      <c r="IVB394" s="104"/>
      <c r="IVC394" s="109"/>
      <c r="IVD394" s="104"/>
      <c r="IVE394" s="104"/>
      <c r="IVF394" s="119"/>
      <c r="IVG394" s="104"/>
      <c r="IVH394" s="455"/>
      <c r="IVI394" s="104"/>
      <c r="IVJ394" s="104"/>
      <c r="IVK394" s="109"/>
      <c r="IVL394" s="104"/>
      <c r="IVM394" s="104"/>
      <c r="IVN394" s="119"/>
      <c r="IVO394" s="104"/>
      <c r="IVP394" s="455"/>
      <c r="IVQ394" s="104"/>
      <c r="IVR394" s="104"/>
      <c r="IVS394" s="109"/>
      <c r="IVT394" s="104"/>
      <c r="IVU394" s="104"/>
      <c r="IVV394" s="119"/>
      <c r="IVW394" s="104"/>
      <c r="IVX394" s="455"/>
      <c r="IVY394" s="104"/>
      <c r="IVZ394" s="104"/>
      <c r="IWA394" s="109"/>
      <c r="IWB394" s="104"/>
      <c r="IWC394" s="104"/>
      <c r="IWD394" s="119"/>
      <c r="IWE394" s="104"/>
      <c r="IWF394" s="455"/>
      <c r="IWG394" s="104"/>
      <c r="IWH394" s="104"/>
      <c r="IWI394" s="109"/>
      <c r="IWJ394" s="104"/>
      <c r="IWK394" s="104"/>
      <c r="IWL394" s="119"/>
      <c r="IWM394" s="104"/>
      <c r="IWN394" s="455"/>
      <c r="IWO394" s="104"/>
      <c r="IWP394" s="104"/>
      <c r="IWQ394" s="109"/>
      <c r="IWR394" s="104"/>
      <c r="IWS394" s="104"/>
      <c r="IWT394" s="119"/>
      <c r="IWU394" s="104"/>
      <c r="IWV394" s="455"/>
      <c r="IWW394" s="104"/>
      <c r="IWX394" s="104"/>
      <c r="IWY394" s="109"/>
      <c r="IWZ394" s="104"/>
      <c r="IXA394" s="104"/>
      <c r="IXB394" s="119"/>
      <c r="IXC394" s="104"/>
      <c r="IXD394" s="455"/>
      <c r="IXE394" s="104"/>
      <c r="IXF394" s="104"/>
      <c r="IXG394" s="109"/>
      <c r="IXH394" s="104"/>
      <c r="IXI394" s="104"/>
      <c r="IXJ394" s="119"/>
      <c r="IXK394" s="104"/>
      <c r="IXL394" s="455"/>
      <c r="IXM394" s="104"/>
      <c r="IXN394" s="104"/>
      <c r="IXO394" s="109"/>
      <c r="IXP394" s="104"/>
      <c r="IXQ394" s="104"/>
      <c r="IXR394" s="119"/>
      <c r="IXS394" s="104"/>
      <c r="IXT394" s="455"/>
      <c r="IXU394" s="104"/>
      <c r="IXV394" s="104"/>
      <c r="IXW394" s="109"/>
      <c r="IXX394" s="104"/>
      <c r="IXY394" s="104"/>
      <c r="IXZ394" s="119"/>
      <c r="IYA394" s="104"/>
      <c r="IYB394" s="455"/>
      <c r="IYC394" s="104"/>
      <c r="IYD394" s="104"/>
      <c r="IYE394" s="109"/>
      <c r="IYF394" s="104"/>
      <c r="IYG394" s="104"/>
      <c r="IYH394" s="119"/>
      <c r="IYI394" s="104"/>
      <c r="IYJ394" s="455"/>
      <c r="IYK394" s="104"/>
      <c r="IYL394" s="104"/>
      <c r="IYM394" s="109"/>
      <c r="IYN394" s="104"/>
      <c r="IYO394" s="104"/>
      <c r="IYP394" s="119"/>
      <c r="IYQ394" s="104"/>
      <c r="IYR394" s="455"/>
      <c r="IYS394" s="104"/>
      <c r="IYT394" s="104"/>
      <c r="IYU394" s="109"/>
      <c r="IYV394" s="104"/>
      <c r="IYW394" s="104"/>
      <c r="IYX394" s="119"/>
      <c r="IYY394" s="104"/>
      <c r="IYZ394" s="455"/>
      <c r="IZA394" s="104"/>
      <c r="IZB394" s="104"/>
      <c r="IZC394" s="109"/>
      <c r="IZD394" s="104"/>
      <c r="IZE394" s="104"/>
      <c r="IZF394" s="119"/>
      <c r="IZG394" s="104"/>
      <c r="IZH394" s="455"/>
      <c r="IZI394" s="104"/>
      <c r="IZJ394" s="104"/>
      <c r="IZK394" s="109"/>
      <c r="IZL394" s="104"/>
      <c r="IZM394" s="104"/>
      <c r="IZN394" s="119"/>
      <c r="IZO394" s="104"/>
      <c r="IZP394" s="455"/>
      <c r="IZQ394" s="104"/>
      <c r="IZR394" s="104"/>
      <c r="IZS394" s="109"/>
      <c r="IZT394" s="104"/>
      <c r="IZU394" s="104"/>
      <c r="IZV394" s="119"/>
      <c r="IZW394" s="104"/>
      <c r="IZX394" s="455"/>
      <c r="IZY394" s="104"/>
      <c r="IZZ394" s="104"/>
      <c r="JAA394" s="109"/>
      <c r="JAB394" s="104"/>
      <c r="JAC394" s="104"/>
      <c r="JAD394" s="119"/>
      <c r="JAE394" s="104"/>
      <c r="JAF394" s="455"/>
      <c r="JAG394" s="104"/>
      <c r="JAH394" s="104"/>
      <c r="JAI394" s="109"/>
      <c r="JAJ394" s="104"/>
      <c r="JAK394" s="104"/>
      <c r="JAL394" s="119"/>
      <c r="JAM394" s="104"/>
      <c r="JAN394" s="455"/>
      <c r="JAO394" s="104"/>
      <c r="JAP394" s="104"/>
      <c r="JAQ394" s="109"/>
      <c r="JAR394" s="104"/>
      <c r="JAS394" s="104"/>
      <c r="JAT394" s="119"/>
      <c r="JAU394" s="104"/>
      <c r="JAV394" s="455"/>
      <c r="JAW394" s="104"/>
      <c r="JAX394" s="104"/>
      <c r="JAY394" s="109"/>
      <c r="JAZ394" s="104"/>
      <c r="JBA394" s="104"/>
      <c r="JBB394" s="119"/>
      <c r="JBC394" s="104"/>
      <c r="JBD394" s="455"/>
      <c r="JBE394" s="104"/>
      <c r="JBF394" s="104"/>
      <c r="JBG394" s="109"/>
      <c r="JBH394" s="104"/>
      <c r="JBI394" s="104"/>
      <c r="JBJ394" s="119"/>
      <c r="JBK394" s="104"/>
      <c r="JBL394" s="455"/>
      <c r="JBM394" s="104"/>
      <c r="JBN394" s="104"/>
      <c r="JBO394" s="109"/>
      <c r="JBP394" s="104"/>
      <c r="JBQ394" s="104"/>
      <c r="JBR394" s="119"/>
      <c r="JBS394" s="104"/>
      <c r="JBT394" s="455"/>
      <c r="JBU394" s="104"/>
      <c r="JBV394" s="104"/>
      <c r="JBW394" s="109"/>
      <c r="JBX394" s="104"/>
      <c r="JBY394" s="104"/>
      <c r="JBZ394" s="119"/>
      <c r="JCA394" s="104"/>
      <c r="JCB394" s="455"/>
      <c r="JCC394" s="104"/>
      <c r="JCD394" s="104"/>
      <c r="JCE394" s="109"/>
      <c r="JCF394" s="104"/>
      <c r="JCG394" s="104"/>
      <c r="JCH394" s="119"/>
      <c r="JCI394" s="104"/>
      <c r="JCJ394" s="455"/>
      <c r="JCK394" s="104"/>
      <c r="JCL394" s="104"/>
      <c r="JCM394" s="109"/>
      <c r="JCN394" s="104"/>
      <c r="JCO394" s="104"/>
      <c r="JCP394" s="119"/>
      <c r="JCQ394" s="104"/>
      <c r="JCR394" s="455"/>
      <c r="JCS394" s="104"/>
      <c r="JCT394" s="104"/>
      <c r="JCU394" s="109"/>
      <c r="JCV394" s="104"/>
      <c r="JCW394" s="104"/>
      <c r="JCX394" s="119"/>
      <c r="JCY394" s="104"/>
      <c r="JCZ394" s="455"/>
      <c r="JDA394" s="104"/>
      <c r="JDB394" s="104"/>
      <c r="JDC394" s="109"/>
      <c r="JDD394" s="104"/>
      <c r="JDE394" s="104"/>
      <c r="JDF394" s="119"/>
      <c r="JDG394" s="104"/>
      <c r="JDH394" s="455"/>
      <c r="JDI394" s="104"/>
      <c r="JDJ394" s="104"/>
      <c r="JDK394" s="109"/>
      <c r="JDL394" s="104"/>
      <c r="JDM394" s="104"/>
      <c r="JDN394" s="119"/>
      <c r="JDO394" s="104"/>
      <c r="JDP394" s="455"/>
      <c r="JDQ394" s="104"/>
      <c r="JDR394" s="104"/>
      <c r="JDS394" s="109"/>
      <c r="JDT394" s="104"/>
      <c r="JDU394" s="104"/>
      <c r="JDV394" s="119"/>
      <c r="JDW394" s="104"/>
      <c r="JDX394" s="455"/>
      <c r="JDY394" s="104"/>
      <c r="JDZ394" s="104"/>
      <c r="JEA394" s="109"/>
      <c r="JEB394" s="104"/>
      <c r="JEC394" s="104"/>
      <c r="JED394" s="119"/>
      <c r="JEE394" s="104"/>
      <c r="JEF394" s="455"/>
      <c r="JEG394" s="104"/>
      <c r="JEH394" s="104"/>
      <c r="JEI394" s="109"/>
      <c r="JEJ394" s="104"/>
      <c r="JEK394" s="104"/>
      <c r="JEL394" s="119"/>
      <c r="JEM394" s="104"/>
      <c r="JEN394" s="455"/>
      <c r="JEO394" s="104"/>
      <c r="JEP394" s="104"/>
      <c r="JEQ394" s="109"/>
      <c r="JER394" s="104"/>
      <c r="JES394" s="104"/>
      <c r="JET394" s="119"/>
      <c r="JEU394" s="104"/>
      <c r="JEV394" s="455"/>
      <c r="JEW394" s="104"/>
      <c r="JEX394" s="104"/>
      <c r="JEY394" s="109"/>
      <c r="JEZ394" s="104"/>
      <c r="JFA394" s="104"/>
      <c r="JFB394" s="119"/>
      <c r="JFC394" s="104"/>
      <c r="JFD394" s="455"/>
      <c r="JFE394" s="104"/>
      <c r="JFF394" s="104"/>
      <c r="JFG394" s="109"/>
      <c r="JFH394" s="104"/>
      <c r="JFI394" s="104"/>
      <c r="JFJ394" s="119"/>
      <c r="JFK394" s="104"/>
      <c r="JFL394" s="455"/>
      <c r="JFM394" s="104"/>
      <c r="JFN394" s="104"/>
      <c r="JFO394" s="109"/>
      <c r="JFP394" s="104"/>
      <c r="JFQ394" s="104"/>
      <c r="JFR394" s="119"/>
      <c r="JFS394" s="104"/>
      <c r="JFT394" s="455"/>
      <c r="JFU394" s="104"/>
      <c r="JFV394" s="104"/>
      <c r="JFW394" s="109"/>
      <c r="JFX394" s="104"/>
      <c r="JFY394" s="104"/>
      <c r="JFZ394" s="119"/>
      <c r="JGA394" s="104"/>
      <c r="JGB394" s="455"/>
      <c r="JGC394" s="104"/>
      <c r="JGD394" s="104"/>
      <c r="JGE394" s="109"/>
      <c r="JGF394" s="104"/>
      <c r="JGG394" s="104"/>
      <c r="JGH394" s="119"/>
      <c r="JGI394" s="104"/>
      <c r="JGJ394" s="455"/>
      <c r="JGK394" s="104"/>
      <c r="JGL394" s="104"/>
      <c r="JGM394" s="109"/>
      <c r="JGN394" s="104"/>
      <c r="JGO394" s="104"/>
      <c r="JGP394" s="119"/>
      <c r="JGQ394" s="104"/>
      <c r="JGR394" s="455"/>
      <c r="JGS394" s="104"/>
      <c r="JGT394" s="104"/>
      <c r="JGU394" s="109"/>
      <c r="JGV394" s="104"/>
      <c r="JGW394" s="104"/>
      <c r="JGX394" s="119"/>
      <c r="JGY394" s="104"/>
      <c r="JGZ394" s="455"/>
      <c r="JHA394" s="104"/>
      <c r="JHB394" s="104"/>
      <c r="JHC394" s="109"/>
      <c r="JHD394" s="104"/>
      <c r="JHE394" s="104"/>
      <c r="JHF394" s="119"/>
      <c r="JHG394" s="104"/>
      <c r="JHH394" s="455"/>
      <c r="JHI394" s="104"/>
      <c r="JHJ394" s="104"/>
      <c r="JHK394" s="109"/>
      <c r="JHL394" s="104"/>
      <c r="JHM394" s="104"/>
      <c r="JHN394" s="119"/>
      <c r="JHO394" s="104"/>
      <c r="JHP394" s="455"/>
      <c r="JHQ394" s="104"/>
      <c r="JHR394" s="104"/>
      <c r="JHS394" s="109"/>
      <c r="JHT394" s="104"/>
      <c r="JHU394" s="104"/>
      <c r="JHV394" s="119"/>
      <c r="JHW394" s="104"/>
      <c r="JHX394" s="455"/>
      <c r="JHY394" s="104"/>
      <c r="JHZ394" s="104"/>
      <c r="JIA394" s="109"/>
      <c r="JIB394" s="104"/>
      <c r="JIC394" s="104"/>
      <c r="JID394" s="119"/>
      <c r="JIE394" s="104"/>
      <c r="JIF394" s="455"/>
      <c r="JIG394" s="104"/>
      <c r="JIH394" s="104"/>
      <c r="JII394" s="109"/>
      <c r="JIJ394" s="104"/>
      <c r="JIK394" s="104"/>
      <c r="JIL394" s="119"/>
      <c r="JIM394" s="104"/>
      <c r="JIN394" s="455"/>
      <c r="JIO394" s="104"/>
      <c r="JIP394" s="104"/>
      <c r="JIQ394" s="109"/>
      <c r="JIR394" s="104"/>
      <c r="JIS394" s="104"/>
      <c r="JIT394" s="119"/>
      <c r="JIU394" s="104"/>
      <c r="JIV394" s="455"/>
      <c r="JIW394" s="104"/>
      <c r="JIX394" s="104"/>
      <c r="JIY394" s="109"/>
      <c r="JIZ394" s="104"/>
      <c r="JJA394" s="104"/>
      <c r="JJB394" s="119"/>
      <c r="JJC394" s="104"/>
      <c r="JJD394" s="455"/>
      <c r="JJE394" s="104"/>
      <c r="JJF394" s="104"/>
      <c r="JJG394" s="109"/>
      <c r="JJH394" s="104"/>
      <c r="JJI394" s="104"/>
      <c r="JJJ394" s="119"/>
      <c r="JJK394" s="104"/>
      <c r="JJL394" s="455"/>
      <c r="JJM394" s="104"/>
      <c r="JJN394" s="104"/>
      <c r="JJO394" s="109"/>
      <c r="JJP394" s="104"/>
      <c r="JJQ394" s="104"/>
      <c r="JJR394" s="119"/>
      <c r="JJS394" s="104"/>
      <c r="JJT394" s="455"/>
      <c r="JJU394" s="104"/>
      <c r="JJV394" s="104"/>
      <c r="JJW394" s="109"/>
      <c r="JJX394" s="104"/>
      <c r="JJY394" s="104"/>
      <c r="JJZ394" s="119"/>
      <c r="JKA394" s="104"/>
      <c r="JKB394" s="455"/>
      <c r="JKC394" s="104"/>
      <c r="JKD394" s="104"/>
      <c r="JKE394" s="109"/>
      <c r="JKF394" s="104"/>
      <c r="JKG394" s="104"/>
      <c r="JKH394" s="119"/>
      <c r="JKI394" s="104"/>
      <c r="JKJ394" s="455"/>
      <c r="JKK394" s="104"/>
      <c r="JKL394" s="104"/>
      <c r="JKM394" s="109"/>
      <c r="JKN394" s="104"/>
      <c r="JKO394" s="104"/>
      <c r="JKP394" s="119"/>
      <c r="JKQ394" s="104"/>
      <c r="JKR394" s="455"/>
      <c r="JKS394" s="104"/>
      <c r="JKT394" s="104"/>
      <c r="JKU394" s="109"/>
      <c r="JKV394" s="104"/>
      <c r="JKW394" s="104"/>
      <c r="JKX394" s="119"/>
      <c r="JKY394" s="104"/>
      <c r="JKZ394" s="455"/>
      <c r="JLA394" s="104"/>
      <c r="JLB394" s="104"/>
      <c r="JLC394" s="109"/>
      <c r="JLD394" s="104"/>
      <c r="JLE394" s="104"/>
      <c r="JLF394" s="119"/>
      <c r="JLG394" s="104"/>
      <c r="JLH394" s="455"/>
      <c r="JLI394" s="104"/>
      <c r="JLJ394" s="104"/>
      <c r="JLK394" s="109"/>
      <c r="JLL394" s="104"/>
      <c r="JLM394" s="104"/>
      <c r="JLN394" s="119"/>
      <c r="JLO394" s="104"/>
      <c r="JLP394" s="455"/>
      <c r="JLQ394" s="104"/>
      <c r="JLR394" s="104"/>
      <c r="JLS394" s="109"/>
      <c r="JLT394" s="104"/>
      <c r="JLU394" s="104"/>
      <c r="JLV394" s="119"/>
      <c r="JLW394" s="104"/>
      <c r="JLX394" s="455"/>
      <c r="JLY394" s="104"/>
      <c r="JLZ394" s="104"/>
      <c r="JMA394" s="109"/>
      <c r="JMB394" s="104"/>
      <c r="JMC394" s="104"/>
      <c r="JMD394" s="119"/>
      <c r="JME394" s="104"/>
      <c r="JMF394" s="455"/>
      <c r="JMG394" s="104"/>
      <c r="JMH394" s="104"/>
      <c r="JMI394" s="109"/>
      <c r="JMJ394" s="104"/>
      <c r="JMK394" s="104"/>
      <c r="JML394" s="119"/>
      <c r="JMM394" s="104"/>
      <c r="JMN394" s="455"/>
      <c r="JMO394" s="104"/>
      <c r="JMP394" s="104"/>
      <c r="JMQ394" s="109"/>
      <c r="JMR394" s="104"/>
      <c r="JMS394" s="104"/>
      <c r="JMT394" s="119"/>
      <c r="JMU394" s="104"/>
      <c r="JMV394" s="455"/>
      <c r="JMW394" s="104"/>
      <c r="JMX394" s="104"/>
      <c r="JMY394" s="109"/>
      <c r="JMZ394" s="104"/>
      <c r="JNA394" s="104"/>
      <c r="JNB394" s="119"/>
      <c r="JNC394" s="104"/>
      <c r="JND394" s="455"/>
      <c r="JNE394" s="104"/>
      <c r="JNF394" s="104"/>
      <c r="JNG394" s="109"/>
      <c r="JNH394" s="104"/>
      <c r="JNI394" s="104"/>
      <c r="JNJ394" s="119"/>
      <c r="JNK394" s="104"/>
      <c r="JNL394" s="455"/>
      <c r="JNM394" s="104"/>
      <c r="JNN394" s="104"/>
      <c r="JNO394" s="109"/>
      <c r="JNP394" s="104"/>
      <c r="JNQ394" s="104"/>
      <c r="JNR394" s="119"/>
      <c r="JNS394" s="104"/>
      <c r="JNT394" s="455"/>
      <c r="JNU394" s="104"/>
      <c r="JNV394" s="104"/>
      <c r="JNW394" s="109"/>
      <c r="JNX394" s="104"/>
      <c r="JNY394" s="104"/>
      <c r="JNZ394" s="119"/>
      <c r="JOA394" s="104"/>
      <c r="JOB394" s="455"/>
      <c r="JOC394" s="104"/>
      <c r="JOD394" s="104"/>
      <c r="JOE394" s="109"/>
      <c r="JOF394" s="104"/>
      <c r="JOG394" s="104"/>
      <c r="JOH394" s="119"/>
      <c r="JOI394" s="104"/>
      <c r="JOJ394" s="455"/>
      <c r="JOK394" s="104"/>
      <c r="JOL394" s="104"/>
      <c r="JOM394" s="109"/>
      <c r="JON394" s="104"/>
      <c r="JOO394" s="104"/>
      <c r="JOP394" s="119"/>
      <c r="JOQ394" s="104"/>
      <c r="JOR394" s="455"/>
      <c r="JOS394" s="104"/>
      <c r="JOT394" s="104"/>
      <c r="JOU394" s="109"/>
      <c r="JOV394" s="104"/>
      <c r="JOW394" s="104"/>
      <c r="JOX394" s="119"/>
      <c r="JOY394" s="104"/>
      <c r="JOZ394" s="455"/>
      <c r="JPA394" s="104"/>
      <c r="JPB394" s="104"/>
      <c r="JPC394" s="109"/>
      <c r="JPD394" s="104"/>
      <c r="JPE394" s="104"/>
      <c r="JPF394" s="119"/>
      <c r="JPG394" s="104"/>
      <c r="JPH394" s="455"/>
      <c r="JPI394" s="104"/>
      <c r="JPJ394" s="104"/>
      <c r="JPK394" s="109"/>
      <c r="JPL394" s="104"/>
      <c r="JPM394" s="104"/>
      <c r="JPN394" s="119"/>
      <c r="JPO394" s="104"/>
      <c r="JPP394" s="455"/>
      <c r="JPQ394" s="104"/>
      <c r="JPR394" s="104"/>
      <c r="JPS394" s="109"/>
      <c r="JPT394" s="104"/>
      <c r="JPU394" s="104"/>
      <c r="JPV394" s="119"/>
      <c r="JPW394" s="104"/>
      <c r="JPX394" s="455"/>
      <c r="JPY394" s="104"/>
      <c r="JPZ394" s="104"/>
      <c r="JQA394" s="109"/>
      <c r="JQB394" s="104"/>
      <c r="JQC394" s="104"/>
      <c r="JQD394" s="119"/>
      <c r="JQE394" s="104"/>
      <c r="JQF394" s="455"/>
      <c r="JQG394" s="104"/>
      <c r="JQH394" s="104"/>
      <c r="JQI394" s="109"/>
      <c r="JQJ394" s="104"/>
      <c r="JQK394" s="104"/>
      <c r="JQL394" s="119"/>
      <c r="JQM394" s="104"/>
      <c r="JQN394" s="455"/>
      <c r="JQO394" s="104"/>
      <c r="JQP394" s="104"/>
      <c r="JQQ394" s="109"/>
      <c r="JQR394" s="104"/>
      <c r="JQS394" s="104"/>
      <c r="JQT394" s="119"/>
      <c r="JQU394" s="104"/>
      <c r="JQV394" s="455"/>
      <c r="JQW394" s="104"/>
      <c r="JQX394" s="104"/>
      <c r="JQY394" s="109"/>
      <c r="JQZ394" s="104"/>
      <c r="JRA394" s="104"/>
      <c r="JRB394" s="119"/>
      <c r="JRC394" s="104"/>
      <c r="JRD394" s="455"/>
      <c r="JRE394" s="104"/>
      <c r="JRF394" s="104"/>
      <c r="JRG394" s="109"/>
      <c r="JRH394" s="104"/>
      <c r="JRI394" s="104"/>
      <c r="JRJ394" s="119"/>
      <c r="JRK394" s="104"/>
      <c r="JRL394" s="455"/>
      <c r="JRM394" s="104"/>
      <c r="JRN394" s="104"/>
      <c r="JRO394" s="109"/>
      <c r="JRP394" s="104"/>
      <c r="JRQ394" s="104"/>
      <c r="JRR394" s="119"/>
      <c r="JRS394" s="104"/>
      <c r="JRT394" s="455"/>
      <c r="JRU394" s="104"/>
      <c r="JRV394" s="104"/>
      <c r="JRW394" s="109"/>
      <c r="JRX394" s="104"/>
      <c r="JRY394" s="104"/>
      <c r="JRZ394" s="119"/>
      <c r="JSA394" s="104"/>
      <c r="JSB394" s="455"/>
      <c r="JSC394" s="104"/>
      <c r="JSD394" s="104"/>
      <c r="JSE394" s="109"/>
      <c r="JSF394" s="104"/>
      <c r="JSG394" s="104"/>
      <c r="JSH394" s="119"/>
      <c r="JSI394" s="104"/>
      <c r="JSJ394" s="455"/>
      <c r="JSK394" s="104"/>
      <c r="JSL394" s="104"/>
      <c r="JSM394" s="109"/>
      <c r="JSN394" s="104"/>
      <c r="JSO394" s="104"/>
      <c r="JSP394" s="119"/>
      <c r="JSQ394" s="104"/>
      <c r="JSR394" s="455"/>
      <c r="JSS394" s="104"/>
      <c r="JST394" s="104"/>
      <c r="JSU394" s="109"/>
      <c r="JSV394" s="104"/>
      <c r="JSW394" s="104"/>
      <c r="JSX394" s="119"/>
      <c r="JSY394" s="104"/>
      <c r="JSZ394" s="455"/>
      <c r="JTA394" s="104"/>
      <c r="JTB394" s="104"/>
      <c r="JTC394" s="109"/>
      <c r="JTD394" s="104"/>
      <c r="JTE394" s="104"/>
      <c r="JTF394" s="119"/>
      <c r="JTG394" s="104"/>
      <c r="JTH394" s="455"/>
      <c r="JTI394" s="104"/>
      <c r="JTJ394" s="104"/>
      <c r="JTK394" s="109"/>
      <c r="JTL394" s="104"/>
      <c r="JTM394" s="104"/>
      <c r="JTN394" s="119"/>
      <c r="JTO394" s="104"/>
      <c r="JTP394" s="455"/>
      <c r="JTQ394" s="104"/>
      <c r="JTR394" s="104"/>
      <c r="JTS394" s="109"/>
      <c r="JTT394" s="104"/>
      <c r="JTU394" s="104"/>
      <c r="JTV394" s="119"/>
      <c r="JTW394" s="104"/>
      <c r="JTX394" s="455"/>
      <c r="JTY394" s="104"/>
      <c r="JTZ394" s="104"/>
      <c r="JUA394" s="109"/>
      <c r="JUB394" s="104"/>
      <c r="JUC394" s="104"/>
      <c r="JUD394" s="119"/>
      <c r="JUE394" s="104"/>
      <c r="JUF394" s="455"/>
      <c r="JUG394" s="104"/>
      <c r="JUH394" s="104"/>
      <c r="JUI394" s="109"/>
      <c r="JUJ394" s="104"/>
      <c r="JUK394" s="104"/>
      <c r="JUL394" s="119"/>
      <c r="JUM394" s="104"/>
      <c r="JUN394" s="455"/>
      <c r="JUO394" s="104"/>
      <c r="JUP394" s="104"/>
      <c r="JUQ394" s="109"/>
      <c r="JUR394" s="104"/>
      <c r="JUS394" s="104"/>
      <c r="JUT394" s="119"/>
      <c r="JUU394" s="104"/>
      <c r="JUV394" s="455"/>
      <c r="JUW394" s="104"/>
      <c r="JUX394" s="104"/>
      <c r="JUY394" s="109"/>
      <c r="JUZ394" s="104"/>
      <c r="JVA394" s="104"/>
      <c r="JVB394" s="119"/>
      <c r="JVC394" s="104"/>
      <c r="JVD394" s="455"/>
      <c r="JVE394" s="104"/>
      <c r="JVF394" s="104"/>
      <c r="JVG394" s="109"/>
      <c r="JVH394" s="104"/>
      <c r="JVI394" s="104"/>
      <c r="JVJ394" s="119"/>
      <c r="JVK394" s="104"/>
      <c r="JVL394" s="455"/>
      <c r="JVM394" s="104"/>
      <c r="JVN394" s="104"/>
      <c r="JVO394" s="109"/>
      <c r="JVP394" s="104"/>
      <c r="JVQ394" s="104"/>
      <c r="JVR394" s="119"/>
      <c r="JVS394" s="104"/>
      <c r="JVT394" s="455"/>
      <c r="JVU394" s="104"/>
      <c r="JVV394" s="104"/>
      <c r="JVW394" s="109"/>
      <c r="JVX394" s="104"/>
      <c r="JVY394" s="104"/>
      <c r="JVZ394" s="119"/>
      <c r="JWA394" s="104"/>
      <c r="JWB394" s="455"/>
      <c r="JWC394" s="104"/>
      <c r="JWD394" s="104"/>
      <c r="JWE394" s="109"/>
      <c r="JWF394" s="104"/>
      <c r="JWG394" s="104"/>
      <c r="JWH394" s="119"/>
      <c r="JWI394" s="104"/>
      <c r="JWJ394" s="455"/>
      <c r="JWK394" s="104"/>
      <c r="JWL394" s="104"/>
      <c r="JWM394" s="109"/>
      <c r="JWN394" s="104"/>
      <c r="JWO394" s="104"/>
      <c r="JWP394" s="119"/>
      <c r="JWQ394" s="104"/>
      <c r="JWR394" s="455"/>
      <c r="JWS394" s="104"/>
      <c r="JWT394" s="104"/>
      <c r="JWU394" s="109"/>
      <c r="JWV394" s="104"/>
      <c r="JWW394" s="104"/>
      <c r="JWX394" s="119"/>
      <c r="JWY394" s="104"/>
      <c r="JWZ394" s="455"/>
      <c r="JXA394" s="104"/>
      <c r="JXB394" s="104"/>
      <c r="JXC394" s="109"/>
      <c r="JXD394" s="104"/>
      <c r="JXE394" s="104"/>
      <c r="JXF394" s="119"/>
      <c r="JXG394" s="104"/>
      <c r="JXH394" s="455"/>
      <c r="JXI394" s="104"/>
      <c r="JXJ394" s="104"/>
      <c r="JXK394" s="109"/>
      <c r="JXL394" s="104"/>
      <c r="JXM394" s="104"/>
      <c r="JXN394" s="119"/>
      <c r="JXO394" s="104"/>
      <c r="JXP394" s="455"/>
      <c r="JXQ394" s="104"/>
      <c r="JXR394" s="104"/>
      <c r="JXS394" s="109"/>
      <c r="JXT394" s="104"/>
      <c r="JXU394" s="104"/>
      <c r="JXV394" s="119"/>
      <c r="JXW394" s="104"/>
      <c r="JXX394" s="455"/>
      <c r="JXY394" s="104"/>
      <c r="JXZ394" s="104"/>
      <c r="JYA394" s="109"/>
      <c r="JYB394" s="104"/>
      <c r="JYC394" s="104"/>
      <c r="JYD394" s="119"/>
      <c r="JYE394" s="104"/>
      <c r="JYF394" s="455"/>
      <c r="JYG394" s="104"/>
      <c r="JYH394" s="104"/>
      <c r="JYI394" s="109"/>
      <c r="JYJ394" s="104"/>
      <c r="JYK394" s="104"/>
      <c r="JYL394" s="119"/>
      <c r="JYM394" s="104"/>
      <c r="JYN394" s="455"/>
      <c r="JYO394" s="104"/>
      <c r="JYP394" s="104"/>
      <c r="JYQ394" s="109"/>
      <c r="JYR394" s="104"/>
      <c r="JYS394" s="104"/>
      <c r="JYT394" s="119"/>
      <c r="JYU394" s="104"/>
      <c r="JYV394" s="455"/>
      <c r="JYW394" s="104"/>
      <c r="JYX394" s="104"/>
      <c r="JYY394" s="109"/>
      <c r="JYZ394" s="104"/>
      <c r="JZA394" s="104"/>
      <c r="JZB394" s="119"/>
      <c r="JZC394" s="104"/>
      <c r="JZD394" s="455"/>
      <c r="JZE394" s="104"/>
      <c r="JZF394" s="104"/>
      <c r="JZG394" s="109"/>
      <c r="JZH394" s="104"/>
      <c r="JZI394" s="104"/>
      <c r="JZJ394" s="119"/>
      <c r="JZK394" s="104"/>
      <c r="JZL394" s="455"/>
      <c r="JZM394" s="104"/>
      <c r="JZN394" s="104"/>
      <c r="JZO394" s="109"/>
      <c r="JZP394" s="104"/>
      <c r="JZQ394" s="104"/>
      <c r="JZR394" s="119"/>
      <c r="JZS394" s="104"/>
      <c r="JZT394" s="455"/>
      <c r="JZU394" s="104"/>
      <c r="JZV394" s="104"/>
      <c r="JZW394" s="109"/>
      <c r="JZX394" s="104"/>
      <c r="JZY394" s="104"/>
      <c r="JZZ394" s="119"/>
      <c r="KAA394" s="104"/>
      <c r="KAB394" s="455"/>
      <c r="KAC394" s="104"/>
      <c r="KAD394" s="104"/>
      <c r="KAE394" s="109"/>
      <c r="KAF394" s="104"/>
      <c r="KAG394" s="104"/>
      <c r="KAH394" s="119"/>
      <c r="KAI394" s="104"/>
      <c r="KAJ394" s="455"/>
      <c r="KAK394" s="104"/>
      <c r="KAL394" s="104"/>
      <c r="KAM394" s="109"/>
      <c r="KAN394" s="104"/>
      <c r="KAO394" s="104"/>
      <c r="KAP394" s="119"/>
      <c r="KAQ394" s="104"/>
      <c r="KAR394" s="455"/>
      <c r="KAS394" s="104"/>
      <c r="KAT394" s="104"/>
      <c r="KAU394" s="109"/>
      <c r="KAV394" s="104"/>
      <c r="KAW394" s="104"/>
      <c r="KAX394" s="119"/>
      <c r="KAY394" s="104"/>
      <c r="KAZ394" s="455"/>
      <c r="KBA394" s="104"/>
      <c r="KBB394" s="104"/>
      <c r="KBC394" s="109"/>
      <c r="KBD394" s="104"/>
      <c r="KBE394" s="104"/>
      <c r="KBF394" s="119"/>
      <c r="KBG394" s="104"/>
      <c r="KBH394" s="455"/>
      <c r="KBI394" s="104"/>
      <c r="KBJ394" s="104"/>
      <c r="KBK394" s="109"/>
      <c r="KBL394" s="104"/>
      <c r="KBM394" s="104"/>
      <c r="KBN394" s="119"/>
      <c r="KBO394" s="104"/>
      <c r="KBP394" s="455"/>
      <c r="KBQ394" s="104"/>
      <c r="KBR394" s="104"/>
      <c r="KBS394" s="109"/>
      <c r="KBT394" s="104"/>
      <c r="KBU394" s="104"/>
      <c r="KBV394" s="119"/>
      <c r="KBW394" s="104"/>
      <c r="KBX394" s="455"/>
      <c r="KBY394" s="104"/>
      <c r="KBZ394" s="104"/>
      <c r="KCA394" s="109"/>
      <c r="KCB394" s="104"/>
      <c r="KCC394" s="104"/>
      <c r="KCD394" s="119"/>
      <c r="KCE394" s="104"/>
      <c r="KCF394" s="455"/>
      <c r="KCG394" s="104"/>
      <c r="KCH394" s="104"/>
      <c r="KCI394" s="109"/>
      <c r="KCJ394" s="104"/>
      <c r="KCK394" s="104"/>
      <c r="KCL394" s="119"/>
      <c r="KCM394" s="104"/>
      <c r="KCN394" s="455"/>
      <c r="KCO394" s="104"/>
      <c r="KCP394" s="104"/>
      <c r="KCQ394" s="109"/>
      <c r="KCR394" s="104"/>
      <c r="KCS394" s="104"/>
      <c r="KCT394" s="119"/>
      <c r="KCU394" s="104"/>
      <c r="KCV394" s="455"/>
      <c r="KCW394" s="104"/>
      <c r="KCX394" s="104"/>
      <c r="KCY394" s="109"/>
      <c r="KCZ394" s="104"/>
      <c r="KDA394" s="104"/>
      <c r="KDB394" s="119"/>
      <c r="KDC394" s="104"/>
      <c r="KDD394" s="455"/>
      <c r="KDE394" s="104"/>
      <c r="KDF394" s="104"/>
      <c r="KDG394" s="109"/>
      <c r="KDH394" s="104"/>
      <c r="KDI394" s="104"/>
      <c r="KDJ394" s="119"/>
      <c r="KDK394" s="104"/>
      <c r="KDL394" s="455"/>
      <c r="KDM394" s="104"/>
      <c r="KDN394" s="104"/>
      <c r="KDO394" s="109"/>
      <c r="KDP394" s="104"/>
      <c r="KDQ394" s="104"/>
      <c r="KDR394" s="119"/>
      <c r="KDS394" s="104"/>
      <c r="KDT394" s="455"/>
      <c r="KDU394" s="104"/>
      <c r="KDV394" s="104"/>
      <c r="KDW394" s="109"/>
      <c r="KDX394" s="104"/>
      <c r="KDY394" s="104"/>
      <c r="KDZ394" s="119"/>
      <c r="KEA394" s="104"/>
      <c r="KEB394" s="455"/>
      <c r="KEC394" s="104"/>
      <c r="KED394" s="104"/>
      <c r="KEE394" s="109"/>
      <c r="KEF394" s="104"/>
      <c r="KEG394" s="104"/>
      <c r="KEH394" s="119"/>
      <c r="KEI394" s="104"/>
      <c r="KEJ394" s="455"/>
      <c r="KEK394" s="104"/>
      <c r="KEL394" s="104"/>
      <c r="KEM394" s="109"/>
      <c r="KEN394" s="104"/>
      <c r="KEO394" s="104"/>
      <c r="KEP394" s="119"/>
      <c r="KEQ394" s="104"/>
      <c r="KER394" s="455"/>
      <c r="KES394" s="104"/>
      <c r="KET394" s="104"/>
      <c r="KEU394" s="109"/>
      <c r="KEV394" s="104"/>
      <c r="KEW394" s="104"/>
      <c r="KEX394" s="119"/>
      <c r="KEY394" s="104"/>
      <c r="KEZ394" s="455"/>
      <c r="KFA394" s="104"/>
      <c r="KFB394" s="104"/>
      <c r="KFC394" s="109"/>
      <c r="KFD394" s="104"/>
      <c r="KFE394" s="104"/>
      <c r="KFF394" s="119"/>
      <c r="KFG394" s="104"/>
      <c r="KFH394" s="455"/>
      <c r="KFI394" s="104"/>
      <c r="KFJ394" s="104"/>
      <c r="KFK394" s="109"/>
      <c r="KFL394" s="104"/>
      <c r="KFM394" s="104"/>
      <c r="KFN394" s="119"/>
      <c r="KFO394" s="104"/>
      <c r="KFP394" s="455"/>
      <c r="KFQ394" s="104"/>
      <c r="KFR394" s="104"/>
      <c r="KFS394" s="109"/>
      <c r="KFT394" s="104"/>
      <c r="KFU394" s="104"/>
      <c r="KFV394" s="119"/>
      <c r="KFW394" s="104"/>
      <c r="KFX394" s="455"/>
      <c r="KFY394" s="104"/>
      <c r="KFZ394" s="104"/>
      <c r="KGA394" s="109"/>
      <c r="KGB394" s="104"/>
      <c r="KGC394" s="104"/>
      <c r="KGD394" s="119"/>
      <c r="KGE394" s="104"/>
      <c r="KGF394" s="455"/>
      <c r="KGG394" s="104"/>
      <c r="KGH394" s="104"/>
      <c r="KGI394" s="109"/>
      <c r="KGJ394" s="104"/>
      <c r="KGK394" s="104"/>
      <c r="KGL394" s="119"/>
      <c r="KGM394" s="104"/>
      <c r="KGN394" s="455"/>
      <c r="KGO394" s="104"/>
      <c r="KGP394" s="104"/>
      <c r="KGQ394" s="109"/>
      <c r="KGR394" s="104"/>
      <c r="KGS394" s="104"/>
      <c r="KGT394" s="119"/>
      <c r="KGU394" s="104"/>
      <c r="KGV394" s="455"/>
      <c r="KGW394" s="104"/>
      <c r="KGX394" s="104"/>
      <c r="KGY394" s="109"/>
      <c r="KGZ394" s="104"/>
      <c r="KHA394" s="104"/>
      <c r="KHB394" s="119"/>
      <c r="KHC394" s="104"/>
      <c r="KHD394" s="455"/>
      <c r="KHE394" s="104"/>
      <c r="KHF394" s="104"/>
      <c r="KHG394" s="109"/>
      <c r="KHH394" s="104"/>
      <c r="KHI394" s="104"/>
      <c r="KHJ394" s="119"/>
      <c r="KHK394" s="104"/>
      <c r="KHL394" s="455"/>
      <c r="KHM394" s="104"/>
      <c r="KHN394" s="104"/>
      <c r="KHO394" s="109"/>
      <c r="KHP394" s="104"/>
      <c r="KHQ394" s="104"/>
      <c r="KHR394" s="119"/>
      <c r="KHS394" s="104"/>
      <c r="KHT394" s="455"/>
      <c r="KHU394" s="104"/>
      <c r="KHV394" s="104"/>
      <c r="KHW394" s="109"/>
      <c r="KHX394" s="104"/>
      <c r="KHY394" s="104"/>
      <c r="KHZ394" s="119"/>
      <c r="KIA394" s="104"/>
      <c r="KIB394" s="455"/>
      <c r="KIC394" s="104"/>
      <c r="KID394" s="104"/>
      <c r="KIE394" s="109"/>
      <c r="KIF394" s="104"/>
      <c r="KIG394" s="104"/>
      <c r="KIH394" s="119"/>
      <c r="KII394" s="104"/>
      <c r="KIJ394" s="455"/>
      <c r="KIK394" s="104"/>
      <c r="KIL394" s="104"/>
      <c r="KIM394" s="109"/>
      <c r="KIN394" s="104"/>
      <c r="KIO394" s="104"/>
      <c r="KIP394" s="119"/>
      <c r="KIQ394" s="104"/>
      <c r="KIR394" s="455"/>
      <c r="KIS394" s="104"/>
      <c r="KIT394" s="104"/>
      <c r="KIU394" s="109"/>
      <c r="KIV394" s="104"/>
      <c r="KIW394" s="104"/>
      <c r="KIX394" s="119"/>
      <c r="KIY394" s="104"/>
      <c r="KIZ394" s="455"/>
      <c r="KJA394" s="104"/>
      <c r="KJB394" s="104"/>
      <c r="KJC394" s="109"/>
      <c r="KJD394" s="104"/>
      <c r="KJE394" s="104"/>
      <c r="KJF394" s="119"/>
      <c r="KJG394" s="104"/>
      <c r="KJH394" s="455"/>
      <c r="KJI394" s="104"/>
      <c r="KJJ394" s="104"/>
      <c r="KJK394" s="109"/>
      <c r="KJL394" s="104"/>
      <c r="KJM394" s="104"/>
      <c r="KJN394" s="119"/>
      <c r="KJO394" s="104"/>
      <c r="KJP394" s="455"/>
      <c r="KJQ394" s="104"/>
      <c r="KJR394" s="104"/>
      <c r="KJS394" s="109"/>
      <c r="KJT394" s="104"/>
      <c r="KJU394" s="104"/>
      <c r="KJV394" s="119"/>
      <c r="KJW394" s="104"/>
      <c r="KJX394" s="455"/>
      <c r="KJY394" s="104"/>
      <c r="KJZ394" s="104"/>
      <c r="KKA394" s="109"/>
      <c r="KKB394" s="104"/>
      <c r="KKC394" s="104"/>
      <c r="KKD394" s="119"/>
      <c r="KKE394" s="104"/>
      <c r="KKF394" s="455"/>
      <c r="KKG394" s="104"/>
      <c r="KKH394" s="104"/>
      <c r="KKI394" s="109"/>
      <c r="KKJ394" s="104"/>
      <c r="KKK394" s="104"/>
      <c r="KKL394" s="119"/>
      <c r="KKM394" s="104"/>
      <c r="KKN394" s="455"/>
      <c r="KKO394" s="104"/>
      <c r="KKP394" s="104"/>
      <c r="KKQ394" s="109"/>
      <c r="KKR394" s="104"/>
      <c r="KKS394" s="104"/>
      <c r="KKT394" s="119"/>
      <c r="KKU394" s="104"/>
      <c r="KKV394" s="455"/>
      <c r="KKW394" s="104"/>
      <c r="KKX394" s="104"/>
      <c r="KKY394" s="109"/>
      <c r="KKZ394" s="104"/>
      <c r="KLA394" s="104"/>
      <c r="KLB394" s="119"/>
      <c r="KLC394" s="104"/>
      <c r="KLD394" s="455"/>
      <c r="KLE394" s="104"/>
      <c r="KLF394" s="104"/>
      <c r="KLG394" s="109"/>
      <c r="KLH394" s="104"/>
      <c r="KLI394" s="104"/>
      <c r="KLJ394" s="119"/>
      <c r="KLK394" s="104"/>
      <c r="KLL394" s="455"/>
      <c r="KLM394" s="104"/>
      <c r="KLN394" s="104"/>
      <c r="KLO394" s="109"/>
      <c r="KLP394" s="104"/>
      <c r="KLQ394" s="104"/>
      <c r="KLR394" s="119"/>
      <c r="KLS394" s="104"/>
      <c r="KLT394" s="455"/>
      <c r="KLU394" s="104"/>
      <c r="KLV394" s="104"/>
      <c r="KLW394" s="109"/>
      <c r="KLX394" s="104"/>
      <c r="KLY394" s="104"/>
      <c r="KLZ394" s="119"/>
      <c r="KMA394" s="104"/>
      <c r="KMB394" s="455"/>
      <c r="KMC394" s="104"/>
      <c r="KMD394" s="104"/>
      <c r="KME394" s="109"/>
      <c r="KMF394" s="104"/>
      <c r="KMG394" s="104"/>
      <c r="KMH394" s="119"/>
      <c r="KMI394" s="104"/>
      <c r="KMJ394" s="455"/>
      <c r="KMK394" s="104"/>
      <c r="KML394" s="104"/>
      <c r="KMM394" s="109"/>
      <c r="KMN394" s="104"/>
      <c r="KMO394" s="104"/>
      <c r="KMP394" s="119"/>
      <c r="KMQ394" s="104"/>
      <c r="KMR394" s="455"/>
      <c r="KMS394" s="104"/>
      <c r="KMT394" s="104"/>
      <c r="KMU394" s="109"/>
      <c r="KMV394" s="104"/>
      <c r="KMW394" s="104"/>
      <c r="KMX394" s="119"/>
      <c r="KMY394" s="104"/>
      <c r="KMZ394" s="455"/>
      <c r="KNA394" s="104"/>
      <c r="KNB394" s="104"/>
      <c r="KNC394" s="109"/>
      <c r="KND394" s="104"/>
      <c r="KNE394" s="104"/>
      <c r="KNF394" s="119"/>
      <c r="KNG394" s="104"/>
      <c r="KNH394" s="455"/>
      <c r="KNI394" s="104"/>
      <c r="KNJ394" s="104"/>
      <c r="KNK394" s="109"/>
      <c r="KNL394" s="104"/>
      <c r="KNM394" s="104"/>
      <c r="KNN394" s="119"/>
      <c r="KNO394" s="104"/>
      <c r="KNP394" s="455"/>
      <c r="KNQ394" s="104"/>
      <c r="KNR394" s="104"/>
      <c r="KNS394" s="109"/>
      <c r="KNT394" s="104"/>
      <c r="KNU394" s="104"/>
      <c r="KNV394" s="119"/>
      <c r="KNW394" s="104"/>
      <c r="KNX394" s="455"/>
      <c r="KNY394" s="104"/>
      <c r="KNZ394" s="104"/>
      <c r="KOA394" s="109"/>
      <c r="KOB394" s="104"/>
      <c r="KOC394" s="104"/>
      <c r="KOD394" s="119"/>
      <c r="KOE394" s="104"/>
      <c r="KOF394" s="455"/>
      <c r="KOG394" s="104"/>
      <c r="KOH394" s="104"/>
      <c r="KOI394" s="109"/>
      <c r="KOJ394" s="104"/>
      <c r="KOK394" s="104"/>
      <c r="KOL394" s="119"/>
      <c r="KOM394" s="104"/>
      <c r="KON394" s="455"/>
      <c r="KOO394" s="104"/>
      <c r="KOP394" s="104"/>
      <c r="KOQ394" s="109"/>
      <c r="KOR394" s="104"/>
      <c r="KOS394" s="104"/>
      <c r="KOT394" s="119"/>
      <c r="KOU394" s="104"/>
      <c r="KOV394" s="455"/>
      <c r="KOW394" s="104"/>
      <c r="KOX394" s="104"/>
      <c r="KOY394" s="109"/>
      <c r="KOZ394" s="104"/>
      <c r="KPA394" s="104"/>
      <c r="KPB394" s="119"/>
      <c r="KPC394" s="104"/>
      <c r="KPD394" s="455"/>
      <c r="KPE394" s="104"/>
      <c r="KPF394" s="104"/>
      <c r="KPG394" s="109"/>
      <c r="KPH394" s="104"/>
      <c r="KPI394" s="104"/>
      <c r="KPJ394" s="119"/>
      <c r="KPK394" s="104"/>
      <c r="KPL394" s="455"/>
      <c r="KPM394" s="104"/>
      <c r="KPN394" s="104"/>
      <c r="KPO394" s="109"/>
      <c r="KPP394" s="104"/>
      <c r="KPQ394" s="104"/>
      <c r="KPR394" s="119"/>
      <c r="KPS394" s="104"/>
      <c r="KPT394" s="455"/>
      <c r="KPU394" s="104"/>
      <c r="KPV394" s="104"/>
      <c r="KPW394" s="109"/>
      <c r="KPX394" s="104"/>
      <c r="KPY394" s="104"/>
      <c r="KPZ394" s="119"/>
      <c r="KQA394" s="104"/>
      <c r="KQB394" s="455"/>
      <c r="KQC394" s="104"/>
      <c r="KQD394" s="104"/>
      <c r="KQE394" s="109"/>
      <c r="KQF394" s="104"/>
      <c r="KQG394" s="104"/>
      <c r="KQH394" s="119"/>
      <c r="KQI394" s="104"/>
      <c r="KQJ394" s="455"/>
      <c r="KQK394" s="104"/>
      <c r="KQL394" s="104"/>
      <c r="KQM394" s="109"/>
      <c r="KQN394" s="104"/>
      <c r="KQO394" s="104"/>
      <c r="KQP394" s="119"/>
      <c r="KQQ394" s="104"/>
      <c r="KQR394" s="455"/>
      <c r="KQS394" s="104"/>
      <c r="KQT394" s="104"/>
      <c r="KQU394" s="109"/>
      <c r="KQV394" s="104"/>
      <c r="KQW394" s="104"/>
      <c r="KQX394" s="119"/>
      <c r="KQY394" s="104"/>
      <c r="KQZ394" s="455"/>
      <c r="KRA394" s="104"/>
      <c r="KRB394" s="104"/>
      <c r="KRC394" s="109"/>
      <c r="KRD394" s="104"/>
      <c r="KRE394" s="104"/>
      <c r="KRF394" s="119"/>
      <c r="KRG394" s="104"/>
      <c r="KRH394" s="455"/>
      <c r="KRI394" s="104"/>
      <c r="KRJ394" s="104"/>
      <c r="KRK394" s="109"/>
      <c r="KRL394" s="104"/>
      <c r="KRM394" s="104"/>
      <c r="KRN394" s="119"/>
      <c r="KRO394" s="104"/>
      <c r="KRP394" s="455"/>
      <c r="KRQ394" s="104"/>
      <c r="KRR394" s="104"/>
      <c r="KRS394" s="109"/>
      <c r="KRT394" s="104"/>
      <c r="KRU394" s="104"/>
      <c r="KRV394" s="119"/>
      <c r="KRW394" s="104"/>
      <c r="KRX394" s="455"/>
      <c r="KRY394" s="104"/>
      <c r="KRZ394" s="104"/>
      <c r="KSA394" s="109"/>
      <c r="KSB394" s="104"/>
      <c r="KSC394" s="104"/>
      <c r="KSD394" s="119"/>
      <c r="KSE394" s="104"/>
      <c r="KSF394" s="455"/>
      <c r="KSG394" s="104"/>
      <c r="KSH394" s="104"/>
      <c r="KSI394" s="109"/>
      <c r="KSJ394" s="104"/>
      <c r="KSK394" s="104"/>
      <c r="KSL394" s="119"/>
      <c r="KSM394" s="104"/>
      <c r="KSN394" s="455"/>
      <c r="KSO394" s="104"/>
      <c r="KSP394" s="104"/>
      <c r="KSQ394" s="109"/>
      <c r="KSR394" s="104"/>
      <c r="KSS394" s="104"/>
      <c r="KST394" s="119"/>
      <c r="KSU394" s="104"/>
      <c r="KSV394" s="455"/>
      <c r="KSW394" s="104"/>
      <c r="KSX394" s="104"/>
      <c r="KSY394" s="109"/>
      <c r="KSZ394" s="104"/>
      <c r="KTA394" s="104"/>
      <c r="KTB394" s="119"/>
      <c r="KTC394" s="104"/>
      <c r="KTD394" s="455"/>
      <c r="KTE394" s="104"/>
      <c r="KTF394" s="104"/>
      <c r="KTG394" s="109"/>
      <c r="KTH394" s="104"/>
      <c r="KTI394" s="104"/>
      <c r="KTJ394" s="119"/>
      <c r="KTK394" s="104"/>
      <c r="KTL394" s="455"/>
      <c r="KTM394" s="104"/>
      <c r="KTN394" s="104"/>
      <c r="KTO394" s="109"/>
      <c r="KTP394" s="104"/>
      <c r="KTQ394" s="104"/>
      <c r="KTR394" s="119"/>
      <c r="KTS394" s="104"/>
      <c r="KTT394" s="455"/>
      <c r="KTU394" s="104"/>
      <c r="KTV394" s="104"/>
      <c r="KTW394" s="109"/>
      <c r="KTX394" s="104"/>
      <c r="KTY394" s="104"/>
      <c r="KTZ394" s="119"/>
      <c r="KUA394" s="104"/>
      <c r="KUB394" s="455"/>
      <c r="KUC394" s="104"/>
      <c r="KUD394" s="104"/>
      <c r="KUE394" s="109"/>
      <c r="KUF394" s="104"/>
      <c r="KUG394" s="104"/>
      <c r="KUH394" s="119"/>
      <c r="KUI394" s="104"/>
      <c r="KUJ394" s="455"/>
      <c r="KUK394" s="104"/>
      <c r="KUL394" s="104"/>
      <c r="KUM394" s="109"/>
      <c r="KUN394" s="104"/>
      <c r="KUO394" s="104"/>
      <c r="KUP394" s="119"/>
      <c r="KUQ394" s="104"/>
      <c r="KUR394" s="455"/>
      <c r="KUS394" s="104"/>
      <c r="KUT394" s="104"/>
      <c r="KUU394" s="109"/>
      <c r="KUV394" s="104"/>
      <c r="KUW394" s="104"/>
      <c r="KUX394" s="119"/>
      <c r="KUY394" s="104"/>
      <c r="KUZ394" s="455"/>
      <c r="KVA394" s="104"/>
      <c r="KVB394" s="104"/>
      <c r="KVC394" s="109"/>
      <c r="KVD394" s="104"/>
      <c r="KVE394" s="104"/>
      <c r="KVF394" s="119"/>
      <c r="KVG394" s="104"/>
      <c r="KVH394" s="455"/>
      <c r="KVI394" s="104"/>
      <c r="KVJ394" s="104"/>
      <c r="KVK394" s="109"/>
      <c r="KVL394" s="104"/>
      <c r="KVM394" s="104"/>
      <c r="KVN394" s="119"/>
      <c r="KVO394" s="104"/>
      <c r="KVP394" s="455"/>
      <c r="KVQ394" s="104"/>
      <c r="KVR394" s="104"/>
      <c r="KVS394" s="109"/>
      <c r="KVT394" s="104"/>
      <c r="KVU394" s="104"/>
      <c r="KVV394" s="119"/>
      <c r="KVW394" s="104"/>
      <c r="KVX394" s="455"/>
      <c r="KVY394" s="104"/>
      <c r="KVZ394" s="104"/>
      <c r="KWA394" s="109"/>
      <c r="KWB394" s="104"/>
      <c r="KWC394" s="104"/>
      <c r="KWD394" s="119"/>
      <c r="KWE394" s="104"/>
      <c r="KWF394" s="455"/>
      <c r="KWG394" s="104"/>
      <c r="KWH394" s="104"/>
      <c r="KWI394" s="109"/>
      <c r="KWJ394" s="104"/>
      <c r="KWK394" s="104"/>
      <c r="KWL394" s="119"/>
      <c r="KWM394" s="104"/>
      <c r="KWN394" s="455"/>
      <c r="KWO394" s="104"/>
      <c r="KWP394" s="104"/>
      <c r="KWQ394" s="109"/>
      <c r="KWR394" s="104"/>
      <c r="KWS394" s="104"/>
      <c r="KWT394" s="119"/>
      <c r="KWU394" s="104"/>
      <c r="KWV394" s="455"/>
      <c r="KWW394" s="104"/>
      <c r="KWX394" s="104"/>
      <c r="KWY394" s="109"/>
      <c r="KWZ394" s="104"/>
      <c r="KXA394" s="104"/>
      <c r="KXB394" s="119"/>
      <c r="KXC394" s="104"/>
      <c r="KXD394" s="455"/>
      <c r="KXE394" s="104"/>
      <c r="KXF394" s="104"/>
      <c r="KXG394" s="109"/>
      <c r="KXH394" s="104"/>
      <c r="KXI394" s="104"/>
      <c r="KXJ394" s="119"/>
      <c r="KXK394" s="104"/>
      <c r="KXL394" s="455"/>
      <c r="KXM394" s="104"/>
      <c r="KXN394" s="104"/>
      <c r="KXO394" s="109"/>
      <c r="KXP394" s="104"/>
      <c r="KXQ394" s="104"/>
      <c r="KXR394" s="119"/>
      <c r="KXS394" s="104"/>
      <c r="KXT394" s="455"/>
      <c r="KXU394" s="104"/>
      <c r="KXV394" s="104"/>
      <c r="KXW394" s="109"/>
      <c r="KXX394" s="104"/>
      <c r="KXY394" s="104"/>
      <c r="KXZ394" s="119"/>
      <c r="KYA394" s="104"/>
      <c r="KYB394" s="455"/>
      <c r="KYC394" s="104"/>
      <c r="KYD394" s="104"/>
      <c r="KYE394" s="109"/>
      <c r="KYF394" s="104"/>
      <c r="KYG394" s="104"/>
      <c r="KYH394" s="119"/>
      <c r="KYI394" s="104"/>
      <c r="KYJ394" s="455"/>
      <c r="KYK394" s="104"/>
      <c r="KYL394" s="104"/>
      <c r="KYM394" s="109"/>
      <c r="KYN394" s="104"/>
      <c r="KYO394" s="104"/>
      <c r="KYP394" s="119"/>
      <c r="KYQ394" s="104"/>
      <c r="KYR394" s="455"/>
      <c r="KYS394" s="104"/>
      <c r="KYT394" s="104"/>
      <c r="KYU394" s="109"/>
      <c r="KYV394" s="104"/>
      <c r="KYW394" s="104"/>
      <c r="KYX394" s="119"/>
      <c r="KYY394" s="104"/>
      <c r="KYZ394" s="455"/>
      <c r="KZA394" s="104"/>
      <c r="KZB394" s="104"/>
      <c r="KZC394" s="109"/>
      <c r="KZD394" s="104"/>
      <c r="KZE394" s="104"/>
      <c r="KZF394" s="119"/>
      <c r="KZG394" s="104"/>
      <c r="KZH394" s="455"/>
      <c r="KZI394" s="104"/>
      <c r="KZJ394" s="104"/>
      <c r="KZK394" s="109"/>
      <c r="KZL394" s="104"/>
      <c r="KZM394" s="104"/>
      <c r="KZN394" s="119"/>
      <c r="KZO394" s="104"/>
      <c r="KZP394" s="455"/>
      <c r="KZQ394" s="104"/>
      <c r="KZR394" s="104"/>
      <c r="KZS394" s="109"/>
      <c r="KZT394" s="104"/>
      <c r="KZU394" s="104"/>
      <c r="KZV394" s="119"/>
      <c r="KZW394" s="104"/>
      <c r="KZX394" s="455"/>
      <c r="KZY394" s="104"/>
      <c r="KZZ394" s="104"/>
      <c r="LAA394" s="109"/>
      <c r="LAB394" s="104"/>
      <c r="LAC394" s="104"/>
      <c r="LAD394" s="119"/>
      <c r="LAE394" s="104"/>
      <c r="LAF394" s="455"/>
      <c r="LAG394" s="104"/>
      <c r="LAH394" s="104"/>
      <c r="LAI394" s="109"/>
      <c r="LAJ394" s="104"/>
      <c r="LAK394" s="104"/>
      <c r="LAL394" s="119"/>
      <c r="LAM394" s="104"/>
      <c r="LAN394" s="455"/>
      <c r="LAO394" s="104"/>
      <c r="LAP394" s="104"/>
      <c r="LAQ394" s="109"/>
      <c r="LAR394" s="104"/>
      <c r="LAS394" s="104"/>
      <c r="LAT394" s="119"/>
      <c r="LAU394" s="104"/>
      <c r="LAV394" s="455"/>
      <c r="LAW394" s="104"/>
      <c r="LAX394" s="104"/>
      <c r="LAY394" s="109"/>
      <c r="LAZ394" s="104"/>
      <c r="LBA394" s="104"/>
      <c r="LBB394" s="119"/>
      <c r="LBC394" s="104"/>
      <c r="LBD394" s="455"/>
      <c r="LBE394" s="104"/>
      <c r="LBF394" s="104"/>
      <c r="LBG394" s="109"/>
      <c r="LBH394" s="104"/>
      <c r="LBI394" s="104"/>
      <c r="LBJ394" s="119"/>
      <c r="LBK394" s="104"/>
      <c r="LBL394" s="455"/>
      <c r="LBM394" s="104"/>
      <c r="LBN394" s="104"/>
      <c r="LBO394" s="109"/>
      <c r="LBP394" s="104"/>
      <c r="LBQ394" s="104"/>
      <c r="LBR394" s="119"/>
      <c r="LBS394" s="104"/>
      <c r="LBT394" s="455"/>
      <c r="LBU394" s="104"/>
      <c r="LBV394" s="104"/>
      <c r="LBW394" s="109"/>
      <c r="LBX394" s="104"/>
      <c r="LBY394" s="104"/>
      <c r="LBZ394" s="119"/>
      <c r="LCA394" s="104"/>
      <c r="LCB394" s="455"/>
      <c r="LCC394" s="104"/>
      <c r="LCD394" s="104"/>
      <c r="LCE394" s="109"/>
      <c r="LCF394" s="104"/>
      <c r="LCG394" s="104"/>
      <c r="LCH394" s="119"/>
      <c r="LCI394" s="104"/>
      <c r="LCJ394" s="455"/>
      <c r="LCK394" s="104"/>
      <c r="LCL394" s="104"/>
      <c r="LCM394" s="109"/>
      <c r="LCN394" s="104"/>
      <c r="LCO394" s="104"/>
      <c r="LCP394" s="119"/>
      <c r="LCQ394" s="104"/>
      <c r="LCR394" s="455"/>
      <c r="LCS394" s="104"/>
      <c r="LCT394" s="104"/>
      <c r="LCU394" s="109"/>
      <c r="LCV394" s="104"/>
      <c r="LCW394" s="104"/>
      <c r="LCX394" s="119"/>
      <c r="LCY394" s="104"/>
      <c r="LCZ394" s="455"/>
      <c r="LDA394" s="104"/>
      <c r="LDB394" s="104"/>
      <c r="LDC394" s="109"/>
      <c r="LDD394" s="104"/>
      <c r="LDE394" s="104"/>
      <c r="LDF394" s="119"/>
      <c r="LDG394" s="104"/>
      <c r="LDH394" s="455"/>
      <c r="LDI394" s="104"/>
      <c r="LDJ394" s="104"/>
      <c r="LDK394" s="109"/>
      <c r="LDL394" s="104"/>
      <c r="LDM394" s="104"/>
      <c r="LDN394" s="119"/>
      <c r="LDO394" s="104"/>
      <c r="LDP394" s="455"/>
      <c r="LDQ394" s="104"/>
      <c r="LDR394" s="104"/>
      <c r="LDS394" s="109"/>
      <c r="LDT394" s="104"/>
      <c r="LDU394" s="104"/>
      <c r="LDV394" s="119"/>
      <c r="LDW394" s="104"/>
      <c r="LDX394" s="455"/>
      <c r="LDY394" s="104"/>
      <c r="LDZ394" s="104"/>
      <c r="LEA394" s="109"/>
      <c r="LEB394" s="104"/>
      <c r="LEC394" s="104"/>
      <c r="LED394" s="119"/>
      <c r="LEE394" s="104"/>
      <c r="LEF394" s="455"/>
      <c r="LEG394" s="104"/>
      <c r="LEH394" s="104"/>
      <c r="LEI394" s="109"/>
      <c r="LEJ394" s="104"/>
      <c r="LEK394" s="104"/>
      <c r="LEL394" s="119"/>
      <c r="LEM394" s="104"/>
      <c r="LEN394" s="455"/>
      <c r="LEO394" s="104"/>
      <c r="LEP394" s="104"/>
      <c r="LEQ394" s="109"/>
      <c r="LER394" s="104"/>
      <c r="LES394" s="104"/>
      <c r="LET394" s="119"/>
      <c r="LEU394" s="104"/>
      <c r="LEV394" s="455"/>
      <c r="LEW394" s="104"/>
      <c r="LEX394" s="104"/>
      <c r="LEY394" s="109"/>
      <c r="LEZ394" s="104"/>
      <c r="LFA394" s="104"/>
      <c r="LFB394" s="119"/>
      <c r="LFC394" s="104"/>
      <c r="LFD394" s="455"/>
      <c r="LFE394" s="104"/>
      <c r="LFF394" s="104"/>
      <c r="LFG394" s="109"/>
      <c r="LFH394" s="104"/>
      <c r="LFI394" s="104"/>
      <c r="LFJ394" s="119"/>
      <c r="LFK394" s="104"/>
      <c r="LFL394" s="455"/>
      <c r="LFM394" s="104"/>
      <c r="LFN394" s="104"/>
      <c r="LFO394" s="109"/>
      <c r="LFP394" s="104"/>
      <c r="LFQ394" s="104"/>
      <c r="LFR394" s="119"/>
      <c r="LFS394" s="104"/>
      <c r="LFT394" s="455"/>
      <c r="LFU394" s="104"/>
      <c r="LFV394" s="104"/>
      <c r="LFW394" s="109"/>
      <c r="LFX394" s="104"/>
      <c r="LFY394" s="104"/>
      <c r="LFZ394" s="119"/>
      <c r="LGA394" s="104"/>
      <c r="LGB394" s="455"/>
      <c r="LGC394" s="104"/>
      <c r="LGD394" s="104"/>
      <c r="LGE394" s="109"/>
      <c r="LGF394" s="104"/>
      <c r="LGG394" s="104"/>
      <c r="LGH394" s="119"/>
      <c r="LGI394" s="104"/>
      <c r="LGJ394" s="455"/>
      <c r="LGK394" s="104"/>
      <c r="LGL394" s="104"/>
      <c r="LGM394" s="109"/>
      <c r="LGN394" s="104"/>
      <c r="LGO394" s="104"/>
      <c r="LGP394" s="119"/>
      <c r="LGQ394" s="104"/>
      <c r="LGR394" s="455"/>
      <c r="LGS394" s="104"/>
      <c r="LGT394" s="104"/>
      <c r="LGU394" s="109"/>
      <c r="LGV394" s="104"/>
      <c r="LGW394" s="104"/>
      <c r="LGX394" s="119"/>
      <c r="LGY394" s="104"/>
      <c r="LGZ394" s="455"/>
      <c r="LHA394" s="104"/>
      <c r="LHB394" s="104"/>
      <c r="LHC394" s="109"/>
      <c r="LHD394" s="104"/>
      <c r="LHE394" s="104"/>
      <c r="LHF394" s="119"/>
      <c r="LHG394" s="104"/>
      <c r="LHH394" s="455"/>
      <c r="LHI394" s="104"/>
      <c r="LHJ394" s="104"/>
      <c r="LHK394" s="109"/>
      <c r="LHL394" s="104"/>
      <c r="LHM394" s="104"/>
      <c r="LHN394" s="119"/>
      <c r="LHO394" s="104"/>
      <c r="LHP394" s="455"/>
      <c r="LHQ394" s="104"/>
      <c r="LHR394" s="104"/>
      <c r="LHS394" s="109"/>
      <c r="LHT394" s="104"/>
      <c r="LHU394" s="104"/>
      <c r="LHV394" s="119"/>
      <c r="LHW394" s="104"/>
      <c r="LHX394" s="455"/>
      <c r="LHY394" s="104"/>
      <c r="LHZ394" s="104"/>
      <c r="LIA394" s="109"/>
      <c r="LIB394" s="104"/>
      <c r="LIC394" s="104"/>
      <c r="LID394" s="119"/>
      <c r="LIE394" s="104"/>
      <c r="LIF394" s="455"/>
      <c r="LIG394" s="104"/>
      <c r="LIH394" s="104"/>
      <c r="LII394" s="109"/>
      <c r="LIJ394" s="104"/>
      <c r="LIK394" s="104"/>
      <c r="LIL394" s="119"/>
      <c r="LIM394" s="104"/>
      <c r="LIN394" s="455"/>
      <c r="LIO394" s="104"/>
      <c r="LIP394" s="104"/>
      <c r="LIQ394" s="109"/>
      <c r="LIR394" s="104"/>
      <c r="LIS394" s="104"/>
      <c r="LIT394" s="119"/>
      <c r="LIU394" s="104"/>
      <c r="LIV394" s="455"/>
      <c r="LIW394" s="104"/>
      <c r="LIX394" s="104"/>
      <c r="LIY394" s="109"/>
      <c r="LIZ394" s="104"/>
      <c r="LJA394" s="104"/>
      <c r="LJB394" s="119"/>
      <c r="LJC394" s="104"/>
      <c r="LJD394" s="455"/>
      <c r="LJE394" s="104"/>
      <c r="LJF394" s="104"/>
      <c r="LJG394" s="109"/>
      <c r="LJH394" s="104"/>
      <c r="LJI394" s="104"/>
      <c r="LJJ394" s="119"/>
      <c r="LJK394" s="104"/>
      <c r="LJL394" s="455"/>
      <c r="LJM394" s="104"/>
      <c r="LJN394" s="104"/>
      <c r="LJO394" s="109"/>
      <c r="LJP394" s="104"/>
      <c r="LJQ394" s="104"/>
      <c r="LJR394" s="119"/>
      <c r="LJS394" s="104"/>
      <c r="LJT394" s="455"/>
      <c r="LJU394" s="104"/>
      <c r="LJV394" s="104"/>
      <c r="LJW394" s="109"/>
      <c r="LJX394" s="104"/>
      <c r="LJY394" s="104"/>
      <c r="LJZ394" s="119"/>
      <c r="LKA394" s="104"/>
      <c r="LKB394" s="455"/>
      <c r="LKC394" s="104"/>
      <c r="LKD394" s="104"/>
      <c r="LKE394" s="109"/>
      <c r="LKF394" s="104"/>
      <c r="LKG394" s="104"/>
      <c r="LKH394" s="119"/>
      <c r="LKI394" s="104"/>
      <c r="LKJ394" s="455"/>
      <c r="LKK394" s="104"/>
      <c r="LKL394" s="104"/>
      <c r="LKM394" s="109"/>
      <c r="LKN394" s="104"/>
      <c r="LKO394" s="104"/>
      <c r="LKP394" s="119"/>
      <c r="LKQ394" s="104"/>
      <c r="LKR394" s="455"/>
      <c r="LKS394" s="104"/>
      <c r="LKT394" s="104"/>
      <c r="LKU394" s="109"/>
      <c r="LKV394" s="104"/>
      <c r="LKW394" s="104"/>
      <c r="LKX394" s="119"/>
      <c r="LKY394" s="104"/>
      <c r="LKZ394" s="455"/>
      <c r="LLA394" s="104"/>
      <c r="LLB394" s="104"/>
      <c r="LLC394" s="109"/>
      <c r="LLD394" s="104"/>
      <c r="LLE394" s="104"/>
      <c r="LLF394" s="119"/>
      <c r="LLG394" s="104"/>
      <c r="LLH394" s="455"/>
      <c r="LLI394" s="104"/>
      <c r="LLJ394" s="104"/>
      <c r="LLK394" s="109"/>
      <c r="LLL394" s="104"/>
      <c r="LLM394" s="104"/>
      <c r="LLN394" s="119"/>
      <c r="LLO394" s="104"/>
      <c r="LLP394" s="455"/>
      <c r="LLQ394" s="104"/>
      <c r="LLR394" s="104"/>
      <c r="LLS394" s="109"/>
      <c r="LLT394" s="104"/>
      <c r="LLU394" s="104"/>
      <c r="LLV394" s="119"/>
      <c r="LLW394" s="104"/>
      <c r="LLX394" s="455"/>
      <c r="LLY394" s="104"/>
      <c r="LLZ394" s="104"/>
      <c r="LMA394" s="109"/>
      <c r="LMB394" s="104"/>
      <c r="LMC394" s="104"/>
      <c r="LMD394" s="119"/>
      <c r="LME394" s="104"/>
      <c r="LMF394" s="455"/>
      <c r="LMG394" s="104"/>
      <c r="LMH394" s="104"/>
      <c r="LMI394" s="109"/>
      <c r="LMJ394" s="104"/>
      <c r="LMK394" s="104"/>
      <c r="LML394" s="119"/>
      <c r="LMM394" s="104"/>
      <c r="LMN394" s="455"/>
      <c r="LMO394" s="104"/>
      <c r="LMP394" s="104"/>
      <c r="LMQ394" s="109"/>
      <c r="LMR394" s="104"/>
      <c r="LMS394" s="104"/>
      <c r="LMT394" s="119"/>
      <c r="LMU394" s="104"/>
      <c r="LMV394" s="455"/>
      <c r="LMW394" s="104"/>
      <c r="LMX394" s="104"/>
      <c r="LMY394" s="109"/>
      <c r="LMZ394" s="104"/>
      <c r="LNA394" s="104"/>
      <c r="LNB394" s="119"/>
      <c r="LNC394" s="104"/>
      <c r="LND394" s="455"/>
      <c r="LNE394" s="104"/>
      <c r="LNF394" s="104"/>
      <c r="LNG394" s="109"/>
      <c r="LNH394" s="104"/>
      <c r="LNI394" s="104"/>
      <c r="LNJ394" s="119"/>
      <c r="LNK394" s="104"/>
      <c r="LNL394" s="455"/>
      <c r="LNM394" s="104"/>
      <c r="LNN394" s="104"/>
      <c r="LNO394" s="109"/>
      <c r="LNP394" s="104"/>
      <c r="LNQ394" s="104"/>
      <c r="LNR394" s="119"/>
      <c r="LNS394" s="104"/>
      <c r="LNT394" s="455"/>
      <c r="LNU394" s="104"/>
      <c r="LNV394" s="104"/>
      <c r="LNW394" s="109"/>
      <c r="LNX394" s="104"/>
      <c r="LNY394" s="104"/>
      <c r="LNZ394" s="119"/>
      <c r="LOA394" s="104"/>
      <c r="LOB394" s="455"/>
      <c r="LOC394" s="104"/>
      <c r="LOD394" s="104"/>
      <c r="LOE394" s="109"/>
      <c r="LOF394" s="104"/>
      <c r="LOG394" s="104"/>
      <c r="LOH394" s="119"/>
      <c r="LOI394" s="104"/>
      <c r="LOJ394" s="455"/>
      <c r="LOK394" s="104"/>
      <c r="LOL394" s="104"/>
      <c r="LOM394" s="109"/>
      <c r="LON394" s="104"/>
      <c r="LOO394" s="104"/>
      <c r="LOP394" s="119"/>
      <c r="LOQ394" s="104"/>
      <c r="LOR394" s="455"/>
      <c r="LOS394" s="104"/>
      <c r="LOT394" s="104"/>
      <c r="LOU394" s="109"/>
      <c r="LOV394" s="104"/>
      <c r="LOW394" s="104"/>
      <c r="LOX394" s="119"/>
      <c r="LOY394" s="104"/>
      <c r="LOZ394" s="455"/>
      <c r="LPA394" s="104"/>
      <c r="LPB394" s="104"/>
      <c r="LPC394" s="109"/>
      <c r="LPD394" s="104"/>
      <c r="LPE394" s="104"/>
      <c r="LPF394" s="119"/>
      <c r="LPG394" s="104"/>
      <c r="LPH394" s="455"/>
      <c r="LPI394" s="104"/>
      <c r="LPJ394" s="104"/>
      <c r="LPK394" s="109"/>
      <c r="LPL394" s="104"/>
      <c r="LPM394" s="104"/>
      <c r="LPN394" s="119"/>
      <c r="LPO394" s="104"/>
      <c r="LPP394" s="455"/>
      <c r="LPQ394" s="104"/>
      <c r="LPR394" s="104"/>
      <c r="LPS394" s="109"/>
      <c r="LPT394" s="104"/>
      <c r="LPU394" s="104"/>
      <c r="LPV394" s="119"/>
      <c r="LPW394" s="104"/>
      <c r="LPX394" s="455"/>
      <c r="LPY394" s="104"/>
      <c r="LPZ394" s="104"/>
      <c r="LQA394" s="109"/>
      <c r="LQB394" s="104"/>
      <c r="LQC394" s="104"/>
      <c r="LQD394" s="119"/>
      <c r="LQE394" s="104"/>
      <c r="LQF394" s="455"/>
      <c r="LQG394" s="104"/>
      <c r="LQH394" s="104"/>
      <c r="LQI394" s="109"/>
      <c r="LQJ394" s="104"/>
      <c r="LQK394" s="104"/>
      <c r="LQL394" s="119"/>
      <c r="LQM394" s="104"/>
      <c r="LQN394" s="455"/>
      <c r="LQO394" s="104"/>
      <c r="LQP394" s="104"/>
      <c r="LQQ394" s="109"/>
      <c r="LQR394" s="104"/>
      <c r="LQS394" s="104"/>
      <c r="LQT394" s="119"/>
      <c r="LQU394" s="104"/>
      <c r="LQV394" s="455"/>
      <c r="LQW394" s="104"/>
      <c r="LQX394" s="104"/>
      <c r="LQY394" s="109"/>
      <c r="LQZ394" s="104"/>
      <c r="LRA394" s="104"/>
      <c r="LRB394" s="119"/>
      <c r="LRC394" s="104"/>
      <c r="LRD394" s="455"/>
      <c r="LRE394" s="104"/>
      <c r="LRF394" s="104"/>
      <c r="LRG394" s="109"/>
      <c r="LRH394" s="104"/>
      <c r="LRI394" s="104"/>
      <c r="LRJ394" s="119"/>
      <c r="LRK394" s="104"/>
      <c r="LRL394" s="455"/>
      <c r="LRM394" s="104"/>
      <c r="LRN394" s="104"/>
      <c r="LRO394" s="109"/>
      <c r="LRP394" s="104"/>
      <c r="LRQ394" s="104"/>
      <c r="LRR394" s="119"/>
      <c r="LRS394" s="104"/>
      <c r="LRT394" s="455"/>
      <c r="LRU394" s="104"/>
      <c r="LRV394" s="104"/>
      <c r="LRW394" s="109"/>
      <c r="LRX394" s="104"/>
      <c r="LRY394" s="104"/>
      <c r="LRZ394" s="119"/>
      <c r="LSA394" s="104"/>
      <c r="LSB394" s="455"/>
      <c r="LSC394" s="104"/>
      <c r="LSD394" s="104"/>
      <c r="LSE394" s="109"/>
      <c r="LSF394" s="104"/>
      <c r="LSG394" s="104"/>
      <c r="LSH394" s="119"/>
      <c r="LSI394" s="104"/>
      <c r="LSJ394" s="455"/>
      <c r="LSK394" s="104"/>
      <c r="LSL394" s="104"/>
      <c r="LSM394" s="109"/>
      <c r="LSN394" s="104"/>
      <c r="LSO394" s="104"/>
      <c r="LSP394" s="119"/>
      <c r="LSQ394" s="104"/>
      <c r="LSR394" s="455"/>
      <c r="LSS394" s="104"/>
      <c r="LST394" s="104"/>
      <c r="LSU394" s="109"/>
      <c r="LSV394" s="104"/>
      <c r="LSW394" s="104"/>
      <c r="LSX394" s="119"/>
      <c r="LSY394" s="104"/>
      <c r="LSZ394" s="455"/>
      <c r="LTA394" s="104"/>
      <c r="LTB394" s="104"/>
      <c r="LTC394" s="109"/>
      <c r="LTD394" s="104"/>
      <c r="LTE394" s="104"/>
      <c r="LTF394" s="119"/>
      <c r="LTG394" s="104"/>
      <c r="LTH394" s="455"/>
      <c r="LTI394" s="104"/>
      <c r="LTJ394" s="104"/>
      <c r="LTK394" s="109"/>
      <c r="LTL394" s="104"/>
      <c r="LTM394" s="104"/>
      <c r="LTN394" s="119"/>
      <c r="LTO394" s="104"/>
      <c r="LTP394" s="455"/>
      <c r="LTQ394" s="104"/>
      <c r="LTR394" s="104"/>
      <c r="LTS394" s="109"/>
      <c r="LTT394" s="104"/>
      <c r="LTU394" s="104"/>
      <c r="LTV394" s="119"/>
      <c r="LTW394" s="104"/>
      <c r="LTX394" s="455"/>
      <c r="LTY394" s="104"/>
      <c r="LTZ394" s="104"/>
      <c r="LUA394" s="109"/>
      <c r="LUB394" s="104"/>
      <c r="LUC394" s="104"/>
      <c r="LUD394" s="119"/>
      <c r="LUE394" s="104"/>
      <c r="LUF394" s="455"/>
      <c r="LUG394" s="104"/>
      <c r="LUH394" s="104"/>
      <c r="LUI394" s="109"/>
      <c r="LUJ394" s="104"/>
      <c r="LUK394" s="104"/>
      <c r="LUL394" s="119"/>
      <c r="LUM394" s="104"/>
      <c r="LUN394" s="455"/>
      <c r="LUO394" s="104"/>
      <c r="LUP394" s="104"/>
      <c r="LUQ394" s="109"/>
      <c r="LUR394" s="104"/>
      <c r="LUS394" s="104"/>
      <c r="LUT394" s="119"/>
      <c r="LUU394" s="104"/>
      <c r="LUV394" s="455"/>
      <c r="LUW394" s="104"/>
      <c r="LUX394" s="104"/>
      <c r="LUY394" s="109"/>
      <c r="LUZ394" s="104"/>
      <c r="LVA394" s="104"/>
      <c r="LVB394" s="119"/>
      <c r="LVC394" s="104"/>
      <c r="LVD394" s="455"/>
      <c r="LVE394" s="104"/>
      <c r="LVF394" s="104"/>
      <c r="LVG394" s="109"/>
      <c r="LVH394" s="104"/>
      <c r="LVI394" s="104"/>
      <c r="LVJ394" s="119"/>
      <c r="LVK394" s="104"/>
      <c r="LVL394" s="455"/>
      <c r="LVM394" s="104"/>
      <c r="LVN394" s="104"/>
      <c r="LVO394" s="109"/>
      <c r="LVP394" s="104"/>
      <c r="LVQ394" s="104"/>
      <c r="LVR394" s="119"/>
      <c r="LVS394" s="104"/>
      <c r="LVT394" s="455"/>
      <c r="LVU394" s="104"/>
      <c r="LVV394" s="104"/>
      <c r="LVW394" s="109"/>
      <c r="LVX394" s="104"/>
      <c r="LVY394" s="104"/>
      <c r="LVZ394" s="119"/>
      <c r="LWA394" s="104"/>
      <c r="LWB394" s="455"/>
      <c r="LWC394" s="104"/>
      <c r="LWD394" s="104"/>
      <c r="LWE394" s="109"/>
      <c r="LWF394" s="104"/>
      <c r="LWG394" s="104"/>
      <c r="LWH394" s="119"/>
      <c r="LWI394" s="104"/>
      <c r="LWJ394" s="455"/>
      <c r="LWK394" s="104"/>
      <c r="LWL394" s="104"/>
      <c r="LWM394" s="109"/>
      <c r="LWN394" s="104"/>
      <c r="LWO394" s="104"/>
      <c r="LWP394" s="119"/>
      <c r="LWQ394" s="104"/>
      <c r="LWR394" s="455"/>
      <c r="LWS394" s="104"/>
      <c r="LWT394" s="104"/>
      <c r="LWU394" s="109"/>
      <c r="LWV394" s="104"/>
      <c r="LWW394" s="104"/>
      <c r="LWX394" s="119"/>
      <c r="LWY394" s="104"/>
      <c r="LWZ394" s="455"/>
      <c r="LXA394" s="104"/>
      <c r="LXB394" s="104"/>
      <c r="LXC394" s="109"/>
      <c r="LXD394" s="104"/>
      <c r="LXE394" s="104"/>
      <c r="LXF394" s="119"/>
      <c r="LXG394" s="104"/>
      <c r="LXH394" s="455"/>
      <c r="LXI394" s="104"/>
      <c r="LXJ394" s="104"/>
      <c r="LXK394" s="109"/>
      <c r="LXL394" s="104"/>
      <c r="LXM394" s="104"/>
      <c r="LXN394" s="119"/>
      <c r="LXO394" s="104"/>
      <c r="LXP394" s="455"/>
      <c r="LXQ394" s="104"/>
      <c r="LXR394" s="104"/>
      <c r="LXS394" s="109"/>
      <c r="LXT394" s="104"/>
      <c r="LXU394" s="104"/>
      <c r="LXV394" s="119"/>
      <c r="LXW394" s="104"/>
      <c r="LXX394" s="455"/>
      <c r="LXY394" s="104"/>
      <c r="LXZ394" s="104"/>
      <c r="LYA394" s="109"/>
      <c r="LYB394" s="104"/>
      <c r="LYC394" s="104"/>
      <c r="LYD394" s="119"/>
      <c r="LYE394" s="104"/>
      <c r="LYF394" s="455"/>
      <c r="LYG394" s="104"/>
      <c r="LYH394" s="104"/>
      <c r="LYI394" s="109"/>
      <c r="LYJ394" s="104"/>
      <c r="LYK394" s="104"/>
      <c r="LYL394" s="119"/>
      <c r="LYM394" s="104"/>
      <c r="LYN394" s="455"/>
      <c r="LYO394" s="104"/>
      <c r="LYP394" s="104"/>
      <c r="LYQ394" s="109"/>
      <c r="LYR394" s="104"/>
      <c r="LYS394" s="104"/>
      <c r="LYT394" s="119"/>
      <c r="LYU394" s="104"/>
      <c r="LYV394" s="455"/>
      <c r="LYW394" s="104"/>
      <c r="LYX394" s="104"/>
      <c r="LYY394" s="109"/>
      <c r="LYZ394" s="104"/>
      <c r="LZA394" s="104"/>
      <c r="LZB394" s="119"/>
      <c r="LZC394" s="104"/>
      <c r="LZD394" s="455"/>
      <c r="LZE394" s="104"/>
      <c r="LZF394" s="104"/>
      <c r="LZG394" s="109"/>
      <c r="LZH394" s="104"/>
      <c r="LZI394" s="104"/>
      <c r="LZJ394" s="119"/>
      <c r="LZK394" s="104"/>
      <c r="LZL394" s="455"/>
      <c r="LZM394" s="104"/>
      <c r="LZN394" s="104"/>
      <c r="LZO394" s="109"/>
      <c r="LZP394" s="104"/>
      <c r="LZQ394" s="104"/>
      <c r="LZR394" s="119"/>
      <c r="LZS394" s="104"/>
      <c r="LZT394" s="455"/>
      <c r="LZU394" s="104"/>
      <c r="LZV394" s="104"/>
      <c r="LZW394" s="109"/>
      <c r="LZX394" s="104"/>
      <c r="LZY394" s="104"/>
      <c r="LZZ394" s="119"/>
      <c r="MAA394" s="104"/>
      <c r="MAB394" s="455"/>
      <c r="MAC394" s="104"/>
      <c r="MAD394" s="104"/>
      <c r="MAE394" s="109"/>
      <c r="MAF394" s="104"/>
      <c r="MAG394" s="104"/>
      <c r="MAH394" s="119"/>
      <c r="MAI394" s="104"/>
      <c r="MAJ394" s="455"/>
      <c r="MAK394" s="104"/>
      <c r="MAL394" s="104"/>
      <c r="MAM394" s="109"/>
      <c r="MAN394" s="104"/>
      <c r="MAO394" s="104"/>
      <c r="MAP394" s="119"/>
      <c r="MAQ394" s="104"/>
      <c r="MAR394" s="455"/>
      <c r="MAS394" s="104"/>
      <c r="MAT394" s="104"/>
      <c r="MAU394" s="109"/>
      <c r="MAV394" s="104"/>
      <c r="MAW394" s="104"/>
      <c r="MAX394" s="119"/>
      <c r="MAY394" s="104"/>
      <c r="MAZ394" s="455"/>
      <c r="MBA394" s="104"/>
      <c r="MBB394" s="104"/>
      <c r="MBC394" s="109"/>
      <c r="MBD394" s="104"/>
      <c r="MBE394" s="104"/>
      <c r="MBF394" s="119"/>
      <c r="MBG394" s="104"/>
      <c r="MBH394" s="455"/>
      <c r="MBI394" s="104"/>
      <c r="MBJ394" s="104"/>
      <c r="MBK394" s="109"/>
      <c r="MBL394" s="104"/>
      <c r="MBM394" s="104"/>
      <c r="MBN394" s="119"/>
      <c r="MBO394" s="104"/>
      <c r="MBP394" s="455"/>
      <c r="MBQ394" s="104"/>
      <c r="MBR394" s="104"/>
      <c r="MBS394" s="109"/>
      <c r="MBT394" s="104"/>
      <c r="MBU394" s="104"/>
      <c r="MBV394" s="119"/>
      <c r="MBW394" s="104"/>
      <c r="MBX394" s="455"/>
      <c r="MBY394" s="104"/>
      <c r="MBZ394" s="104"/>
      <c r="MCA394" s="109"/>
      <c r="MCB394" s="104"/>
      <c r="MCC394" s="104"/>
      <c r="MCD394" s="119"/>
      <c r="MCE394" s="104"/>
      <c r="MCF394" s="455"/>
      <c r="MCG394" s="104"/>
      <c r="MCH394" s="104"/>
      <c r="MCI394" s="109"/>
      <c r="MCJ394" s="104"/>
      <c r="MCK394" s="104"/>
      <c r="MCL394" s="119"/>
      <c r="MCM394" s="104"/>
      <c r="MCN394" s="455"/>
      <c r="MCO394" s="104"/>
      <c r="MCP394" s="104"/>
      <c r="MCQ394" s="109"/>
      <c r="MCR394" s="104"/>
      <c r="MCS394" s="104"/>
      <c r="MCT394" s="119"/>
      <c r="MCU394" s="104"/>
      <c r="MCV394" s="455"/>
      <c r="MCW394" s="104"/>
      <c r="MCX394" s="104"/>
      <c r="MCY394" s="109"/>
      <c r="MCZ394" s="104"/>
      <c r="MDA394" s="104"/>
      <c r="MDB394" s="119"/>
      <c r="MDC394" s="104"/>
      <c r="MDD394" s="455"/>
      <c r="MDE394" s="104"/>
      <c r="MDF394" s="104"/>
      <c r="MDG394" s="109"/>
      <c r="MDH394" s="104"/>
      <c r="MDI394" s="104"/>
      <c r="MDJ394" s="119"/>
      <c r="MDK394" s="104"/>
      <c r="MDL394" s="455"/>
      <c r="MDM394" s="104"/>
      <c r="MDN394" s="104"/>
      <c r="MDO394" s="109"/>
      <c r="MDP394" s="104"/>
      <c r="MDQ394" s="104"/>
      <c r="MDR394" s="119"/>
      <c r="MDS394" s="104"/>
      <c r="MDT394" s="455"/>
      <c r="MDU394" s="104"/>
      <c r="MDV394" s="104"/>
      <c r="MDW394" s="109"/>
      <c r="MDX394" s="104"/>
      <c r="MDY394" s="104"/>
      <c r="MDZ394" s="119"/>
      <c r="MEA394" s="104"/>
      <c r="MEB394" s="455"/>
      <c r="MEC394" s="104"/>
      <c r="MED394" s="104"/>
      <c r="MEE394" s="109"/>
      <c r="MEF394" s="104"/>
      <c r="MEG394" s="104"/>
      <c r="MEH394" s="119"/>
      <c r="MEI394" s="104"/>
      <c r="MEJ394" s="455"/>
      <c r="MEK394" s="104"/>
      <c r="MEL394" s="104"/>
      <c r="MEM394" s="109"/>
      <c r="MEN394" s="104"/>
      <c r="MEO394" s="104"/>
      <c r="MEP394" s="119"/>
      <c r="MEQ394" s="104"/>
      <c r="MER394" s="455"/>
      <c r="MES394" s="104"/>
      <c r="MET394" s="104"/>
      <c r="MEU394" s="109"/>
      <c r="MEV394" s="104"/>
      <c r="MEW394" s="104"/>
      <c r="MEX394" s="119"/>
      <c r="MEY394" s="104"/>
      <c r="MEZ394" s="455"/>
      <c r="MFA394" s="104"/>
      <c r="MFB394" s="104"/>
      <c r="MFC394" s="109"/>
      <c r="MFD394" s="104"/>
      <c r="MFE394" s="104"/>
      <c r="MFF394" s="119"/>
      <c r="MFG394" s="104"/>
      <c r="MFH394" s="455"/>
      <c r="MFI394" s="104"/>
      <c r="MFJ394" s="104"/>
      <c r="MFK394" s="109"/>
      <c r="MFL394" s="104"/>
      <c r="MFM394" s="104"/>
      <c r="MFN394" s="119"/>
      <c r="MFO394" s="104"/>
      <c r="MFP394" s="455"/>
      <c r="MFQ394" s="104"/>
      <c r="MFR394" s="104"/>
      <c r="MFS394" s="109"/>
      <c r="MFT394" s="104"/>
      <c r="MFU394" s="104"/>
      <c r="MFV394" s="119"/>
      <c r="MFW394" s="104"/>
      <c r="MFX394" s="455"/>
      <c r="MFY394" s="104"/>
      <c r="MFZ394" s="104"/>
      <c r="MGA394" s="109"/>
      <c r="MGB394" s="104"/>
      <c r="MGC394" s="104"/>
      <c r="MGD394" s="119"/>
      <c r="MGE394" s="104"/>
      <c r="MGF394" s="455"/>
      <c r="MGG394" s="104"/>
      <c r="MGH394" s="104"/>
      <c r="MGI394" s="109"/>
      <c r="MGJ394" s="104"/>
      <c r="MGK394" s="104"/>
      <c r="MGL394" s="119"/>
      <c r="MGM394" s="104"/>
      <c r="MGN394" s="455"/>
      <c r="MGO394" s="104"/>
      <c r="MGP394" s="104"/>
      <c r="MGQ394" s="109"/>
      <c r="MGR394" s="104"/>
      <c r="MGS394" s="104"/>
      <c r="MGT394" s="119"/>
      <c r="MGU394" s="104"/>
      <c r="MGV394" s="455"/>
      <c r="MGW394" s="104"/>
      <c r="MGX394" s="104"/>
      <c r="MGY394" s="109"/>
      <c r="MGZ394" s="104"/>
      <c r="MHA394" s="104"/>
      <c r="MHB394" s="119"/>
      <c r="MHC394" s="104"/>
      <c r="MHD394" s="455"/>
      <c r="MHE394" s="104"/>
      <c r="MHF394" s="104"/>
      <c r="MHG394" s="109"/>
      <c r="MHH394" s="104"/>
      <c r="MHI394" s="104"/>
      <c r="MHJ394" s="119"/>
      <c r="MHK394" s="104"/>
      <c r="MHL394" s="455"/>
      <c r="MHM394" s="104"/>
      <c r="MHN394" s="104"/>
      <c r="MHO394" s="109"/>
      <c r="MHP394" s="104"/>
      <c r="MHQ394" s="104"/>
      <c r="MHR394" s="119"/>
      <c r="MHS394" s="104"/>
      <c r="MHT394" s="455"/>
      <c r="MHU394" s="104"/>
      <c r="MHV394" s="104"/>
      <c r="MHW394" s="109"/>
      <c r="MHX394" s="104"/>
      <c r="MHY394" s="104"/>
      <c r="MHZ394" s="119"/>
      <c r="MIA394" s="104"/>
      <c r="MIB394" s="455"/>
      <c r="MIC394" s="104"/>
      <c r="MID394" s="104"/>
      <c r="MIE394" s="109"/>
      <c r="MIF394" s="104"/>
      <c r="MIG394" s="104"/>
      <c r="MIH394" s="119"/>
      <c r="MII394" s="104"/>
      <c r="MIJ394" s="455"/>
      <c r="MIK394" s="104"/>
      <c r="MIL394" s="104"/>
      <c r="MIM394" s="109"/>
      <c r="MIN394" s="104"/>
      <c r="MIO394" s="104"/>
      <c r="MIP394" s="119"/>
      <c r="MIQ394" s="104"/>
      <c r="MIR394" s="455"/>
      <c r="MIS394" s="104"/>
      <c r="MIT394" s="104"/>
      <c r="MIU394" s="109"/>
      <c r="MIV394" s="104"/>
      <c r="MIW394" s="104"/>
      <c r="MIX394" s="119"/>
      <c r="MIY394" s="104"/>
      <c r="MIZ394" s="455"/>
      <c r="MJA394" s="104"/>
      <c r="MJB394" s="104"/>
      <c r="MJC394" s="109"/>
      <c r="MJD394" s="104"/>
      <c r="MJE394" s="104"/>
      <c r="MJF394" s="119"/>
      <c r="MJG394" s="104"/>
      <c r="MJH394" s="455"/>
      <c r="MJI394" s="104"/>
      <c r="MJJ394" s="104"/>
      <c r="MJK394" s="109"/>
      <c r="MJL394" s="104"/>
      <c r="MJM394" s="104"/>
      <c r="MJN394" s="119"/>
      <c r="MJO394" s="104"/>
      <c r="MJP394" s="455"/>
      <c r="MJQ394" s="104"/>
      <c r="MJR394" s="104"/>
      <c r="MJS394" s="109"/>
      <c r="MJT394" s="104"/>
      <c r="MJU394" s="104"/>
      <c r="MJV394" s="119"/>
      <c r="MJW394" s="104"/>
      <c r="MJX394" s="455"/>
      <c r="MJY394" s="104"/>
      <c r="MJZ394" s="104"/>
      <c r="MKA394" s="109"/>
      <c r="MKB394" s="104"/>
      <c r="MKC394" s="104"/>
      <c r="MKD394" s="119"/>
      <c r="MKE394" s="104"/>
      <c r="MKF394" s="455"/>
      <c r="MKG394" s="104"/>
      <c r="MKH394" s="104"/>
      <c r="MKI394" s="109"/>
      <c r="MKJ394" s="104"/>
      <c r="MKK394" s="104"/>
      <c r="MKL394" s="119"/>
      <c r="MKM394" s="104"/>
      <c r="MKN394" s="455"/>
      <c r="MKO394" s="104"/>
      <c r="MKP394" s="104"/>
      <c r="MKQ394" s="109"/>
      <c r="MKR394" s="104"/>
      <c r="MKS394" s="104"/>
      <c r="MKT394" s="119"/>
      <c r="MKU394" s="104"/>
      <c r="MKV394" s="455"/>
      <c r="MKW394" s="104"/>
      <c r="MKX394" s="104"/>
      <c r="MKY394" s="109"/>
      <c r="MKZ394" s="104"/>
      <c r="MLA394" s="104"/>
      <c r="MLB394" s="119"/>
      <c r="MLC394" s="104"/>
      <c r="MLD394" s="455"/>
      <c r="MLE394" s="104"/>
      <c r="MLF394" s="104"/>
      <c r="MLG394" s="109"/>
      <c r="MLH394" s="104"/>
      <c r="MLI394" s="104"/>
      <c r="MLJ394" s="119"/>
      <c r="MLK394" s="104"/>
      <c r="MLL394" s="455"/>
      <c r="MLM394" s="104"/>
      <c r="MLN394" s="104"/>
      <c r="MLO394" s="109"/>
      <c r="MLP394" s="104"/>
      <c r="MLQ394" s="104"/>
      <c r="MLR394" s="119"/>
      <c r="MLS394" s="104"/>
      <c r="MLT394" s="455"/>
      <c r="MLU394" s="104"/>
      <c r="MLV394" s="104"/>
      <c r="MLW394" s="109"/>
      <c r="MLX394" s="104"/>
      <c r="MLY394" s="104"/>
      <c r="MLZ394" s="119"/>
      <c r="MMA394" s="104"/>
      <c r="MMB394" s="455"/>
      <c r="MMC394" s="104"/>
      <c r="MMD394" s="104"/>
      <c r="MME394" s="109"/>
      <c r="MMF394" s="104"/>
      <c r="MMG394" s="104"/>
      <c r="MMH394" s="119"/>
      <c r="MMI394" s="104"/>
      <c r="MMJ394" s="455"/>
      <c r="MMK394" s="104"/>
      <c r="MML394" s="104"/>
      <c r="MMM394" s="109"/>
      <c r="MMN394" s="104"/>
      <c r="MMO394" s="104"/>
      <c r="MMP394" s="119"/>
      <c r="MMQ394" s="104"/>
      <c r="MMR394" s="455"/>
      <c r="MMS394" s="104"/>
      <c r="MMT394" s="104"/>
      <c r="MMU394" s="109"/>
      <c r="MMV394" s="104"/>
      <c r="MMW394" s="104"/>
      <c r="MMX394" s="119"/>
      <c r="MMY394" s="104"/>
      <c r="MMZ394" s="455"/>
      <c r="MNA394" s="104"/>
      <c r="MNB394" s="104"/>
      <c r="MNC394" s="109"/>
      <c r="MND394" s="104"/>
      <c r="MNE394" s="104"/>
      <c r="MNF394" s="119"/>
      <c r="MNG394" s="104"/>
      <c r="MNH394" s="455"/>
      <c r="MNI394" s="104"/>
      <c r="MNJ394" s="104"/>
      <c r="MNK394" s="109"/>
      <c r="MNL394" s="104"/>
      <c r="MNM394" s="104"/>
      <c r="MNN394" s="119"/>
      <c r="MNO394" s="104"/>
      <c r="MNP394" s="455"/>
      <c r="MNQ394" s="104"/>
      <c r="MNR394" s="104"/>
      <c r="MNS394" s="109"/>
      <c r="MNT394" s="104"/>
      <c r="MNU394" s="104"/>
      <c r="MNV394" s="119"/>
      <c r="MNW394" s="104"/>
      <c r="MNX394" s="455"/>
      <c r="MNY394" s="104"/>
      <c r="MNZ394" s="104"/>
      <c r="MOA394" s="109"/>
      <c r="MOB394" s="104"/>
      <c r="MOC394" s="104"/>
      <c r="MOD394" s="119"/>
      <c r="MOE394" s="104"/>
      <c r="MOF394" s="455"/>
      <c r="MOG394" s="104"/>
      <c r="MOH394" s="104"/>
      <c r="MOI394" s="109"/>
      <c r="MOJ394" s="104"/>
      <c r="MOK394" s="104"/>
      <c r="MOL394" s="119"/>
      <c r="MOM394" s="104"/>
      <c r="MON394" s="455"/>
      <c r="MOO394" s="104"/>
      <c r="MOP394" s="104"/>
      <c r="MOQ394" s="109"/>
      <c r="MOR394" s="104"/>
      <c r="MOS394" s="104"/>
      <c r="MOT394" s="119"/>
      <c r="MOU394" s="104"/>
      <c r="MOV394" s="455"/>
      <c r="MOW394" s="104"/>
      <c r="MOX394" s="104"/>
      <c r="MOY394" s="109"/>
      <c r="MOZ394" s="104"/>
      <c r="MPA394" s="104"/>
      <c r="MPB394" s="119"/>
      <c r="MPC394" s="104"/>
      <c r="MPD394" s="455"/>
      <c r="MPE394" s="104"/>
      <c r="MPF394" s="104"/>
      <c r="MPG394" s="109"/>
      <c r="MPH394" s="104"/>
      <c r="MPI394" s="104"/>
      <c r="MPJ394" s="119"/>
      <c r="MPK394" s="104"/>
      <c r="MPL394" s="455"/>
      <c r="MPM394" s="104"/>
      <c r="MPN394" s="104"/>
      <c r="MPO394" s="109"/>
      <c r="MPP394" s="104"/>
      <c r="MPQ394" s="104"/>
      <c r="MPR394" s="119"/>
      <c r="MPS394" s="104"/>
      <c r="MPT394" s="455"/>
      <c r="MPU394" s="104"/>
      <c r="MPV394" s="104"/>
      <c r="MPW394" s="109"/>
      <c r="MPX394" s="104"/>
      <c r="MPY394" s="104"/>
      <c r="MPZ394" s="119"/>
      <c r="MQA394" s="104"/>
      <c r="MQB394" s="455"/>
      <c r="MQC394" s="104"/>
      <c r="MQD394" s="104"/>
      <c r="MQE394" s="109"/>
      <c r="MQF394" s="104"/>
      <c r="MQG394" s="104"/>
      <c r="MQH394" s="119"/>
      <c r="MQI394" s="104"/>
      <c r="MQJ394" s="455"/>
      <c r="MQK394" s="104"/>
      <c r="MQL394" s="104"/>
      <c r="MQM394" s="109"/>
      <c r="MQN394" s="104"/>
      <c r="MQO394" s="104"/>
      <c r="MQP394" s="119"/>
      <c r="MQQ394" s="104"/>
      <c r="MQR394" s="455"/>
      <c r="MQS394" s="104"/>
      <c r="MQT394" s="104"/>
      <c r="MQU394" s="109"/>
      <c r="MQV394" s="104"/>
      <c r="MQW394" s="104"/>
      <c r="MQX394" s="119"/>
      <c r="MQY394" s="104"/>
      <c r="MQZ394" s="455"/>
      <c r="MRA394" s="104"/>
      <c r="MRB394" s="104"/>
      <c r="MRC394" s="109"/>
      <c r="MRD394" s="104"/>
      <c r="MRE394" s="104"/>
      <c r="MRF394" s="119"/>
      <c r="MRG394" s="104"/>
      <c r="MRH394" s="455"/>
      <c r="MRI394" s="104"/>
      <c r="MRJ394" s="104"/>
      <c r="MRK394" s="109"/>
      <c r="MRL394" s="104"/>
      <c r="MRM394" s="104"/>
      <c r="MRN394" s="119"/>
      <c r="MRO394" s="104"/>
      <c r="MRP394" s="455"/>
      <c r="MRQ394" s="104"/>
      <c r="MRR394" s="104"/>
      <c r="MRS394" s="109"/>
      <c r="MRT394" s="104"/>
      <c r="MRU394" s="104"/>
      <c r="MRV394" s="119"/>
      <c r="MRW394" s="104"/>
      <c r="MRX394" s="455"/>
      <c r="MRY394" s="104"/>
      <c r="MRZ394" s="104"/>
      <c r="MSA394" s="109"/>
      <c r="MSB394" s="104"/>
      <c r="MSC394" s="104"/>
      <c r="MSD394" s="119"/>
      <c r="MSE394" s="104"/>
      <c r="MSF394" s="455"/>
      <c r="MSG394" s="104"/>
      <c r="MSH394" s="104"/>
      <c r="MSI394" s="109"/>
      <c r="MSJ394" s="104"/>
      <c r="MSK394" s="104"/>
      <c r="MSL394" s="119"/>
      <c r="MSM394" s="104"/>
      <c r="MSN394" s="455"/>
      <c r="MSO394" s="104"/>
      <c r="MSP394" s="104"/>
      <c r="MSQ394" s="109"/>
      <c r="MSR394" s="104"/>
      <c r="MSS394" s="104"/>
      <c r="MST394" s="119"/>
      <c r="MSU394" s="104"/>
      <c r="MSV394" s="455"/>
      <c r="MSW394" s="104"/>
      <c r="MSX394" s="104"/>
      <c r="MSY394" s="109"/>
      <c r="MSZ394" s="104"/>
      <c r="MTA394" s="104"/>
      <c r="MTB394" s="119"/>
      <c r="MTC394" s="104"/>
      <c r="MTD394" s="455"/>
      <c r="MTE394" s="104"/>
      <c r="MTF394" s="104"/>
      <c r="MTG394" s="109"/>
      <c r="MTH394" s="104"/>
      <c r="MTI394" s="104"/>
      <c r="MTJ394" s="119"/>
      <c r="MTK394" s="104"/>
      <c r="MTL394" s="455"/>
      <c r="MTM394" s="104"/>
      <c r="MTN394" s="104"/>
      <c r="MTO394" s="109"/>
      <c r="MTP394" s="104"/>
      <c r="MTQ394" s="104"/>
      <c r="MTR394" s="119"/>
      <c r="MTS394" s="104"/>
      <c r="MTT394" s="455"/>
      <c r="MTU394" s="104"/>
      <c r="MTV394" s="104"/>
      <c r="MTW394" s="109"/>
      <c r="MTX394" s="104"/>
      <c r="MTY394" s="104"/>
      <c r="MTZ394" s="119"/>
      <c r="MUA394" s="104"/>
      <c r="MUB394" s="455"/>
      <c r="MUC394" s="104"/>
      <c r="MUD394" s="104"/>
      <c r="MUE394" s="109"/>
      <c r="MUF394" s="104"/>
      <c r="MUG394" s="104"/>
      <c r="MUH394" s="119"/>
      <c r="MUI394" s="104"/>
      <c r="MUJ394" s="455"/>
      <c r="MUK394" s="104"/>
      <c r="MUL394" s="104"/>
      <c r="MUM394" s="109"/>
      <c r="MUN394" s="104"/>
      <c r="MUO394" s="104"/>
      <c r="MUP394" s="119"/>
      <c r="MUQ394" s="104"/>
      <c r="MUR394" s="455"/>
      <c r="MUS394" s="104"/>
      <c r="MUT394" s="104"/>
      <c r="MUU394" s="109"/>
      <c r="MUV394" s="104"/>
      <c r="MUW394" s="104"/>
      <c r="MUX394" s="119"/>
      <c r="MUY394" s="104"/>
      <c r="MUZ394" s="455"/>
      <c r="MVA394" s="104"/>
      <c r="MVB394" s="104"/>
      <c r="MVC394" s="109"/>
      <c r="MVD394" s="104"/>
      <c r="MVE394" s="104"/>
      <c r="MVF394" s="119"/>
      <c r="MVG394" s="104"/>
      <c r="MVH394" s="455"/>
      <c r="MVI394" s="104"/>
      <c r="MVJ394" s="104"/>
      <c r="MVK394" s="109"/>
      <c r="MVL394" s="104"/>
      <c r="MVM394" s="104"/>
      <c r="MVN394" s="119"/>
      <c r="MVO394" s="104"/>
      <c r="MVP394" s="455"/>
      <c r="MVQ394" s="104"/>
      <c r="MVR394" s="104"/>
      <c r="MVS394" s="109"/>
      <c r="MVT394" s="104"/>
      <c r="MVU394" s="104"/>
      <c r="MVV394" s="119"/>
      <c r="MVW394" s="104"/>
      <c r="MVX394" s="455"/>
      <c r="MVY394" s="104"/>
      <c r="MVZ394" s="104"/>
      <c r="MWA394" s="109"/>
      <c r="MWB394" s="104"/>
      <c r="MWC394" s="104"/>
      <c r="MWD394" s="119"/>
      <c r="MWE394" s="104"/>
      <c r="MWF394" s="455"/>
      <c r="MWG394" s="104"/>
      <c r="MWH394" s="104"/>
      <c r="MWI394" s="109"/>
      <c r="MWJ394" s="104"/>
      <c r="MWK394" s="104"/>
      <c r="MWL394" s="119"/>
      <c r="MWM394" s="104"/>
      <c r="MWN394" s="455"/>
      <c r="MWO394" s="104"/>
      <c r="MWP394" s="104"/>
      <c r="MWQ394" s="109"/>
      <c r="MWR394" s="104"/>
      <c r="MWS394" s="104"/>
      <c r="MWT394" s="119"/>
      <c r="MWU394" s="104"/>
      <c r="MWV394" s="455"/>
      <c r="MWW394" s="104"/>
      <c r="MWX394" s="104"/>
      <c r="MWY394" s="109"/>
      <c r="MWZ394" s="104"/>
      <c r="MXA394" s="104"/>
      <c r="MXB394" s="119"/>
      <c r="MXC394" s="104"/>
      <c r="MXD394" s="455"/>
      <c r="MXE394" s="104"/>
      <c r="MXF394" s="104"/>
      <c r="MXG394" s="109"/>
      <c r="MXH394" s="104"/>
      <c r="MXI394" s="104"/>
      <c r="MXJ394" s="119"/>
      <c r="MXK394" s="104"/>
      <c r="MXL394" s="455"/>
      <c r="MXM394" s="104"/>
      <c r="MXN394" s="104"/>
      <c r="MXO394" s="109"/>
      <c r="MXP394" s="104"/>
      <c r="MXQ394" s="104"/>
      <c r="MXR394" s="119"/>
      <c r="MXS394" s="104"/>
      <c r="MXT394" s="455"/>
      <c r="MXU394" s="104"/>
      <c r="MXV394" s="104"/>
      <c r="MXW394" s="109"/>
      <c r="MXX394" s="104"/>
      <c r="MXY394" s="104"/>
      <c r="MXZ394" s="119"/>
      <c r="MYA394" s="104"/>
      <c r="MYB394" s="455"/>
      <c r="MYC394" s="104"/>
      <c r="MYD394" s="104"/>
      <c r="MYE394" s="109"/>
      <c r="MYF394" s="104"/>
      <c r="MYG394" s="104"/>
      <c r="MYH394" s="119"/>
      <c r="MYI394" s="104"/>
      <c r="MYJ394" s="455"/>
      <c r="MYK394" s="104"/>
      <c r="MYL394" s="104"/>
      <c r="MYM394" s="109"/>
      <c r="MYN394" s="104"/>
      <c r="MYO394" s="104"/>
      <c r="MYP394" s="119"/>
      <c r="MYQ394" s="104"/>
      <c r="MYR394" s="455"/>
      <c r="MYS394" s="104"/>
      <c r="MYT394" s="104"/>
      <c r="MYU394" s="109"/>
      <c r="MYV394" s="104"/>
      <c r="MYW394" s="104"/>
      <c r="MYX394" s="119"/>
      <c r="MYY394" s="104"/>
      <c r="MYZ394" s="455"/>
      <c r="MZA394" s="104"/>
      <c r="MZB394" s="104"/>
      <c r="MZC394" s="109"/>
      <c r="MZD394" s="104"/>
      <c r="MZE394" s="104"/>
      <c r="MZF394" s="119"/>
      <c r="MZG394" s="104"/>
      <c r="MZH394" s="455"/>
      <c r="MZI394" s="104"/>
      <c r="MZJ394" s="104"/>
      <c r="MZK394" s="109"/>
      <c r="MZL394" s="104"/>
      <c r="MZM394" s="104"/>
      <c r="MZN394" s="119"/>
      <c r="MZO394" s="104"/>
      <c r="MZP394" s="455"/>
      <c r="MZQ394" s="104"/>
      <c r="MZR394" s="104"/>
      <c r="MZS394" s="109"/>
      <c r="MZT394" s="104"/>
      <c r="MZU394" s="104"/>
      <c r="MZV394" s="119"/>
      <c r="MZW394" s="104"/>
      <c r="MZX394" s="455"/>
      <c r="MZY394" s="104"/>
      <c r="MZZ394" s="104"/>
      <c r="NAA394" s="109"/>
      <c r="NAB394" s="104"/>
      <c r="NAC394" s="104"/>
      <c r="NAD394" s="119"/>
      <c r="NAE394" s="104"/>
      <c r="NAF394" s="455"/>
      <c r="NAG394" s="104"/>
      <c r="NAH394" s="104"/>
      <c r="NAI394" s="109"/>
      <c r="NAJ394" s="104"/>
      <c r="NAK394" s="104"/>
      <c r="NAL394" s="119"/>
      <c r="NAM394" s="104"/>
      <c r="NAN394" s="455"/>
      <c r="NAO394" s="104"/>
      <c r="NAP394" s="104"/>
      <c r="NAQ394" s="109"/>
      <c r="NAR394" s="104"/>
      <c r="NAS394" s="104"/>
      <c r="NAT394" s="119"/>
      <c r="NAU394" s="104"/>
      <c r="NAV394" s="455"/>
      <c r="NAW394" s="104"/>
      <c r="NAX394" s="104"/>
      <c r="NAY394" s="109"/>
      <c r="NAZ394" s="104"/>
      <c r="NBA394" s="104"/>
      <c r="NBB394" s="119"/>
      <c r="NBC394" s="104"/>
      <c r="NBD394" s="455"/>
      <c r="NBE394" s="104"/>
      <c r="NBF394" s="104"/>
      <c r="NBG394" s="109"/>
      <c r="NBH394" s="104"/>
      <c r="NBI394" s="104"/>
      <c r="NBJ394" s="119"/>
      <c r="NBK394" s="104"/>
      <c r="NBL394" s="455"/>
      <c r="NBM394" s="104"/>
      <c r="NBN394" s="104"/>
      <c r="NBO394" s="109"/>
      <c r="NBP394" s="104"/>
      <c r="NBQ394" s="104"/>
      <c r="NBR394" s="119"/>
      <c r="NBS394" s="104"/>
      <c r="NBT394" s="455"/>
      <c r="NBU394" s="104"/>
      <c r="NBV394" s="104"/>
      <c r="NBW394" s="109"/>
      <c r="NBX394" s="104"/>
      <c r="NBY394" s="104"/>
      <c r="NBZ394" s="119"/>
      <c r="NCA394" s="104"/>
      <c r="NCB394" s="455"/>
      <c r="NCC394" s="104"/>
      <c r="NCD394" s="104"/>
      <c r="NCE394" s="109"/>
      <c r="NCF394" s="104"/>
      <c r="NCG394" s="104"/>
      <c r="NCH394" s="119"/>
      <c r="NCI394" s="104"/>
      <c r="NCJ394" s="455"/>
      <c r="NCK394" s="104"/>
      <c r="NCL394" s="104"/>
      <c r="NCM394" s="109"/>
      <c r="NCN394" s="104"/>
      <c r="NCO394" s="104"/>
      <c r="NCP394" s="119"/>
      <c r="NCQ394" s="104"/>
      <c r="NCR394" s="455"/>
      <c r="NCS394" s="104"/>
      <c r="NCT394" s="104"/>
      <c r="NCU394" s="109"/>
      <c r="NCV394" s="104"/>
      <c r="NCW394" s="104"/>
      <c r="NCX394" s="119"/>
      <c r="NCY394" s="104"/>
      <c r="NCZ394" s="455"/>
      <c r="NDA394" s="104"/>
      <c r="NDB394" s="104"/>
      <c r="NDC394" s="109"/>
      <c r="NDD394" s="104"/>
      <c r="NDE394" s="104"/>
      <c r="NDF394" s="119"/>
      <c r="NDG394" s="104"/>
      <c r="NDH394" s="455"/>
      <c r="NDI394" s="104"/>
      <c r="NDJ394" s="104"/>
      <c r="NDK394" s="109"/>
      <c r="NDL394" s="104"/>
      <c r="NDM394" s="104"/>
      <c r="NDN394" s="119"/>
      <c r="NDO394" s="104"/>
      <c r="NDP394" s="455"/>
      <c r="NDQ394" s="104"/>
      <c r="NDR394" s="104"/>
      <c r="NDS394" s="109"/>
      <c r="NDT394" s="104"/>
      <c r="NDU394" s="104"/>
      <c r="NDV394" s="119"/>
      <c r="NDW394" s="104"/>
      <c r="NDX394" s="455"/>
      <c r="NDY394" s="104"/>
      <c r="NDZ394" s="104"/>
      <c r="NEA394" s="109"/>
      <c r="NEB394" s="104"/>
      <c r="NEC394" s="104"/>
      <c r="NED394" s="119"/>
      <c r="NEE394" s="104"/>
      <c r="NEF394" s="455"/>
      <c r="NEG394" s="104"/>
      <c r="NEH394" s="104"/>
      <c r="NEI394" s="109"/>
      <c r="NEJ394" s="104"/>
      <c r="NEK394" s="104"/>
      <c r="NEL394" s="119"/>
      <c r="NEM394" s="104"/>
      <c r="NEN394" s="455"/>
      <c r="NEO394" s="104"/>
      <c r="NEP394" s="104"/>
      <c r="NEQ394" s="109"/>
      <c r="NER394" s="104"/>
      <c r="NES394" s="104"/>
      <c r="NET394" s="119"/>
      <c r="NEU394" s="104"/>
      <c r="NEV394" s="455"/>
      <c r="NEW394" s="104"/>
      <c r="NEX394" s="104"/>
      <c r="NEY394" s="109"/>
      <c r="NEZ394" s="104"/>
      <c r="NFA394" s="104"/>
      <c r="NFB394" s="119"/>
      <c r="NFC394" s="104"/>
      <c r="NFD394" s="455"/>
      <c r="NFE394" s="104"/>
      <c r="NFF394" s="104"/>
      <c r="NFG394" s="109"/>
      <c r="NFH394" s="104"/>
      <c r="NFI394" s="104"/>
      <c r="NFJ394" s="119"/>
      <c r="NFK394" s="104"/>
      <c r="NFL394" s="455"/>
      <c r="NFM394" s="104"/>
      <c r="NFN394" s="104"/>
      <c r="NFO394" s="109"/>
      <c r="NFP394" s="104"/>
      <c r="NFQ394" s="104"/>
      <c r="NFR394" s="119"/>
      <c r="NFS394" s="104"/>
      <c r="NFT394" s="455"/>
      <c r="NFU394" s="104"/>
      <c r="NFV394" s="104"/>
      <c r="NFW394" s="109"/>
      <c r="NFX394" s="104"/>
      <c r="NFY394" s="104"/>
      <c r="NFZ394" s="119"/>
      <c r="NGA394" s="104"/>
      <c r="NGB394" s="455"/>
      <c r="NGC394" s="104"/>
      <c r="NGD394" s="104"/>
      <c r="NGE394" s="109"/>
      <c r="NGF394" s="104"/>
      <c r="NGG394" s="104"/>
      <c r="NGH394" s="119"/>
      <c r="NGI394" s="104"/>
      <c r="NGJ394" s="455"/>
      <c r="NGK394" s="104"/>
      <c r="NGL394" s="104"/>
      <c r="NGM394" s="109"/>
      <c r="NGN394" s="104"/>
      <c r="NGO394" s="104"/>
      <c r="NGP394" s="119"/>
      <c r="NGQ394" s="104"/>
      <c r="NGR394" s="455"/>
      <c r="NGS394" s="104"/>
      <c r="NGT394" s="104"/>
      <c r="NGU394" s="109"/>
      <c r="NGV394" s="104"/>
      <c r="NGW394" s="104"/>
      <c r="NGX394" s="119"/>
      <c r="NGY394" s="104"/>
      <c r="NGZ394" s="455"/>
      <c r="NHA394" s="104"/>
      <c r="NHB394" s="104"/>
      <c r="NHC394" s="109"/>
      <c r="NHD394" s="104"/>
      <c r="NHE394" s="104"/>
      <c r="NHF394" s="119"/>
      <c r="NHG394" s="104"/>
      <c r="NHH394" s="455"/>
      <c r="NHI394" s="104"/>
      <c r="NHJ394" s="104"/>
      <c r="NHK394" s="109"/>
      <c r="NHL394" s="104"/>
      <c r="NHM394" s="104"/>
      <c r="NHN394" s="119"/>
      <c r="NHO394" s="104"/>
      <c r="NHP394" s="455"/>
      <c r="NHQ394" s="104"/>
      <c r="NHR394" s="104"/>
      <c r="NHS394" s="109"/>
      <c r="NHT394" s="104"/>
      <c r="NHU394" s="104"/>
      <c r="NHV394" s="119"/>
      <c r="NHW394" s="104"/>
      <c r="NHX394" s="455"/>
      <c r="NHY394" s="104"/>
      <c r="NHZ394" s="104"/>
      <c r="NIA394" s="109"/>
      <c r="NIB394" s="104"/>
      <c r="NIC394" s="104"/>
      <c r="NID394" s="119"/>
      <c r="NIE394" s="104"/>
      <c r="NIF394" s="455"/>
      <c r="NIG394" s="104"/>
      <c r="NIH394" s="104"/>
      <c r="NII394" s="109"/>
      <c r="NIJ394" s="104"/>
      <c r="NIK394" s="104"/>
      <c r="NIL394" s="119"/>
      <c r="NIM394" s="104"/>
      <c r="NIN394" s="455"/>
      <c r="NIO394" s="104"/>
      <c r="NIP394" s="104"/>
      <c r="NIQ394" s="109"/>
      <c r="NIR394" s="104"/>
      <c r="NIS394" s="104"/>
      <c r="NIT394" s="119"/>
      <c r="NIU394" s="104"/>
      <c r="NIV394" s="455"/>
      <c r="NIW394" s="104"/>
      <c r="NIX394" s="104"/>
      <c r="NIY394" s="109"/>
      <c r="NIZ394" s="104"/>
      <c r="NJA394" s="104"/>
      <c r="NJB394" s="119"/>
      <c r="NJC394" s="104"/>
      <c r="NJD394" s="455"/>
      <c r="NJE394" s="104"/>
      <c r="NJF394" s="104"/>
      <c r="NJG394" s="109"/>
      <c r="NJH394" s="104"/>
      <c r="NJI394" s="104"/>
      <c r="NJJ394" s="119"/>
      <c r="NJK394" s="104"/>
      <c r="NJL394" s="455"/>
      <c r="NJM394" s="104"/>
      <c r="NJN394" s="104"/>
      <c r="NJO394" s="109"/>
      <c r="NJP394" s="104"/>
      <c r="NJQ394" s="104"/>
      <c r="NJR394" s="119"/>
      <c r="NJS394" s="104"/>
      <c r="NJT394" s="455"/>
      <c r="NJU394" s="104"/>
      <c r="NJV394" s="104"/>
      <c r="NJW394" s="109"/>
      <c r="NJX394" s="104"/>
      <c r="NJY394" s="104"/>
      <c r="NJZ394" s="119"/>
      <c r="NKA394" s="104"/>
      <c r="NKB394" s="455"/>
      <c r="NKC394" s="104"/>
      <c r="NKD394" s="104"/>
      <c r="NKE394" s="109"/>
      <c r="NKF394" s="104"/>
      <c r="NKG394" s="104"/>
      <c r="NKH394" s="119"/>
      <c r="NKI394" s="104"/>
      <c r="NKJ394" s="455"/>
      <c r="NKK394" s="104"/>
      <c r="NKL394" s="104"/>
      <c r="NKM394" s="109"/>
      <c r="NKN394" s="104"/>
      <c r="NKO394" s="104"/>
      <c r="NKP394" s="119"/>
      <c r="NKQ394" s="104"/>
      <c r="NKR394" s="455"/>
      <c r="NKS394" s="104"/>
      <c r="NKT394" s="104"/>
      <c r="NKU394" s="109"/>
      <c r="NKV394" s="104"/>
      <c r="NKW394" s="104"/>
      <c r="NKX394" s="119"/>
      <c r="NKY394" s="104"/>
      <c r="NKZ394" s="455"/>
      <c r="NLA394" s="104"/>
      <c r="NLB394" s="104"/>
      <c r="NLC394" s="109"/>
      <c r="NLD394" s="104"/>
      <c r="NLE394" s="104"/>
      <c r="NLF394" s="119"/>
      <c r="NLG394" s="104"/>
      <c r="NLH394" s="455"/>
      <c r="NLI394" s="104"/>
      <c r="NLJ394" s="104"/>
      <c r="NLK394" s="109"/>
      <c r="NLL394" s="104"/>
      <c r="NLM394" s="104"/>
      <c r="NLN394" s="119"/>
      <c r="NLO394" s="104"/>
      <c r="NLP394" s="455"/>
      <c r="NLQ394" s="104"/>
      <c r="NLR394" s="104"/>
      <c r="NLS394" s="109"/>
      <c r="NLT394" s="104"/>
      <c r="NLU394" s="104"/>
      <c r="NLV394" s="119"/>
      <c r="NLW394" s="104"/>
      <c r="NLX394" s="455"/>
      <c r="NLY394" s="104"/>
      <c r="NLZ394" s="104"/>
      <c r="NMA394" s="109"/>
      <c r="NMB394" s="104"/>
      <c r="NMC394" s="104"/>
      <c r="NMD394" s="119"/>
      <c r="NME394" s="104"/>
      <c r="NMF394" s="455"/>
      <c r="NMG394" s="104"/>
      <c r="NMH394" s="104"/>
      <c r="NMI394" s="109"/>
      <c r="NMJ394" s="104"/>
      <c r="NMK394" s="104"/>
      <c r="NML394" s="119"/>
      <c r="NMM394" s="104"/>
      <c r="NMN394" s="455"/>
      <c r="NMO394" s="104"/>
      <c r="NMP394" s="104"/>
      <c r="NMQ394" s="109"/>
      <c r="NMR394" s="104"/>
      <c r="NMS394" s="104"/>
      <c r="NMT394" s="119"/>
      <c r="NMU394" s="104"/>
      <c r="NMV394" s="455"/>
      <c r="NMW394" s="104"/>
      <c r="NMX394" s="104"/>
      <c r="NMY394" s="109"/>
      <c r="NMZ394" s="104"/>
      <c r="NNA394" s="104"/>
      <c r="NNB394" s="119"/>
      <c r="NNC394" s="104"/>
      <c r="NND394" s="455"/>
      <c r="NNE394" s="104"/>
      <c r="NNF394" s="104"/>
      <c r="NNG394" s="109"/>
      <c r="NNH394" s="104"/>
      <c r="NNI394" s="104"/>
      <c r="NNJ394" s="119"/>
      <c r="NNK394" s="104"/>
      <c r="NNL394" s="455"/>
      <c r="NNM394" s="104"/>
      <c r="NNN394" s="104"/>
      <c r="NNO394" s="109"/>
      <c r="NNP394" s="104"/>
      <c r="NNQ394" s="104"/>
      <c r="NNR394" s="119"/>
      <c r="NNS394" s="104"/>
      <c r="NNT394" s="455"/>
      <c r="NNU394" s="104"/>
      <c r="NNV394" s="104"/>
      <c r="NNW394" s="109"/>
      <c r="NNX394" s="104"/>
      <c r="NNY394" s="104"/>
      <c r="NNZ394" s="119"/>
      <c r="NOA394" s="104"/>
      <c r="NOB394" s="455"/>
      <c r="NOC394" s="104"/>
      <c r="NOD394" s="104"/>
      <c r="NOE394" s="109"/>
      <c r="NOF394" s="104"/>
      <c r="NOG394" s="104"/>
      <c r="NOH394" s="119"/>
      <c r="NOI394" s="104"/>
      <c r="NOJ394" s="455"/>
      <c r="NOK394" s="104"/>
      <c r="NOL394" s="104"/>
      <c r="NOM394" s="109"/>
      <c r="NON394" s="104"/>
      <c r="NOO394" s="104"/>
      <c r="NOP394" s="119"/>
      <c r="NOQ394" s="104"/>
      <c r="NOR394" s="455"/>
      <c r="NOS394" s="104"/>
      <c r="NOT394" s="104"/>
      <c r="NOU394" s="109"/>
      <c r="NOV394" s="104"/>
      <c r="NOW394" s="104"/>
      <c r="NOX394" s="119"/>
      <c r="NOY394" s="104"/>
      <c r="NOZ394" s="455"/>
      <c r="NPA394" s="104"/>
      <c r="NPB394" s="104"/>
      <c r="NPC394" s="109"/>
      <c r="NPD394" s="104"/>
      <c r="NPE394" s="104"/>
      <c r="NPF394" s="119"/>
      <c r="NPG394" s="104"/>
      <c r="NPH394" s="455"/>
      <c r="NPI394" s="104"/>
      <c r="NPJ394" s="104"/>
      <c r="NPK394" s="109"/>
      <c r="NPL394" s="104"/>
      <c r="NPM394" s="104"/>
      <c r="NPN394" s="119"/>
      <c r="NPO394" s="104"/>
      <c r="NPP394" s="455"/>
      <c r="NPQ394" s="104"/>
      <c r="NPR394" s="104"/>
      <c r="NPS394" s="109"/>
      <c r="NPT394" s="104"/>
      <c r="NPU394" s="104"/>
      <c r="NPV394" s="119"/>
      <c r="NPW394" s="104"/>
      <c r="NPX394" s="455"/>
      <c r="NPY394" s="104"/>
      <c r="NPZ394" s="104"/>
      <c r="NQA394" s="109"/>
      <c r="NQB394" s="104"/>
      <c r="NQC394" s="104"/>
      <c r="NQD394" s="119"/>
      <c r="NQE394" s="104"/>
      <c r="NQF394" s="455"/>
      <c r="NQG394" s="104"/>
      <c r="NQH394" s="104"/>
      <c r="NQI394" s="109"/>
      <c r="NQJ394" s="104"/>
      <c r="NQK394" s="104"/>
      <c r="NQL394" s="119"/>
      <c r="NQM394" s="104"/>
      <c r="NQN394" s="455"/>
      <c r="NQO394" s="104"/>
      <c r="NQP394" s="104"/>
      <c r="NQQ394" s="109"/>
      <c r="NQR394" s="104"/>
      <c r="NQS394" s="104"/>
      <c r="NQT394" s="119"/>
      <c r="NQU394" s="104"/>
      <c r="NQV394" s="455"/>
      <c r="NQW394" s="104"/>
      <c r="NQX394" s="104"/>
      <c r="NQY394" s="109"/>
      <c r="NQZ394" s="104"/>
      <c r="NRA394" s="104"/>
      <c r="NRB394" s="119"/>
      <c r="NRC394" s="104"/>
      <c r="NRD394" s="455"/>
      <c r="NRE394" s="104"/>
      <c r="NRF394" s="104"/>
      <c r="NRG394" s="109"/>
      <c r="NRH394" s="104"/>
      <c r="NRI394" s="104"/>
      <c r="NRJ394" s="119"/>
      <c r="NRK394" s="104"/>
      <c r="NRL394" s="455"/>
      <c r="NRM394" s="104"/>
      <c r="NRN394" s="104"/>
      <c r="NRO394" s="109"/>
      <c r="NRP394" s="104"/>
      <c r="NRQ394" s="104"/>
      <c r="NRR394" s="119"/>
      <c r="NRS394" s="104"/>
      <c r="NRT394" s="455"/>
      <c r="NRU394" s="104"/>
      <c r="NRV394" s="104"/>
      <c r="NRW394" s="109"/>
      <c r="NRX394" s="104"/>
      <c r="NRY394" s="104"/>
      <c r="NRZ394" s="119"/>
      <c r="NSA394" s="104"/>
      <c r="NSB394" s="455"/>
      <c r="NSC394" s="104"/>
      <c r="NSD394" s="104"/>
      <c r="NSE394" s="109"/>
      <c r="NSF394" s="104"/>
      <c r="NSG394" s="104"/>
      <c r="NSH394" s="119"/>
      <c r="NSI394" s="104"/>
      <c r="NSJ394" s="455"/>
      <c r="NSK394" s="104"/>
      <c r="NSL394" s="104"/>
      <c r="NSM394" s="109"/>
      <c r="NSN394" s="104"/>
      <c r="NSO394" s="104"/>
      <c r="NSP394" s="119"/>
      <c r="NSQ394" s="104"/>
      <c r="NSR394" s="455"/>
      <c r="NSS394" s="104"/>
      <c r="NST394" s="104"/>
      <c r="NSU394" s="109"/>
      <c r="NSV394" s="104"/>
      <c r="NSW394" s="104"/>
      <c r="NSX394" s="119"/>
      <c r="NSY394" s="104"/>
      <c r="NSZ394" s="455"/>
      <c r="NTA394" s="104"/>
      <c r="NTB394" s="104"/>
      <c r="NTC394" s="109"/>
      <c r="NTD394" s="104"/>
      <c r="NTE394" s="104"/>
      <c r="NTF394" s="119"/>
      <c r="NTG394" s="104"/>
      <c r="NTH394" s="455"/>
      <c r="NTI394" s="104"/>
      <c r="NTJ394" s="104"/>
      <c r="NTK394" s="109"/>
      <c r="NTL394" s="104"/>
      <c r="NTM394" s="104"/>
      <c r="NTN394" s="119"/>
      <c r="NTO394" s="104"/>
      <c r="NTP394" s="455"/>
      <c r="NTQ394" s="104"/>
      <c r="NTR394" s="104"/>
      <c r="NTS394" s="109"/>
      <c r="NTT394" s="104"/>
      <c r="NTU394" s="104"/>
      <c r="NTV394" s="119"/>
      <c r="NTW394" s="104"/>
      <c r="NTX394" s="455"/>
      <c r="NTY394" s="104"/>
      <c r="NTZ394" s="104"/>
      <c r="NUA394" s="109"/>
      <c r="NUB394" s="104"/>
      <c r="NUC394" s="104"/>
      <c r="NUD394" s="119"/>
      <c r="NUE394" s="104"/>
      <c r="NUF394" s="455"/>
      <c r="NUG394" s="104"/>
      <c r="NUH394" s="104"/>
      <c r="NUI394" s="109"/>
      <c r="NUJ394" s="104"/>
      <c r="NUK394" s="104"/>
      <c r="NUL394" s="119"/>
      <c r="NUM394" s="104"/>
      <c r="NUN394" s="455"/>
      <c r="NUO394" s="104"/>
      <c r="NUP394" s="104"/>
      <c r="NUQ394" s="109"/>
      <c r="NUR394" s="104"/>
      <c r="NUS394" s="104"/>
      <c r="NUT394" s="119"/>
      <c r="NUU394" s="104"/>
      <c r="NUV394" s="455"/>
      <c r="NUW394" s="104"/>
      <c r="NUX394" s="104"/>
      <c r="NUY394" s="109"/>
      <c r="NUZ394" s="104"/>
      <c r="NVA394" s="104"/>
      <c r="NVB394" s="119"/>
      <c r="NVC394" s="104"/>
      <c r="NVD394" s="455"/>
      <c r="NVE394" s="104"/>
      <c r="NVF394" s="104"/>
      <c r="NVG394" s="109"/>
      <c r="NVH394" s="104"/>
      <c r="NVI394" s="104"/>
      <c r="NVJ394" s="119"/>
      <c r="NVK394" s="104"/>
      <c r="NVL394" s="455"/>
      <c r="NVM394" s="104"/>
      <c r="NVN394" s="104"/>
      <c r="NVO394" s="109"/>
      <c r="NVP394" s="104"/>
      <c r="NVQ394" s="104"/>
      <c r="NVR394" s="119"/>
      <c r="NVS394" s="104"/>
      <c r="NVT394" s="455"/>
      <c r="NVU394" s="104"/>
      <c r="NVV394" s="104"/>
      <c r="NVW394" s="109"/>
      <c r="NVX394" s="104"/>
      <c r="NVY394" s="104"/>
      <c r="NVZ394" s="119"/>
      <c r="NWA394" s="104"/>
      <c r="NWB394" s="455"/>
      <c r="NWC394" s="104"/>
      <c r="NWD394" s="104"/>
      <c r="NWE394" s="109"/>
      <c r="NWF394" s="104"/>
      <c r="NWG394" s="104"/>
      <c r="NWH394" s="119"/>
      <c r="NWI394" s="104"/>
      <c r="NWJ394" s="455"/>
      <c r="NWK394" s="104"/>
      <c r="NWL394" s="104"/>
      <c r="NWM394" s="109"/>
      <c r="NWN394" s="104"/>
      <c r="NWO394" s="104"/>
      <c r="NWP394" s="119"/>
      <c r="NWQ394" s="104"/>
      <c r="NWR394" s="455"/>
      <c r="NWS394" s="104"/>
      <c r="NWT394" s="104"/>
      <c r="NWU394" s="109"/>
      <c r="NWV394" s="104"/>
      <c r="NWW394" s="104"/>
      <c r="NWX394" s="119"/>
      <c r="NWY394" s="104"/>
      <c r="NWZ394" s="455"/>
      <c r="NXA394" s="104"/>
      <c r="NXB394" s="104"/>
      <c r="NXC394" s="109"/>
      <c r="NXD394" s="104"/>
      <c r="NXE394" s="104"/>
      <c r="NXF394" s="119"/>
      <c r="NXG394" s="104"/>
      <c r="NXH394" s="455"/>
      <c r="NXI394" s="104"/>
      <c r="NXJ394" s="104"/>
      <c r="NXK394" s="109"/>
      <c r="NXL394" s="104"/>
      <c r="NXM394" s="104"/>
      <c r="NXN394" s="119"/>
      <c r="NXO394" s="104"/>
      <c r="NXP394" s="455"/>
      <c r="NXQ394" s="104"/>
      <c r="NXR394" s="104"/>
      <c r="NXS394" s="109"/>
      <c r="NXT394" s="104"/>
      <c r="NXU394" s="104"/>
      <c r="NXV394" s="119"/>
      <c r="NXW394" s="104"/>
      <c r="NXX394" s="455"/>
      <c r="NXY394" s="104"/>
      <c r="NXZ394" s="104"/>
      <c r="NYA394" s="109"/>
      <c r="NYB394" s="104"/>
      <c r="NYC394" s="104"/>
      <c r="NYD394" s="119"/>
      <c r="NYE394" s="104"/>
      <c r="NYF394" s="455"/>
      <c r="NYG394" s="104"/>
      <c r="NYH394" s="104"/>
      <c r="NYI394" s="109"/>
      <c r="NYJ394" s="104"/>
      <c r="NYK394" s="104"/>
      <c r="NYL394" s="119"/>
      <c r="NYM394" s="104"/>
      <c r="NYN394" s="455"/>
      <c r="NYO394" s="104"/>
      <c r="NYP394" s="104"/>
      <c r="NYQ394" s="109"/>
      <c r="NYR394" s="104"/>
      <c r="NYS394" s="104"/>
      <c r="NYT394" s="119"/>
      <c r="NYU394" s="104"/>
      <c r="NYV394" s="455"/>
      <c r="NYW394" s="104"/>
      <c r="NYX394" s="104"/>
      <c r="NYY394" s="109"/>
      <c r="NYZ394" s="104"/>
      <c r="NZA394" s="104"/>
      <c r="NZB394" s="119"/>
      <c r="NZC394" s="104"/>
      <c r="NZD394" s="455"/>
      <c r="NZE394" s="104"/>
      <c r="NZF394" s="104"/>
      <c r="NZG394" s="109"/>
      <c r="NZH394" s="104"/>
      <c r="NZI394" s="104"/>
      <c r="NZJ394" s="119"/>
      <c r="NZK394" s="104"/>
      <c r="NZL394" s="455"/>
      <c r="NZM394" s="104"/>
      <c r="NZN394" s="104"/>
      <c r="NZO394" s="109"/>
      <c r="NZP394" s="104"/>
      <c r="NZQ394" s="104"/>
      <c r="NZR394" s="119"/>
      <c r="NZS394" s="104"/>
      <c r="NZT394" s="455"/>
      <c r="NZU394" s="104"/>
      <c r="NZV394" s="104"/>
      <c r="NZW394" s="109"/>
      <c r="NZX394" s="104"/>
      <c r="NZY394" s="104"/>
      <c r="NZZ394" s="119"/>
      <c r="OAA394" s="104"/>
      <c r="OAB394" s="455"/>
      <c r="OAC394" s="104"/>
      <c r="OAD394" s="104"/>
      <c r="OAE394" s="109"/>
      <c r="OAF394" s="104"/>
      <c r="OAG394" s="104"/>
      <c r="OAH394" s="119"/>
      <c r="OAI394" s="104"/>
      <c r="OAJ394" s="455"/>
      <c r="OAK394" s="104"/>
      <c r="OAL394" s="104"/>
      <c r="OAM394" s="109"/>
      <c r="OAN394" s="104"/>
      <c r="OAO394" s="104"/>
      <c r="OAP394" s="119"/>
      <c r="OAQ394" s="104"/>
      <c r="OAR394" s="455"/>
      <c r="OAS394" s="104"/>
      <c r="OAT394" s="104"/>
      <c r="OAU394" s="109"/>
      <c r="OAV394" s="104"/>
      <c r="OAW394" s="104"/>
      <c r="OAX394" s="119"/>
      <c r="OAY394" s="104"/>
      <c r="OAZ394" s="455"/>
      <c r="OBA394" s="104"/>
      <c r="OBB394" s="104"/>
      <c r="OBC394" s="109"/>
      <c r="OBD394" s="104"/>
      <c r="OBE394" s="104"/>
      <c r="OBF394" s="119"/>
      <c r="OBG394" s="104"/>
      <c r="OBH394" s="455"/>
      <c r="OBI394" s="104"/>
      <c r="OBJ394" s="104"/>
      <c r="OBK394" s="109"/>
      <c r="OBL394" s="104"/>
      <c r="OBM394" s="104"/>
      <c r="OBN394" s="119"/>
      <c r="OBO394" s="104"/>
      <c r="OBP394" s="455"/>
      <c r="OBQ394" s="104"/>
      <c r="OBR394" s="104"/>
      <c r="OBS394" s="109"/>
      <c r="OBT394" s="104"/>
      <c r="OBU394" s="104"/>
      <c r="OBV394" s="119"/>
      <c r="OBW394" s="104"/>
      <c r="OBX394" s="455"/>
      <c r="OBY394" s="104"/>
      <c r="OBZ394" s="104"/>
      <c r="OCA394" s="109"/>
      <c r="OCB394" s="104"/>
      <c r="OCC394" s="104"/>
      <c r="OCD394" s="119"/>
      <c r="OCE394" s="104"/>
      <c r="OCF394" s="455"/>
      <c r="OCG394" s="104"/>
      <c r="OCH394" s="104"/>
      <c r="OCI394" s="109"/>
      <c r="OCJ394" s="104"/>
      <c r="OCK394" s="104"/>
      <c r="OCL394" s="119"/>
      <c r="OCM394" s="104"/>
      <c r="OCN394" s="455"/>
      <c r="OCO394" s="104"/>
      <c r="OCP394" s="104"/>
      <c r="OCQ394" s="109"/>
      <c r="OCR394" s="104"/>
      <c r="OCS394" s="104"/>
      <c r="OCT394" s="119"/>
      <c r="OCU394" s="104"/>
      <c r="OCV394" s="455"/>
      <c r="OCW394" s="104"/>
      <c r="OCX394" s="104"/>
      <c r="OCY394" s="109"/>
      <c r="OCZ394" s="104"/>
      <c r="ODA394" s="104"/>
      <c r="ODB394" s="119"/>
      <c r="ODC394" s="104"/>
      <c r="ODD394" s="455"/>
      <c r="ODE394" s="104"/>
      <c r="ODF394" s="104"/>
      <c r="ODG394" s="109"/>
      <c r="ODH394" s="104"/>
      <c r="ODI394" s="104"/>
      <c r="ODJ394" s="119"/>
      <c r="ODK394" s="104"/>
      <c r="ODL394" s="455"/>
      <c r="ODM394" s="104"/>
      <c r="ODN394" s="104"/>
      <c r="ODO394" s="109"/>
      <c r="ODP394" s="104"/>
      <c r="ODQ394" s="104"/>
      <c r="ODR394" s="119"/>
      <c r="ODS394" s="104"/>
      <c r="ODT394" s="455"/>
      <c r="ODU394" s="104"/>
      <c r="ODV394" s="104"/>
      <c r="ODW394" s="109"/>
      <c r="ODX394" s="104"/>
      <c r="ODY394" s="104"/>
      <c r="ODZ394" s="119"/>
      <c r="OEA394" s="104"/>
      <c r="OEB394" s="455"/>
      <c r="OEC394" s="104"/>
      <c r="OED394" s="104"/>
      <c r="OEE394" s="109"/>
      <c r="OEF394" s="104"/>
      <c r="OEG394" s="104"/>
      <c r="OEH394" s="119"/>
      <c r="OEI394" s="104"/>
      <c r="OEJ394" s="455"/>
      <c r="OEK394" s="104"/>
      <c r="OEL394" s="104"/>
      <c r="OEM394" s="109"/>
      <c r="OEN394" s="104"/>
      <c r="OEO394" s="104"/>
      <c r="OEP394" s="119"/>
      <c r="OEQ394" s="104"/>
      <c r="OER394" s="455"/>
      <c r="OES394" s="104"/>
      <c r="OET394" s="104"/>
      <c r="OEU394" s="109"/>
      <c r="OEV394" s="104"/>
      <c r="OEW394" s="104"/>
      <c r="OEX394" s="119"/>
      <c r="OEY394" s="104"/>
      <c r="OEZ394" s="455"/>
      <c r="OFA394" s="104"/>
      <c r="OFB394" s="104"/>
      <c r="OFC394" s="109"/>
      <c r="OFD394" s="104"/>
      <c r="OFE394" s="104"/>
      <c r="OFF394" s="119"/>
      <c r="OFG394" s="104"/>
      <c r="OFH394" s="455"/>
      <c r="OFI394" s="104"/>
      <c r="OFJ394" s="104"/>
      <c r="OFK394" s="109"/>
      <c r="OFL394" s="104"/>
      <c r="OFM394" s="104"/>
      <c r="OFN394" s="119"/>
      <c r="OFO394" s="104"/>
      <c r="OFP394" s="455"/>
      <c r="OFQ394" s="104"/>
      <c r="OFR394" s="104"/>
      <c r="OFS394" s="109"/>
      <c r="OFT394" s="104"/>
      <c r="OFU394" s="104"/>
      <c r="OFV394" s="119"/>
      <c r="OFW394" s="104"/>
      <c r="OFX394" s="455"/>
      <c r="OFY394" s="104"/>
      <c r="OFZ394" s="104"/>
      <c r="OGA394" s="109"/>
      <c r="OGB394" s="104"/>
      <c r="OGC394" s="104"/>
      <c r="OGD394" s="119"/>
      <c r="OGE394" s="104"/>
      <c r="OGF394" s="455"/>
      <c r="OGG394" s="104"/>
      <c r="OGH394" s="104"/>
      <c r="OGI394" s="109"/>
      <c r="OGJ394" s="104"/>
      <c r="OGK394" s="104"/>
      <c r="OGL394" s="119"/>
      <c r="OGM394" s="104"/>
      <c r="OGN394" s="455"/>
      <c r="OGO394" s="104"/>
      <c r="OGP394" s="104"/>
      <c r="OGQ394" s="109"/>
      <c r="OGR394" s="104"/>
      <c r="OGS394" s="104"/>
      <c r="OGT394" s="119"/>
      <c r="OGU394" s="104"/>
      <c r="OGV394" s="455"/>
      <c r="OGW394" s="104"/>
      <c r="OGX394" s="104"/>
      <c r="OGY394" s="109"/>
      <c r="OGZ394" s="104"/>
      <c r="OHA394" s="104"/>
      <c r="OHB394" s="119"/>
      <c r="OHC394" s="104"/>
      <c r="OHD394" s="455"/>
      <c r="OHE394" s="104"/>
      <c r="OHF394" s="104"/>
      <c r="OHG394" s="109"/>
      <c r="OHH394" s="104"/>
      <c r="OHI394" s="104"/>
      <c r="OHJ394" s="119"/>
      <c r="OHK394" s="104"/>
      <c r="OHL394" s="455"/>
      <c r="OHM394" s="104"/>
      <c r="OHN394" s="104"/>
      <c r="OHO394" s="109"/>
      <c r="OHP394" s="104"/>
      <c r="OHQ394" s="104"/>
      <c r="OHR394" s="119"/>
      <c r="OHS394" s="104"/>
      <c r="OHT394" s="455"/>
      <c r="OHU394" s="104"/>
      <c r="OHV394" s="104"/>
      <c r="OHW394" s="109"/>
      <c r="OHX394" s="104"/>
      <c r="OHY394" s="104"/>
      <c r="OHZ394" s="119"/>
      <c r="OIA394" s="104"/>
      <c r="OIB394" s="455"/>
      <c r="OIC394" s="104"/>
      <c r="OID394" s="104"/>
      <c r="OIE394" s="109"/>
      <c r="OIF394" s="104"/>
      <c r="OIG394" s="104"/>
      <c r="OIH394" s="119"/>
      <c r="OII394" s="104"/>
      <c r="OIJ394" s="455"/>
      <c r="OIK394" s="104"/>
      <c r="OIL394" s="104"/>
      <c r="OIM394" s="109"/>
      <c r="OIN394" s="104"/>
      <c r="OIO394" s="104"/>
      <c r="OIP394" s="119"/>
      <c r="OIQ394" s="104"/>
      <c r="OIR394" s="455"/>
      <c r="OIS394" s="104"/>
      <c r="OIT394" s="104"/>
      <c r="OIU394" s="109"/>
      <c r="OIV394" s="104"/>
      <c r="OIW394" s="104"/>
      <c r="OIX394" s="119"/>
      <c r="OIY394" s="104"/>
      <c r="OIZ394" s="455"/>
      <c r="OJA394" s="104"/>
      <c r="OJB394" s="104"/>
      <c r="OJC394" s="109"/>
      <c r="OJD394" s="104"/>
      <c r="OJE394" s="104"/>
      <c r="OJF394" s="119"/>
      <c r="OJG394" s="104"/>
      <c r="OJH394" s="455"/>
      <c r="OJI394" s="104"/>
      <c r="OJJ394" s="104"/>
      <c r="OJK394" s="109"/>
      <c r="OJL394" s="104"/>
      <c r="OJM394" s="104"/>
      <c r="OJN394" s="119"/>
      <c r="OJO394" s="104"/>
      <c r="OJP394" s="455"/>
      <c r="OJQ394" s="104"/>
      <c r="OJR394" s="104"/>
      <c r="OJS394" s="109"/>
      <c r="OJT394" s="104"/>
      <c r="OJU394" s="104"/>
      <c r="OJV394" s="119"/>
      <c r="OJW394" s="104"/>
      <c r="OJX394" s="455"/>
      <c r="OJY394" s="104"/>
      <c r="OJZ394" s="104"/>
      <c r="OKA394" s="109"/>
      <c r="OKB394" s="104"/>
      <c r="OKC394" s="104"/>
      <c r="OKD394" s="119"/>
      <c r="OKE394" s="104"/>
      <c r="OKF394" s="455"/>
      <c r="OKG394" s="104"/>
      <c r="OKH394" s="104"/>
      <c r="OKI394" s="109"/>
      <c r="OKJ394" s="104"/>
      <c r="OKK394" s="104"/>
      <c r="OKL394" s="119"/>
      <c r="OKM394" s="104"/>
      <c r="OKN394" s="455"/>
      <c r="OKO394" s="104"/>
      <c r="OKP394" s="104"/>
      <c r="OKQ394" s="109"/>
      <c r="OKR394" s="104"/>
      <c r="OKS394" s="104"/>
      <c r="OKT394" s="119"/>
      <c r="OKU394" s="104"/>
      <c r="OKV394" s="455"/>
      <c r="OKW394" s="104"/>
      <c r="OKX394" s="104"/>
      <c r="OKY394" s="109"/>
      <c r="OKZ394" s="104"/>
      <c r="OLA394" s="104"/>
      <c r="OLB394" s="119"/>
      <c r="OLC394" s="104"/>
      <c r="OLD394" s="455"/>
      <c r="OLE394" s="104"/>
      <c r="OLF394" s="104"/>
      <c r="OLG394" s="109"/>
      <c r="OLH394" s="104"/>
      <c r="OLI394" s="104"/>
      <c r="OLJ394" s="119"/>
      <c r="OLK394" s="104"/>
      <c r="OLL394" s="455"/>
      <c r="OLM394" s="104"/>
      <c r="OLN394" s="104"/>
      <c r="OLO394" s="109"/>
      <c r="OLP394" s="104"/>
      <c r="OLQ394" s="104"/>
      <c r="OLR394" s="119"/>
      <c r="OLS394" s="104"/>
      <c r="OLT394" s="455"/>
      <c r="OLU394" s="104"/>
      <c r="OLV394" s="104"/>
      <c r="OLW394" s="109"/>
      <c r="OLX394" s="104"/>
      <c r="OLY394" s="104"/>
      <c r="OLZ394" s="119"/>
      <c r="OMA394" s="104"/>
      <c r="OMB394" s="455"/>
      <c r="OMC394" s="104"/>
      <c r="OMD394" s="104"/>
      <c r="OME394" s="109"/>
      <c r="OMF394" s="104"/>
      <c r="OMG394" s="104"/>
      <c r="OMH394" s="119"/>
      <c r="OMI394" s="104"/>
      <c r="OMJ394" s="455"/>
      <c r="OMK394" s="104"/>
      <c r="OML394" s="104"/>
      <c r="OMM394" s="109"/>
      <c r="OMN394" s="104"/>
      <c r="OMO394" s="104"/>
      <c r="OMP394" s="119"/>
      <c r="OMQ394" s="104"/>
      <c r="OMR394" s="455"/>
      <c r="OMS394" s="104"/>
      <c r="OMT394" s="104"/>
      <c r="OMU394" s="109"/>
      <c r="OMV394" s="104"/>
      <c r="OMW394" s="104"/>
      <c r="OMX394" s="119"/>
      <c r="OMY394" s="104"/>
      <c r="OMZ394" s="455"/>
      <c r="ONA394" s="104"/>
      <c r="ONB394" s="104"/>
      <c r="ONC394" s="109"/>
      <c r="OND394" s="104"/>
      <c r="ONE394" s="104"/>
      <c r="ONF394" s="119"/>
      <c r="ONG394" s="104"/>
      <c r="ONH394" s="455"/>
      <c r="ONI394" s="104"/>
      <c r="ONJ394" s="104"/>
      <c r="ONK394" s="109"/>
      <c r="ONL394" s="104"/>
      <c r="ONM394" s="104"/>
      <c r="ONN394" s="119"/>
      <c r="ONO394" s="104"/>
      <c r="ONP394" s="455"/>
      <c r="ONQ394" s="104"/>
      <c r="ONR394" s="104"/>
      <c r="ONS394" s="109"/>
      <c r="ONT394" s="104"/>
      <c r="ONU394" s="104"/>
      <c r="ONV394" s="119"/>
      <c r="ONW394" s="104"/>
      <c r="ONX394" s="455"/>
      <c r="ONY394" s="104"/>
      <c r="ONZ394" s="104"/>
      <c r="OOA394" s="109"/>
      <c r="OOB394" s="104"/>
      <c r="OOC394" s="104"/>
      <c r="OOD394" s="119"/>
      <c r="OOE394" s="104"/>
      <c r="OOF394" s="455"/>
      <c r="OOG394" s="104"/>
      <c r="OOH394" s="104"/>
      <c r="OOI394" s="109"/>
      <c r="OOJ394" s="104"/>
      <c r="OOK394" s="104"/>
      <c r="OOL394" s="119"/>
      <c r="OOM394" s="104"/>
      <c r="OON394" s="455"/>
      <c r="OOO394" s="104"/>
      <c r="OOP394" s="104"/>
      <c r="OOQ394" s="109"/>
      <c r="OOR394" s="104"/>
      <c r="OOS394" s="104"/>
      <c r="OOT394" s="119"/>
      <c r="OOU394" s="104"/>
      <c r="OOV394" s="455"/>
      <c r="OOW394" s="104"/>
      <c r="OOX394" s="104"/>
      <c r="OOY394" s="109"/>
      <c r="OOZ394" s="104"/>
      <c r="OPA394" s="104"/>
      <c r="OPB394" s="119"/>
      <c r="OPC394" s="104"/>
      <c r="OPD394" s="455"/>
      <c r="OPE394" s="104"/>
      <c r="OPF394" s="104"/>
      <c r="OPG394" s="109"/>
      <c r="OPH394" s="104"/>
      <c r="OPI394" s="104"/>
      <c r="OPJ394" s="119"/>
      <c r="OPK394" s="104"/>
      <c r="OPL394" s="455"/>
      <c r="OPM394" s="104"/>
      <c r="OPN394" s="104"/>
      <c r="OPO394" s="109"/>
      <c r="OPP394" s="104"/>
      <c r="OPQ394" s="104"/>
      <c r="OPR394" s="119"/>
      <c r="OPS394" s="104"/>
      <c r="OPT394" s="455"/>
      <c r="OPU394" s="104"/>
      <c r="OPV394" s="104"/>
      <c r="OPW394" s="109"/>
      <c r="OPX394" s="104"/>
      <c r="OPY394" s="104"/>
      <c r="OPZ394" s="119"/>
      <c r="OQA394" s="104"/>
      <c r="OQB394" s="455"/>
      <c r="OQC394" s="104"/>
      <c r="OQD394" s="104"/>
      <c r="OQE394" s="109"/>
      <c r="OQF394" s="104"/>
      <c r="OQG394" s="104"/>
      <c r="OQH394" s="119"/>
      <c r="OQI394" s="104"/>
      <c r="OQJ394" s="455"/>
      <c r="OQK394" s="104"/>
      <c r="OQL394" s="104"/>
      <c r="OQM394" s="109"/>
      <c r="OQN394" s="104"/>
      <c r="OQO394" s="104"/>
      <c r="OQP394" s="119"/>
      <c r="OQQ394" s="104"/>
      <c r="OQR394" s="455"/>
      <c r="OQS394" s="104"/>
      <c r="OQT394" s="104"/>
      <c r="OQU394" s="109"/>
      <c r="OQV394" s="104"/>
      <c r="OQW394" s="104"/>
      <c r="OQX394" s="119"/>
      <c r="OQY394" s="104"/>
      <c r="OQZ394" s="455"/>
      <c r="ORA394" s="104"/>
      <c r="ORB394" s="104"/>
      <c r="ORC394" s="109"/>
      <c r="ORD394" s="104"/>
      <c r="ORE394" s="104"/>
      <c r="ORF394" s="119"/>
      <c r="ORG394" s="104"/>
      <c r="ORH394" s="455"/>
      <c r="ORI394" s="104"/>
      <c r="ORJ394" s="104"/>
      <c r="ORK394" s="109"/>
      <c r="ORL394" s="104"/>
      <c r="ORM394" s="104"/>
      <c r="ORN394" s="119"/>
      <c r="ORO394" s="104"/>
      <c r="ORP394" s="455"/>
      <c r="ORQ394" s="104"/>
      <c r="ORR394" s="104"/>
      <c r="ORS394" s="109"/>
      <c r="ORT394" s="104"/>
      <c r="ORU394" s="104"/>
      <c r="ORV394" s="119"/>
      <c r="ORW394" s="104"/>
      <c r="ORX394" s="455"/>
      <c r="ORY394" s="104"/>
      <c r="ORZ394" s="104"/>
      <c r="OSA394" s="109"/>
      <c r="OSB394" s="104"/>
      <c r="OSC394" s="104"/>
      <c r="OSD394" s="119"/>
      <c r="OSE394" s="104"/>
      <c r="OSF394" s="455"/>
      <c r="OSG394" s="104"/>
      <c r="OSH394" s="104"/>
      <c r="OSI394" s="109"/>
      <c r="OSJ394" s="104"/>
      <c r="OSK394" s="104"/>
      <c r="OSL394" s="119"/>
      <c r="OSM394" s="104"/>
      <c r="OSN394" s="455"/>
      <c r="OSO394" s="104"/>
      <c r="OSP394" s="104"/>
      <c r="OSQ394" s="109"/>
      <c r="OSR394" s="104"/>
      <c r="OSS394" s="104"/>
      <c r="OST394" s="119"/>
      <c r="OSU394" s="104"/>
      <c r="OSV394" s="455"/>
      <c r="OSW394" s="104"/>
      <c r="OSX394" s="104"/>
      <c r="OSY394" s="109"/>
      <c r="OSZ394" s="104"/>
      <c r="OTA394" s="104"/>
      <c r="OTB394" s="119"/>
      <c r="OTC394" s="104"/>
      <c r="OTD394" s="455"/>
      <c r="OTE394" s="104"/>
      <c r="OTF394" s="104"/>
      <c r="OTG394" s="109"/>
      <c r="OTH394" s="104"/>
      <c r="OTI394" s="104"/>
      <c r="OTJ394" s="119"/>
      <c r="OTK394" s="104"/>
      <c r="OTL394" s="455"/>
      <c r="OTM394" s="104"/>
      <c r="OTN394" s="104"/>
      <c r="OTO394" s="109"/>
      <c r="OTP394" s="104"/>
      <c r="OTQ394" s="104"/>
      <c r="OTR394" s="119"/>
      <c r="OTS394" s="104"/>
      <c r="OTT394" s="455"/>
      <c r="OTU394" s="104"/>
      <c r="OTV394" s="104"/>
      <c r="OTW394" s="109"/>
      <c r="OTX394" s="104"/>
      <c r="OTY394" s="104"/>
      <c r="OTZ394" s="119"/>
      <c r="OUA394" s="104"/>
      <c r="OUB394" s="455"/>
      <c r="OUC394" s="104"/>
      <c r="OUD394" s="104"/>
      <c r="OUE394" s="109"/>
      <c r="OUF394" s="104"/>
      <c r="OUG394" s="104"/>
      <c r="OUH394" s="119"/>
      <c r="OUI394" s="104"/>
      <c r="OUJ394" s="455"/>
      <c r="OUK394" s="104"/>
      <c r="OUL394" s="104"/>
      <c r="OUM394" s="109"/>
      <c r="OUN394" s="104"/>
      <c r="OUO394" s="104"/>
      <c r="OUP394" s="119"/>
      <c r="OUQ394" s="104"/>
      <c r="OUR394" s="455"/>
      <c r="OUS394" s="104"/>
      <c r="OUT394" s="104"/>
      <c r="OUU394" s="109"/>
      <c r="OUV394" s="104"/>
      <c r="OUW394" s="104"/>
      <c r="OUX394" s="119"/>
      <c r="OUY394" s="104"/>
      <c r="OUZ394" s="455"/>
      <c r="OVA394" s="104"/>
      <c r="OVB394" s="104"/>
      <c r="OVC394" s="109"/>
      <c r="OVD394" s="104"/>
      <c r="OVE394" s="104"/>
      <c r="OVF394" s="119"/>
      <c r="OVG394" s="104"/>
      <c r="OVH394" s="455"/>
      <c r="OVI394" s="104"/>
      <c r="OVJ394" s="104"/>
      <c r="OVK394" s="109"/>
      <c r="OVL394" s="104"/>
      <c r="OVM394" s="104"/>
      <c r="OVN394" s="119"/>
      <c r="OVO394" s="104"/>
      <c r="OVP394" s="455"/>
      <c r="OVQ394" s="104"/>
      <c r="OVR394" s="104"/>
      <c r="OVS394" s="109"/>
      <c r="OVT394" s="104"/>
      <c r="OVU394" s="104"/>
      <c r="OVV394" s="119"/>
      <c r="OVW394" s="104"/>
      <c r="OVX394" s="455"/>
      <c r="OVY394" s="104"/>
      <c r="OVZ394" s="104"/>
      <c r="OWA394" s="109"/>
      <c r="OWB394" s="104"/>
      <c r="OWC394" s="104"/>
      <c r="OWD394" s="119"/>
      <c r="OWE394" s="104"/>
      <c r="OWF394" s="455"/>
      <c r="OWG394" s="104"/>
      <c r="OWH394" s="104"/>
      <c r="OWI394" s="109"/>
      <c r="OWJ394" s="104"/>
      <c r="OWK394" s="104"/>
      <c r="OWL394" s="119"/>
      <c r="OWM394" s="104"/>
      <c r="OWN394" s="455"/>
      <c r="OWO394" s="104"/>
      <c r="OWP394" s="104"/>
      <c r="OWQ394" s="109"/>
      <c r="OWR394" s="104"/>
      <c r="OWS394" s="104"/>
      <c r="OWT394" s="119"/>
      <c r="OWU394" s="104"/>
      <c r="OWV394" s="455"/>
      <c r="OWW394" s="104"/>
      <c r="OWX394" s="104"/>
      <c r="OWY394" s="109"/>
      <c r="OWZ394" s="104"/>
      <c r="OXA394" s="104"/>
      <c r="OXB394" s="119"/>
      <c r="OXC394" s="104"/>
      <c r="OXD394" s="455"/>
      <c r="OXE394" s="104"/>
      <c r="OXF394" s="104"/>
      <c r="OXG394" s="109"/>
      <c r="OXH394" s="104"/>
      <c r="OXI394" s="104"/>
      <c r="OXJ394" s="119"/>
      <c r="OXK394" s="104"/>
      <c r="OXL394" s="455"/>
      <c r="OXM394" s="104"/>
      <c r="OXN394" s="104"/>
      <c r="OXO394" s="109"/>
      <c r="OXP394" s="104"/>
      <c r="OXQ394" s="104"/>
      <c r="OXR394" s="119"/>
      <c r="OXS394" s="104"/>
      <c r="OXT394" s="455"/>
      <c r="OXU394" s="104"/>
      <c r="OXV394" s="104"/>
      <c r="OXW394" s="109"/>
      <c r="OXX394" s="104"/>
      <c r="OXY394" s="104"/>
      <c r="OXZ394" s="119"/>
      <c r="OYA394" s="104"/>
      <c r="OYB394" s="455"/>
      <c r="OYC394" s="104"/>
      <c r="OYD394" s="104"/>
      <c r="OYE394" s="109"/>
      <c r="OYF394" s="104"/>
      <c r="OYG394" s="104"/>
      <c r="OYH394" s="119"/>
      <c r="OYI394" s="104"/>
      <c r="OYJ394" s="455"/>
      <c r="OYK394" s="104"/>
      <c r="OYL394" s="104"/>
      <c r="OYM394" s="109"/>
      <c r="OYN394" s="104"/>
      <c r="OYO394" s="104"/>
      <c r="OYP394" s="119"/>
      <c r="OYQ394" s="104"/>
      <c r="OYR394" s="455"/>
      <c r="OYS394" s="104"/>
      <c r="OYT394" s="104"/>
      <c r="OYU394" s="109"/>
      <c r="OYV394" s="104"/>
      <c r="OYW394" s="104"/>
      <c r="OYX394" s="119"/>
      <c r="OYY394" s="104"/>
      <c r="OYZ394" s="455"/>
      <c r="OZA394" s="104"/>
      <c r="OZB394" s="104"/>
      <c r="OZC394" s="109"/>
      <c r="OZD394" s="104"/>
      <c r="OZE394" s="104"/>
      <c r="OZF394" s="119"/>
      <c r="OZG394" s="104"/>
      <c r="OZH394" s="455"/>
      <c r="OZI394" s="104"/>
      <c r="OZJ394" s="104"/>
      <c r="OZK394" s="109"/>
      <c r="OZL394" s="104"/>
      <c r="OZM394" s="104"/>
      <c r="OZN394" s="119"/>
      <c r="OZO394" s="104"/>
      <c r="OZP394" s="455"/>
      <c r="OZQ394" s="104"/>
      <c r="OZR394" s="104"/>
      <c r="OZS394" s="109"/>
      <c r="OZT394" s="104"/>
      <c r="OZU394" s="104"/>
      <c r="OZV394" s="119"/>
      <c r="OZW394" s="104"/>
      <c r="OZX394" s="455"/>
      <c r="OZY394" s="104"/>
      <c r="OZZ394" s="104"/>
      <c r="PAA394" s="109"/>
      <c r="PAB394" s="104"/>
      <c r="PAC394" s="104"/>
      <c r="PAD394" s="119"/>
      <c r="PAE394" s="104"/>
      <c r="PAF394" s="455"/>
      <c r="PAG394" s="104"/>
      <c r="PAH394" s="104"/>
      <c r="PAI394" s="109"/>
      <c r="PAJ394" s="104"/>
      <c r="PAK394" s="104"/>
      <c r="PAL394" s="119"/>
      <c r="PAM394" s="104"/>
      <c r="PAN394" s="455"/>
      <c r="PAO394" s="104"/>
      <c r="PAP394" s="104"/>
      <c r="PAQ394" s="109"/>
      <c r="PAR394" s="104"/>
      <c r="PAS394" s="104"/>
      <c r="PAT394" s="119"/>
      <c r="PAU394" s="104"/>
      <c r="PAV394" s="455"/>
      <c r="PAW394" s="104"/>
      <c r="PAX394" s="104"/>
      <c r="PAY394" s="109"/>
      <c r="PAZ394" s="104"/>
      <c r="PBA394" s="104"/>
      <c r="PBB394" s="119"/>
      <c r="PBC394" s="104"/>
      <c r="PBD394" s="455"/>
      <c r="PBE394" s="104"/>
      <c r="PBF394" s="104"/>
      <c r="PBG394" s="109"/>
      <c r="PBH394" s="104"/>
      <c r="PBI394" s="104"/>
      <c r="PBJ394" s="119"/>
      <c r="PBK394" s="104"/>
      <c r="PBL394" s="455"/>
      <c r="PBM394" s="104"/>
      <c r="PBN394" s="104"/>
      <c r="PBO394" s="109"/>
      <c r="PBP394" s="104"/>
      <c r="PBQ394" s="104"/>
      <c r="PBR394" s="119"/>
      <c r="PBS394" s="104"/>
      <c r="PBT394" s="455"/>
      <c r="PBU394" s="104"/>
      <c r="PBV394" s="104"/>
      <c r="PBW394" s="109"/>
      <c r="PBX394" s="104"/>
      <c r="PBY394" s="104"/>
      <c r="PBZ394" s="119"/>
      <c r="PCA394" s="104"/>
      <c r="PCB394" s="455"/>
      <c r="PCC394" s="104"/>
      <c r="PCD394" s="104"/>
      <c r="PCE394" s="109"/>
      <c r="PCF394" s="104"/>
      <c r="PCG394" s="104"/>
      <c r="PCH394" s="119"/>
      <c r="PCI394" s="104"/>
      <c r="PCJ394" s="455"/>
      <c r="PCK394" s="104"/>
      <c r="PCL394" s="104"/>
      <c r="PCM394" s="109"/>
      <c r="PCN394" s="104"/>
      <c r="PCO394" s="104"/>
      <c r="PCP394" s="119"/>
      <c r="PCQ394" s="104"/>
      <c r="PCR394" s="455"/>
      <c r="PCS394" s="104"/>
      <c r="PCT394" s="104"/>
      <c r="PCU394" s="109"/>
      <c r="PCV394" s="104"/>
      <c r="PCW394" s="104"/>
      <c r="PCX394" s="119"/>
      <c r="PCY394" s="104"/>
      <c r="PCZ394" s="455"/>
      <c r="PDA394" s="104"/>
      <c r="PDB394" s="104"/>
      <c r="PDC394" s="109"/>
      <c r="PDD394" s="104"/>
      <c r="PDE394" s="104"/>
      <c r="PDF394" s="119"/>
      <c r="PDG394" s="104"/>
      <c r="PDH394" s="455"/>
      <c r="PDI394" s="104"/>
      <c r="PDJ394" s="104"/>
      <c r="PDK394" s="109"/>
      <c r="PDL394" s="104"/>
      <c r="PDM394" s="104"/>
      <c r="PDN394" s="119"/>
      <c r="PDO394" s="104"/>
      <c r="PDP394" s="455"/>
      <c r="PDQ394" s="104"/>
      <c r="PDR394" s="104"/>
      <c r="PDS394" s="109"/>
      <c r="PDT394" s="104"/>
      <c r="PDU394" s="104"/>
      <c r="PDV394" s="119"/>
      <c r="PDW394" s="104"/>
      <c r="PDX394" s="455"/>
      <c r="PDY394" s="104"/>
      <c r="PDZ394" s="104"/>
      <c r="PEA394" s="109"/>
      <c r="PEB394" s="104"/>
      <c r="PEC394" s="104"/>
      <c r="PED394" s="119"/>
      <c r="PEE394" s="104"/>
      <c r="PEF394" s="455"/>
      <c r="PEG394" s="104"/>
      <c r="PEH394" s="104"/>
      <c r="PEI394" s="109"/>
      <c r="PEJ394" s="104"/>
      <c r="PEK394" s="104"/>
      <c r="PEL394" s="119"/>
      <c r="PEM394" s="104"/>
      <c r="PEN394" s="455"/>
      <c r="PEO394" s="104"/>
      <c r="PEP394" s="104"/>
      <c r="PEQ394" s="109"/>
      <c r="PER394" s="104"/>
      <c r="PES394" s="104"/>
      <c r="PET394" s="119"/>
      <c r="PEU394" s="104"/>
      <c r="PEV394" s="455"/>
      <c r="PEW394" s="104"/>
      <c r="PEX394" s="104"/>
      <c r="PEY394" s="109"/>
      <c r="PEZ394" s="104"/>
      <c r="PFA394" s="104"/>
      <c r="PFB394" s="119"/>
      <c r="PFC394" s="104"/>
      <c r="PFD394" s="455"/>
      <c r="PFE394" s="104"/>
      <c r="PFF394" s="104"/>
      <c r="PFG394" s="109"/>
      <c r="PFH394" s="104"/>
      <c r="PFI394" s="104"/>
      <c r="PFJ394" s="119"/>
      <c r="PFK394" s="104"/>
      <c r="PFL394" s="455"/>
      <c r="PFM394" s="104"/>
      <c r="PFN394" s="104"/>
      <c r="PFO394" s="109"/>
      <c r="PFP394" s="104"/>
      <c r="PFQ394" s="104"/>
      <c r="PFR394" s="119"/>
      <c r="PFS394" s="104"/>
      <c r="PFT394" s="455"/>
      <c r="PFU394" s="104"/>
      <c r="PFV394" s="104"/>
      <c r="PFW394" s="109"/>
      <c r="PFX394" s="104"/>
      <c r="PFY394" s="104"/>
      <c r="PFZ394" s="119"/>
      <c r="PGA394" s="104"/>
      <c r="PGB394" s="455"/>
      <c r="PGC394" s="104"/>
      <c r="PGD394" s="104"/>
      <c r="PGE394" s="109"/>
      <c r="PGF394" s="104"/>
      <c r="PGG394" s="104"/>
      <c r="PGH394" s="119"/>
      <c r="PGI394" s="104"/>
      <c r="PGJ394" s="455"/>
      <c r="PGK394" s="104"/>
      <c r="PGL394" s="104"/>
      <c r="PGM394" s="109"/>
      <c r="PGN394" s="104"/>
      <c r="PGO394" s="104"/>
      <c r="PGP394" s="119"/>
      <c r="PGQ394" s="104"/>
      <c r="PGR394" s="455"/>
      <c r="PGS394" s="104"/>
      <c r="PGT394" s="104"/>
      <c r="PGU394" s="109"/>
      <c r="PGV394" s="104"/>
      <c r="PGW394" s="104"/>
      <c r="PGX394" s="119"/>
      <c r="PGY394" s="104"/>
      <c r="PGZ394" s="455"/>
      <c r="PHA394" s="104"/>
      <c r="PHB394" s="104"/>
      <c r="PHC394" s="109"/>
      <c r="PHD394" s="104"/>
      <c r="PHE394" s="104"/>
      <c r="PHF394" s="119"/>
      <c r="PHG394" s="104"/>
      <c r="PHH394" s="455"/>
      <c r="PHI394" s="104"/>
      <c r="PHJ394" s="104"/>
      <c r="PHK394" s="109"/>
      <c r="PHL394" s="104"/>
      <c r="PHM394" s="104"/>
      <c r="PHN394" s="119"/>
      <c r="PHO394" s="104"/>
      <c r="PHP394" s="455"/>
      <c r="PHQ394" s="104"/>
      <c r="PHR394" s="104"/>
      <c r="PHS394" s="109"/>
      <c r="PHT394" s="104"/>
      <c r="PHU394" s="104"/>
      <c r="PHV394" s="119"/>
      <c r="PHW394" s="104"/>
      <c r="PHX394" s="455"/>
      <c r="PHY394" s="104"/>
      <c r="PHZ394" s="104"/>
      <c r="PIA394" s="109"/>
      <c r="PIB394" s="104"/>
      <c r="PIC394" s="104"/>
      <c r="PID394" s="119"/>
      <c r="PIE394" s="104"/>
      <c r="PIF394" s="455"/>
      <c r="PIG394" s="104"/>
      <c r="PIH394" s="104"/>
      <c r="PII394" s="109"/>
      <c r="PIJ394" s="104"/>
      <c r="PIK394" s="104"/>
      <c r="PIL394" s="119"/>
      <c r="PIM394" s="104"/>
      <c r="PIN394" s="455"/>
      <c r="PIO394" s="104"/>
      <c r="PIP394" s="104"/>
      <c r="PIQ394" s="109"/>
      <c r="PIR394" s="104"/>
      <c r="PIS394" s="104"/>
      <c r="PIT394" s="119"/>
      <c r="PIU394" s="104"/>
      <c r="PIV394" s="455"/>
      <c r="PIW394" s="104"/>
      <c r="PIX394" s="104"/>
      <c r="PIY394" s="109"/>
      <c r="PIZ394" s="104"/>
      <c r="PJA394" s="104"/>
      <c r="PJB394" s="119"/>
      <c r="PJC394" s="104"/>
      <c r="PJD394" s="455"/>
      <c r="PJE394" s="104"/>
      <c r="PJF394" s="104"/>
      <c r="PJG394" s="109"/>
      <c r="PJH394" s="104"/>
      <c r="PJI394" s="104"/>
      <c r="PJJ394" s="119"/>
      <c r="PJK394" s="104"/>
      <c r="PJL394" s="455"/>
      <c r="PJM394" s="104"/>
      <c r="PJN394" s="104"/>
      <c r="PJO394" s="109"/>
      <c r="PJP394" s="104"/>
      <c r="PJQ394" s="104"/>
      <c r="PJR394" s="119"/>
      <c r="PJS394" s="104"/>
      <c r="PJT394" s="455"/>
      <c r="PJU394" s="104"/>
      <c r="PJV394" s="104"/>
      <c r="PJW394" s="109"/>
      <c r="PJX394" s="104"/>
      <c r="PJY394" s="104"/>
      <c r="PJZ394" s="119"/>
      <c r="PKA394" s="104"/>
      <c r="PKB394" s="455"/>
      <c r="PKC394" s="104"/>
      <c r="PKD394" s="104"/>
      <c r="PKE394" s="109"/>
      <c r="PKF394" s="104"/>
      <c r="PKG394" s="104"/>
      <c r="PKH394" s="119"/>
      <c r="PKI394" s="104"/>
      <c r="PKJ394" s="455"/>
      <c r="PKK394" s="104"/>
      <c r="PKL394" s="104"/>
      <c r="PKM394" s="109"/>
      <c r="PKN394" s="104"/>
      <c r="PKO394" s="104"/>
      <c r="PKP394" s="119"/>
      <c r="PKQ394" s="104"/>
      <c r="PKR394" s="455"/>
      <c r="PKS394" s="104"/>
      <c r="PKT394" s="104"/>
      <c r="PKU394" s="109"/>
      <c r="PKV394" s="104"/>
      <c r="PKW394" s="104"/>
      <c r="PKX394" s="119"/>
      <c r="PKY394" s="104"/>
      <c r="PKZ394" s="455"/>
      <c r="PLA394" s="104"/>
      <c r="PLB394" s="104"/>
      <c r="PLC394" s="109"/>
      <c r="PLD394" s="104"/>
      <c r="PLE394" s="104"/>
      <c r="PLF394" s="119"/>
      <c r="PLG394" s="104"/>
      <c r="PLH394" s="455"/>
      <c r="PLI394" s="104"/>
      <c r="PLJ394" s="104"/>
      <c r="PLK394" s="109"/>
      <c r="PLL394" s="104"/>
      <c r="PLM394" s="104"/>
      <c r="PLN394" s="119"/>
      <c r="PLO394" s="104"/>
      <c r="PLP394" s="455"/>
      <c r="PLQ394" s="104"/>
      <c r="PLR394" s="104"/>
      <c r="PLS394" s="109"/>
      <c r="PLT394" s="104"/>
      <c r="PLU394" s="104"/>
      <c r="PLV394" s="119"/>
      <c r="PLW394" s="104"/>
      <c r="PLX394" s="455"/>
      <c r="PLY394" s="104"/>
      <c r="PLZ394" s="104"/>
      <c r="PMA394" s="109"/>
      <c r="PMB394" s="104"/>
      <c r="PMC394" s="104"/>
      <c r="PMD394" s="119"/>
      <c r="PME394" s="104"/>
      <c r="PMF394" s="455"/>
      <c r="PMG394" s="104"/>
      <c r="PMH394" s="104"/>
      <c r="PMI394" s="109"/>
      <c r="PMJ394" s="104"/>
      <c r="PMK394" s="104"/>
      <c r="PML394" s="119"/>
      <c r="PMM394" s="104"/>
      <c r="PMN394" s="455"/>
      <c r="PMO394" s="104"/>
      <c r="PMP394" s="104"/>
      <c r="PMQ394" s="109"/>
      <c r="PMR394" s="104"/>
      <c r="PMS394" s="104"/>
      <c r="PMT394" s="119"/>
      <c r="PMU394" s="104"/>
      <c r="PMV394" s="455"/>
      <c r="PMW394" s="104"/>
      <c r="PMX394" s="104"/>
      <c r="PMY394" s="109"/>
      <c r="PMZ394" s="104"/>
      <c r="PNA394" s="104"/>
      <c r="PNB394" s="119"/>
      <c r="PNC394" s="104"/>
      <c r="PND394" s="455"/>
      <c r="PNE394" s="104"/>
      <c r="PNF394" s="104"/>
      <c r="PNG394" s="109"/>
      <c r="PNH394" s="104"/>
      <c r="PNI394" s="104"/>
      <c r="PNJ394" s="119"/>
      <c r="PNK394" s="104"/>
      <c r="PNL394" s="455"/>
      <c r="PNM394" s="104"/>
      <c r="PNN394" s="104"/>
      <c r="PNO394" s="109"/>
      <c r="PNP394" s="104"/>
      <c r="PNQ394" s="104"/>
      <c r="PNR394" s="119"/>
      <c r="PNS394" s="104"/>
      <c r="PNT394" s="455"/>
      <c r="PNU394" s="104"/>
      <c r="PNV394" s="104"/>
      <c r="PNW394" s="109"/>
      <c r="PNX394" s="104"/>
      <c r="PNY394" s="104"/>
      <c r="PNZ394" s="119"/>
      <c r="POA394" s="104"/>
      <c r="POB394" s="455"/>
      <c r="POC394" s="104"/>
      <c r="POD394" s="104"/>
      <c r="POE394" s="109"/>
      <c r="POF394" s="104"/>
      <c r="POG394" s="104"/>
      <c r="POH394" s="119"/>
      <c r="POI394" s="104"/>
      <c r="POJ394" s="455"/>
      <c r="POK394" s="104"/>
      <c r="POL394" s="104"/>
      <c r="POM394" s="109"/>
      <c r="PON394" s="104"/>
      <c r="POO394" s="104"/>
      <c r="POP394" s="119"/>
      <c r="POQ394" s="104"/>
      <c r="POR394" s="455"/>
      <c r="POS394" s="104"/>
      <c r="POT394" s="104"/>
      <c r="POU394" s="109"/>
      <c r="POV394" s="104"/>
      <c r="POW394" s="104"/>
      <c r="POX394" s="119"/>
      <c r="POY394" s="104"/>
      <c r="POZ394" s="455"/>
      <c r="PPA394" s="104"/>
      <c r="PPB394" s="104"/>
      <c r="PPC394" s="109"/>
      <c r="PPD394" s="104"/>
      <c r="PPE394" s="104"/>
      <c r="PPF394" s="119"/>
      <c r="PPG394" s="104"/>
      <c r="PPH394" s="455"/>
      <c r="PPI394" s="104"/>
      <c r="PPJ394" s="104"/>
      <c r="PPK394" s="109"/>
      <c r="PPL394" s="104"/>
      <c r="PPM394" s="104"/>
      <c r="PPN394" s="119"/>
      <c r="PPO394" s="104"/>
      <c r="PPP394" s="455"/>
      <c r="PPQ394" s="104"/>
      <c r="PPR394" s="104"/>
      <c r="PPS394" s="109"/>
      <c r="PPT394" s="104"/>
      <c r="PPU394" s="104"/>
      <c r="PPV394" s="119"/>
      <c r="PPW394" s="104"/>
      <c r="PPX394" s="455"/>
      <c r="PPY394" s="104"/>
      <c r="PPZ394" s="104"/>
      <c r="PQA394" s="109"/>
      <c r="PQB394" s="104"/>
      <c r="PQC394" s="104"/>
      <c r="PQD394" s="119"/>
      <c r="PQE394" s="104"/>
      <c r="PQF394" s="455"/>
      <c r="PQG394" s="104"/>
      <c r="PQH394" s="104"/>
      <c r="PQI394" s="109"/>
      <c r="PQJ394" s="104"/>
      <c r="PQK394" s="104"/>
      <c r="PQL394" s="119"/>
      <c r="PQM394" s="104"/>
      <c r="PQN394" s="455"/>
      <c r="PQO394" s="104"/>
      <c r="PQP394" s="104"/>
      <c r="PQQ394" s="109"/>
      <c r="PQR394" s="104"/>
      <c r="PQS394" s="104"/>
      <c r="PQT394" s="119"/>
      <c r="PQU394" s="104"/>
      <c r="PQV394" s="455"/>
      <c r="PQW394" s="104"/>
      <c r="PQX394" s="104"/>
      <c r="PQY394" s="109"/>
      <c r="PQZ394" s="104"/>
      <c r="PRA394" s="104"/>
      <c r="PRB394" s="119"/>
      <c r="PRC394" s="104"/>
      <c r="PRD394" s="455"/>
      <c r="PRE394" s="104"/>
      <c r="PRF394" s="104"/>
      <c r="PRG394" s="109"/>
      <c r="PRH394" s="104"/>
      <c r="PRI394" s="104"/>
      <c r="PRJ394" s="119"/>
      <c r="PRK394" s="104"/>
      <c r="PRL394" s="455"/>
      <c r="PRM394" s="104"/>
      <c r="PRN394" s="104"/>
      <c r="PRO394" s="109"/>
      <c r="PRP394" s="104"/>
      <c r="PRQ394" s="104"/>
      <c r="PRR394" s="119"/>
      <c r="PRS394" s="104"/>
      <c r="PRT394" s="455"/>
      <c r="PRU394" s="104"/>
      <c r="PRV394" s="104"/>
      <c r="PRW394" s="109"/>
      <c r="PRX394" s="104"/>
      <c r="PRY394" s="104"/>
      <c r="PRZ394" s="119"/>
      <c r="PSA394" s="104"/>
      <c r="PSB394" s="455"/>
      <c r="PSC394" s="104"/>
      <c r="PSD394" s="104"/>
      <c r="PSE394" s="109"/>
      <c r="PSF394" s="104"/>
      <c r="PSG394" s="104"/>
      <c r="PSH394" s="119"/>
      <c r="PSI394" s="104"/>
      <c r="PSJ394" s="455"/>
      <c r="PSK394" s="104"/>
      <c r="PSL394" s="104"/>
      <c r="PSM394" s="109"/>
      <c r="PSN394" s="104"/>
      <c r="PSO394" s="104"/>
      <c r="PSP394" s="119"/>
      <c r="PSQ394" s="104"/>
      <c r="PSR394" s="455"/>
      <c r="PSS394" s="104"/>
      <c r="PST394" s="104"/>
      <c r="PSU394" s="109"/>
      <c r="PSV394" s="104"/>
      <c r="PSW394" s="104"/>
      <c r="PSX394" s="119"/>
      <c r="PSY394" s="104"/>
      <c r="PSZ394" s="455"/>
      <c r="PTA394" s="104"/>
      <c r="PTB394" s="104"/>
      <c r="PTC394" s="109"/>
      <c r="PTD394" s="104"/>
      <c r="PTE394" s="104"/>
      <c r="PTF394" s="119"/>
      <c r="PTG394" s="104"/>
      <c r="PTH394" s="455"/>
      <c r="PTI394" s="104"/>
      <c r="PTJ394" s="104"/>
      <c r="PTK394" s="109"/>
      <c r="PTL394" s="104"/>
      <c r="PTM394" s="104"/>
      <c r="PTN394" s="119"/>
      <c r="PTO394" s="104"/>
      <c r="PTP394" s="455"/>
      <c r="PTQ394" s="104"/>
      <c r="PTR394" s="104"/>
      <c r="PTS394" s="109"/>
      <c r="PTT394" s="104"/>
      <c r="PTU394" s="104"/>
      <c r="PTV394" s="119"/>
      <c r="PTW394" s="104"/>
      <c r="PTX394" s="455"/>
      <c r="PTY394" s="104"/>
      <c r="PTZ394" s="104"/>
      <c r="PUA394" s="109"/>
      <c r="PUB394" s="104"/>
      <c r="PUC394" s="104"/>
      <c r="PUD394" s="119"/>
      <c r="PUE394" s="104"/>
      <c r="PUF394" s="455"/>
      <c r="PUG394" s="104"/>
      <c r="PUH394" s="104"/>
      <c r="PUI394" s="109"/>
      <c r="PUJ394" s="104"/>
      <c r="PUK394" s="104"/>
      <c r="PUL394" s="119"/>
      <c r="PUM394" s="104"/>
      <c r="PUN394" s="455"/>
      <c r="PUO394" s="104"/>
      <c r="PUP394" s="104"/>
      <c r="PUQ394" s="109"/>
      <c r="PUR394" s="104"/>
      <c r="PUS394" s="104"/>
      <c r="PUT394" s="119"/>
      <c r="PUU394" s="104"/>
      <c r="PUV394" s="455"/>
      <c r="PUW394" s="104"/>
      <c r="PUX394" s="104"/>
      <c r="PUY394" s="109"/>
      <c r="PUZ394" s="104"/>
      <c r="PVA394" s="104"/>
      <c r="PVB394" s="119"/>
      <c r="PVC394" s="104"/>
      <c r="PVD394" s="455"/>
      <c r="PVE394" s="104"/>
      <c r="PVF394" s="104"/>
      <c r="PVG394" s="109"/>
      <c r="PVH394" s="104"/>
      <c r="PVI394" s="104"/>
      <c r="PVJ394" s="119"/>
      <c r="PVK394" s="104"/>
      <c r="PVL394" s="455"/>
      <c r="PVM394" s="104"/>
      <c r="PVN394" s="104"/>
      <c r="PVO394" s="109"/>
      <c r="PVP394" s="104"/>
      <c r="PVQ394" s="104"/>
      <c r="PVR394" s="119"/>
      <c r="PVS394" s="104"/>
      <c r="PVT394" s="455"/>
      <c r="PVU394" s="104"/>
      <c r="PVV394" s="104"/>
      <c r="PVW394" s="109"/>
      <c r="PVX394" s="104"/>
      <c r="PVY394" s="104"/>
      <c r="PVZ394" s="119"/>
      <c r="PWA394" s="104"/>
      <c r="PWB394" s="455"/>
      <c r="PWC394" s="104"/>
      <c r="PWD394" s="104"/>
      <c r="PWE394" s="109"/>
      <c r="PWF394" s="104"/>
      <c r="PWG394" s="104"/>
      <c r="PWH394" s="119"/>
      <c r="PWI394" s="104"/>
      <c r="PWJ394" s="455"/>
      <c r="PWK394" s="104"/>
      <c r="PWL394" s="104"/>
      <c r="PWM394" s="109"/>
      <c r="PWN394" s="104"/>
      <c r="PWO394" s="104"/>
      <c r="PWP394" s="119"/>
      <c r="PWQ394" s="104"/>
      <c r="PWR394" s="455"/>
      <c r="PWS394" s="104"/>
      <c r="PWT394" s="104"/>
      <c r="PWU394" s="109"/>
      <c r="PWV394" s="104"/>
      <c r="PWW394" s="104"/>
      <c r="PWX394" s="119"/>
      <c r="PWY394" s="104"/>
      <c r="PWZ394" s="455"/>
      <c r="PXA394" s="104"/>
      <c r="PXB394" s="104"/>
      <c r="PXC394" s="109"/>
      <c r="PXD394" s="104"/>
      <c r="PXE394" s="104"/>
      <c r="PXF394" s="119"/>
      <c r="PXG394" s="104"/>
      <c r="PXH394" s="455"/>
      <c r="PXI394" s="104"/>
      <c r="PXJ394" s="104"/>
      <c r="PXK394" s="109"/>
      <c r="PXL394" s="104"/>
      <c r="PXM394" s="104"/>
      <c r="PXN394" s="119"/>
      <c r="PXO394" s="104"/>
      <c r="PXP394" s="455"/>
      <c r="PXQ394" s="104"/>
      <c r="PXR394" s="104"/>
      <c r="PXS394" s="109"/>
      <c r="PXT394" s="104"/>
      <c r="PXU394" s="104"/>
      <c r="PXV394" s="119"/>
      <c r="PXW394" s="104"/>
      <c r="PXX394" s="455"/>
      <c r="PXY394" s="104"/>
      <c r="PXZ394" s="104"/>
      <c r="PYA394" s="109"/>
      <c r="PYB394" s="104"/>
      <c r="PYC394" s="104"/>
      <c r="PYD394" s="119"/>
      <c r="PYE394" s="104"/>
      <c r="PYF394" s="455"/>
      <c r="PYG394" s="104"/>
      <c r="PYH394" s="104"/>
      <c r="PYI394" s="109"/>
      <c r="PYJ394" s="104"/>
      <c r="PYK394" s="104"/>
      <c r="PYL394" s="119"/>
      <c r="PYM394" s="104"/>
      <c r="PYN394" s="455"/>
      <c r="PYO394" s="104"/>
      <c r="PYP394" s="104"/>
      <c r="PYQ394" s="109"/>
      <c r="PYR394" s="104"/>
      <c r="PYS394" s="104"/>
      <c r="PYT394" s="119"/>
      <c r="PYU394" s="104"/>
      <c r="PYV394" s="455"/>
      <c r="PYW394" s="104"/>
      <c r="PYX394" s="104"/>
      <c r="PYY394" s="109"/>
      <c r="PYZ394" s="104"/>
      <c r="PZA394" s="104"/>
      <c r="PZB394" s="119"/>
      <c r="PZC394" s="104"/>
      <c r="PZD394" s="455"/>
      <c r="PZE394" s="104"/>
      <c r="PZF394" s="104"/>
      <c r="PZG394" s="109"/>
      <c r="PZH394" s="104"/>
      <c r="PZI394" s="104"/>
      <c r="PZJ394" s="119"/>
      <c r="PZK394" s="104"/>
      <c r="PZL394" s="455"/>
      <c r="PZM394" s="104"/>
      <c r="PZN394" s="104"/>
      <c r="PZO394" s="109"/>
      <c r="PZP394" s="104"/>
      <c r="PZQ394" s="104"/>
      <c r="PZR394" s="119"/>
      <c r="PZS394" s="104"/>
      <c r="PZT394" s="455"/>
      <c r="PZU394" s="104"/>
      <c r="PZV394" s="104"/>
      <c r="PZW394" s="109"/>
      <c r="PZX394" s="104"/>
      <c r="PZY394" s="104"/>
      <c r="PZZ394" s="119"/>
      <c r="QAA394" s="104"/>
      <c r="QAB394" s="455"/>
      <c r="QAC394" s="104"/>
      <c r="QAD394" s="104"/>
      <c r="QAE394" s="109"/>
      <c r="QAF394" s="104"/>
      <c r="QAG394" s="104"/>
      <c r="QAH394" s="119"/>
      <c r="QAI394" s="104"/>
      <c r="QAJ394" s="455"/>
      <c r="QAK394" s="104"/>
      <c r="QAL394" s="104"/>
      <c r="QAM394" s="109"/>
      <c r="QAN394" s="104"/>
      <c r="QAO394" s="104"/>
      <c r="QAP394" s="119"/>
      <c r="QAQ394" s="104"/>
      <c r="QAR394" s="455"/>
      <c r="QAS394" s="104"/>
      <c r="QAT394" s="104"/>
      <c r="QAU394" s="109"/>
      <c r="QAV394" s="104"/>
      <c r="QAW394" s="104"/>
      <c r="QAX394" s="119"/>
      <c r="QAY394" s="104"/>
      <c r="QAZ394" s="455"/>
      <c r="QBA394" s="104"/>
      <c r="QBB394" s="104"/>
      <c r="QBC394" s="109"/>
      <c r="QBD394" s="104"/>
      <c r="QBE394" s="104"/>
      <c r="QBF394" s="119"/>
      <c r="QBG394" s="104"/>
      <c r="QBH394" s="455"/>
      <c r="QBI394" s="104"/>
      <c r="QBJ394" s="104"/>
      <c r="QBK394" s="109"/>
      <c r="QBL394" s="104"/>
      <c r="QBM394" s="104"/>
      <c r="QBN394" s="119"/>
      <c r="QBO394" s="104"/>
      <c r="QBP394" s="455"/>
      <c r="QBQ394" s="104"/>
      <c r="QBR394" s="104"/>
      <c r="QBS394" s="109"/>
      <c r="QBT394" s="104"/>
      <c r="QBU394" s="104"/>
      <c r="QBV394" s="119"/>
      <c r="QBW394" s="104"/>
      <c r="QBX394" s="455"/>
      <c r="QBY394" s="104"/>
      <c r="QBZ394" s="104"/>
      <c r="QCA394" s="109"/>
      <c r="QCB394" s="104"/>
      <c r="QCC394" s="104"/>
      <c r="QCD394" s="119"/>
      <c r="QCE394" s="104"/>
      <c r="QCF394" s="455"/>
      <c r="QCG394" s="104"/>
      <c r="QCH394" s="104"/>
      <c r="QCI394" s="109"/>
      <c r="QCJ394" s="104"/>
      <c r="QCK394" s="104"/>
      <c r="QCL394" s="119"/>
      <c r="QCM394" s="104"/>
      <c r="QCN394" s="455"/>
      <c r="QCO394" s="104"/>
      <c r="QCP394" s="104"/>
      <c r="QCQ394" s="109"/>
      <c r="QCR394" s="104"/>
      <c r="QCS394" s="104"/>
      <c r="QCT394" s="119"/>
      <c r="QCU394" s="104"/>
      <c r="QCV394" s="455"/>
      <c r="QCW394" s="104"/>
      <c r="QCX394" s="104"/>
      <c r="QCY394" s="109"/>
      <c r="QCZ394" s="104"/>
      <c r="QDA394" s="104"/>
      <c r="QDB394" s="119"/>
      <c r="QDC394" s="104"/>
      <c r="QDD394" s="455"/>
      <c r="QDE394" s="104"/>
      <c r="QDF394" s="104"/>
      <c r="QDG394" s="109"/>
      <c r="QDH394" s="104"/>
      <c r="QDI394" s="104"/>
      <c r="QDJ394" s="119"/>
      <c r="QDK394" s="104"/>
      <c r="QDL394" s="455"/>
      <c r="QDM394" s="104"/>
      <c r="QDN394" s="104"/>
      <c r="QDO394" s="109"/>
      <c r="QDP394" s="104"/>
      <c r="QDQ394" s="104"/>
      <c r="QDR394" s="119"/>
      <c r="QDS394" s="104"/>
      <c r="QDT394" s="455"/>
      <c r="QDU394" s="104"/>
      <c r="QDV394" s="104"/>
      <c r="QDW394" s="109"/>
      <c r="QDX394" s="104"/>
      <c r="QDY394" s="104"/>
      <c r="QDZ394" s="119"/>
      <c r="QEA394" s="104"/>
      <c r="QEB394" s="455"/>
      <c r="QEC394" s="104"/>
      <c r="QED394" s="104"/>
      <c r="QEE394" s="109"/>
      <c r="QEF394" s="104"/>
      <c r="QEG394" s="104"/>
      <c r="QEH394" s="119"/>
      <c r="QEI394" s="104"/>
      <c r="QEJ394" s="455"/>
      <c r="QEK394" s="104"/>
      <c r="QEL394" s="104"/>
      <c r="QEM394" s="109"/>
      <c r="QEN394" s="104"/>
      <c r="QEO394" s="104"/>
      <c r="QEP394" s="119"/>
      <c r="QEQ394" s="104"/>
      <c r="QER394" s="455"/>
      <c r="QES394" s="104"/>
      <c r="QET394" s="104"/>
      <c r="QEU394" s="109"/>
      <c r="QEV394" s="104"/>
      <c r="QEW394" s="104"/>
      <c r="QEX394" s="119"/>
      <c r="QEY394" s="104"/>
      <c r="QEZ394" s="455"/>
      <c r="QFA394" s="104"/>
      <c r="QFB394" s="104"/>
      <c r="QFC394" s="109"/>
      <c r="QFD394" s="104"/>
      <c r="QFE394" s="104"/>
      <c r="QFF394" s="119"/>
      <c r="QFG394" s="104"/>
      <c r="QFH394" s="455"/>
      <c r="QFI394" s="104"/>
      <c r="QFJ394" s="104"/>
      <c r="QFK394" s="109"/>
      <c r="QFL394" s="104"/>
      <c r="QFM394" s="104"/>
      <c r="QFN394" s="119"/>
      <c r="QFO394" s="104"/>
      <c r="QFP394" s="455"/>
      <c r="QFQ394" s="104"/>
      <c r="QFR394" s="104"/>
      <c r="QFS394" s="109"/>
      <c r="QFT394" s="104"/>
      <c r="QFU394" s="104"/>
      <c r="QFV394" s="119"/>
      <c r="QFW394" s="104"/>
      <c r="QFX394" s="455"/>
      <c r="QFY394" s="104"/>
      <c r="QFZ394" s="104"/>
      <c r="QGA394" s="109"/>
      <c r="QGB394" s="104"/>
      <c r="QGC394" s="104"/>
      <c r="QGD394" s="119"/>
      <c r="QGE394" s="104"/>
      <c r="QGF394" s="455"/>
      <c r="QGG394" s="104"/>
      <c r="QGH394" s="104"/>
      <c r="QGI394" s="109"/>
      <c r="QGJ394" s="104"/>
      <c r="QGK394" s="104"/>
      <c r="QGL394" s="119"/>
      <c r="QGM394" s="104"/>
      <c r="QGN394" s="455"/>
      <c r="QGO394" s="104"/>
      <c r="QGP394" s="104"/>
      <c r="QGQ394" s="109"/>
      <c r="QGR394" s="104"/>
      <c r="QGS394" s="104"/>
      <c r="QGT394" s="119"/>
      <c r="QGU394" s="104"/>
      <c r="QGV394" s="455"/>
      <c r="QGW394" s="104"/>
      <c r="QGX394" s="104"/>
      <c r="QGY394" s="109"/>
      <c r="QGZ394" s="104"/>
      <c r="QHA394" s="104"/>
      <c r="QHB394" s="119"/>
      <c r="QHC394" s="104"/>
      <c r="QHD394" s="455"/>
      <c r="QHE394" s="104"/>
      <c r="QHF394" s="104"/>
      <c r="QHG394" s="109"/>
      <c r="QHH394" s="104"/>
      <c r="QHI394" s="104"/>
      <c r="QHJ394" s="119"/>
      <c r="QHK394" s="104"/>
      <c r="QHL394" s="455"/>
      <c r="QHM394" s="104"/>
      <c r="QHN394" s="104"/>
      <c r="QHO394" s="109"/>
      <c r="QHP394" s="104"/>
      <c r="QHQ394" s="104"/>
      <c r="QHR394" s="119"/>
      <c r="QHS394" s="104"/>
      <c r="QHT394" s="455"/>
      <c r="QHU394" s="104"/>
      <c r="QHV394" s="104"/>
      <c r="QHW394" s="109"/>
      <c r="QHX394" s="104"/>
      <c r="QHY394" s="104"/>
      <c r="QHZ394" s="119"/>
      <c r="QIA394" s="104"/>
      <c r="QIB394" s="455"/>
      <c r="QIC394" s="104"/>
      <c r="QID394" s="104"/>
      <c r="QIE394" s="109"/>
      <c r="QIF394" s="104"/>
      <c r="QIG394" s="104"/>
      <c r="QIH394" s="119"/>
      <c r="QII394" s="104"/>
      <c r="QIJ394" s="455"/>
      <c r="QIK394" s="104"/>
      <c r="QIL394" s="104"/>
      <c r="QIM394" s="109"/>
      <c r="QIN394" s="104"/>
      <c r="QIO394" s="104"/>
      <c r="QIP394" s="119"/>
      <c r="QIQ394" s="104"/>
      <c r="QIR394" s="455"/>
      <c r="QIS394" s="104"/>
      <c r="QIT394" s="104"/>
      <c r="QIU394" s="109"/>
      <c r="QIV394" s="104"/>
      <c r="QIW394" s="104"/>
      <c r="QIX394" s="119"/>
      <c r="QIY394" s="104"/>
      <c r="QIZ394" s="455"/>
      <c r="QJA394" s="104"/>
      <c r="QJB394" s="104"/>
      <c r="QJC394" s="109"/>
      <c r="QJD394" s="104"/>
      <c r="QJE394" s="104"/>
      <c r="QJF394" s="119"/>
      <c r="QJG394" s="104"/>
      <c r="QJH394" s="455"/>
      <c r="QJI394" s="104"/>
      <c r="QJJ394" s="104"/>
      <c r="QJK394" s="109"/>
      <c r="QJL394" s="104"/>
      <c r="QJM394" s="104"/>
      <c r="QJN394" s="119"/>
      <c r="QJO394" s="104"/>
      <c r="QJP394" s="455"/>
      <c r="QJQ394" s="104"/>
      <c r="QJR394" s="104"/>
      <c r="QJS394" s="109"/>
      <c r="QJT394" s="104"/>
      <c r="QJU394" s="104"/>
      <c r="QJV394" s="119"/>
      <c r="QJW394" s="104"/>
      <c r="QJX394" s="455"/>
      <c r="QJY394" s="104"/>
      <c r="QJZ394" s="104"/>
      <c r="QKA394" s="109"/>
      <c r="QKB394" s="104"/>
      <c r="QKC394" s="104"/>
      <c r="QKD394" s="119"/>
      <c r="QKE394" s="104"/>
      <c r="QKF394" s="455"/>
      <c r="QKG394" s="104"/>
      <c r="QKH394" s="104"/>
      <c r="QKI394" s="109"/>
      <c r="QKJ394" s="104"/>
      <c r="QKK394" s="104"/>
      <c r="QKL394" s="119"/>
      <c r="QKM394" s="104"/>
      <c r="QKN394" s="455"/>
      <c r="QKO394" s="104"/>
      <c r="QKP394" s="104"/>
      <c r="QKQ394" s="109"/>
      <c r="QKR394" s="104"/>
      <c r="QKS394" s="104"/>
      <c r="QKT394" s="119"/>
      <c r="QKU394" s="104"/>
      <c r="QKV394" s="455"/>
      <c r="QKW394" s="104"/>
      <c r="QKX394" s="104"/>
      <c r="QKY394" s="109"/>
      <c r="QKZ394" s="104"/>
      <c r="QLA394" s="104"/>
      <c r="QLB394" s="119"/>
      <c r="QLC394" s="104"/>
      <c r="QLD394" s="455"/>
      <c r="QLE394" s="104"/>
      <c r="QLF394" s="104"/>
      <c r="QLG394" s="109"/>
      <c r="QLH394" s="104"/>
      <c r="QLI394" s="104"/>
      <c r="QLJ394" s="119"/>
      <c r="QLK394" s="104"/>
      <c r="QLL394" s="455"/>
      <c r="QLM394" s="104"/>
      <c r="QLN394" s="104"/>
      <c r="QLO394" s="109"/>
      <c r="QLP394" s="104"/>
      <c r="QLQ394" s="104"/>
      <c r="QLR394" s="119"/>
      <c r="QLS394" s="104"/>
      <c r="QLT394" s="455"/>
      <c r="QLU394" s="104"/>
      <c r="QLV394" s="104"/>
      <c r="QLW394" s="109"/>
      <c r="QLX394" s="104"/>
      <c r="QLY394" s="104"/>
      <c r="QLZ394" s="119"/>
      <c r="QMA394" s="104"/>
      <c r="QMB394" s="455"/>
      <c r="QMC394" s="104"/>
      <c r="QMD394" s="104"/>
      <c r="QME394" s="109"/>
      <c r="QMF394" s="104"/>
      <c r="QMG394" s="104"/>
      <c r="QMH394" s="119"/>
      <c r="QMI394" s="104"/>
      <c r="QMJ394" s="455"/>
      <c r="QMK394" s="104"/>
      <c r="QML394" s="104"/>
      <c r="QMM394" s="109"/>
      <c r="QMN394" s="104"/>
      <c r="QMO394" s="104"/>
      <c r="QMP394" s="119"/>
      <c r="QMQ394" s="104"/>
      <c r="QMR394" s="455"/>
      <c r="QMS394" s="104"/>
      <c r="QMT394" s="104"/>
      <c r="QMU394" s="109"/>
      <c r="QMV394" s="104"/>
      <c r="QMW394" s="104"/>
      <c r="QMX394" s="119"/>
      <c r="QMY394" s="104"/>
      <c r="QMZ394" s="455"/>
      <c r="QNA394" s="104"/>
      <c r="QNB394" s="104"/>
      <c r="QNC394" s="109"/>
      <c r="QND394" s="104"/>
      <c r="QNE394" s="104"/>
      <c r="QNF394" s="119"/>
      <c r="QNG394" s="104"/>
      <c r="QNH394" s="455"/>
      <c r="QNI394" s="104"/>
      <c r="QNJ394" s="104"/>
      <c r="QNK394" s="109"/>
      <c r="QNL394" s="104"/>
      <c r="QNM394" s="104"/>
      <c r="QNN394" s="119"/>
      <c r="QNO394" s="104"/>
      <c r="QNP394" s="455"/>
      <c r="QNQ394" s="104"/>
      <c r="QNR394" s="104"/>
      <c r="QNS394" s="109"/>
      <c r="QNT394" s="104"/>
      <c r="QNU394" s="104"/>
      <c r="QNV394" s="119"/>
      <c r="QNW394" s="104"/>
      <c r="QNX394" s="455"/>
      <c r="QNY394" s="104"/>
      <c r="QNZ394" s="104"/>
      <c r="QOA394" s="109"/>
      <c r="QOB394" s="104"/>
      <c r="QOC394" s="104"/>
      <c r="QOD394" s="119"/>
      <c r="QOE394" s="104"/>
      <c r="QOF394" s="455"/>
      <c r="QOG394" s="104"/>
      <c r="QOH394" s="104"/>
      <c r="QOI394" s="109"/>
      <c r="QOJ394" s="104"/>
      <c r="QOK394" s="104"/>
      <c r="QOL394" s="119"/>
      <c r="QOM394" s="104"/>
      <c r="QON394" s="455"/>
      <c r="QOO394" s="104"/>
      <c r="QOP394" s="104"/>
      <c r="QOQ394" s="109"/>
      <c r="QOR394" s="104"/>
      <c r="QOS394" s="104"/>
      <c r="QOT394" s="119"/>
      <c r="QOU394" s="104"/>
      <c r="QOV394" s="455"/>
      <c r="QOW394" s="104"/>
      <c r="QOX394" s="104"/>
      <c r="QOY394" s="109"/>
      <c r="QOZ394" s="104"/>
      <c r="QPA394" s="104"/>
      <c r="QPB394" s="119"/>
      <c r="QPC394" s="104"/>
      <c r="QPD394" s="455"/>
      <c r="QPE394" s="104"/>
      <c r="QPF394" s="104"/>
      <c r="QPG394" s="109"/>
      <c r="QPH394" s="104"/>
      <c r="QPI394" s="104"/>
      <c r="QPJ394" s="119"/>
      <c r="QPK394" s="104"/>
      <c r="QPL394" s="455"/>
      <c r="QPM394" s="104"/>
      <c r="QPN394" s="104"/>
      <c r="QPO394" s="109"/>
      <c r="QPP394" s="104"/>
      <c r="QPQ394" s="104"/>
      <c r="QPR394" s="119"/>
      <c r="QPS394" s="104"/>
      <c r="QPT394" s="455"/>
      <c r="QPU394" s="104"/>
      <c r="QPV394" s="104"/>
      <c r="QPW394" s="109"/>
      <c r="QPX394" s="104"/>
      <c r="QPY394" s="104"/>
      <c r="QPZ394" s="119"/>
      <c r="QQA394" s="104"/>
      <c r="QQB394" s="455"/>
      <c r="QQC394" s="104"/>
      <c r="QQD394" s="104"/>
      <c r="QQE394" s="109"/>
      <c r="QQF394" s="104"/>
      <c r="QQG394" s="104"/>
      <c r="QQH394" s="119"/>
      <c r="QQI394" s="104"/>
      <c r="QQJ394" s="455"/>
      <c r="QQK394" s="104"/>
      <c r="QQL394" s="104"/>
      <c r="QQM394" s="109"/>
      <c r="QQN394" s="104"/>
      <c r="QQO394" s="104"/>
      <c r="QQP394" s="119"/>
      <c r="QQQ394" s="104"/>
      <c r="QQR394" s="455"/>
      <c r="QQS394" s="104"/>
      <c r="QQT394" s="104"/>
      <c r="QQU394" s="109"/>
      <c r="QQV394" s="104"/>
      <c r="QQW394" s="104"/>
      <c r="QQX394" s="119"/>
      <c r="QQY394" s="104"/>
      <c r="QQZ394" s="455"/>
      <c r="QRA394" s="104"/>
      <c r="QRB394" s="104"/>
      <c r="QRC394" s="109"/>
      <c r="QRD394" s="104"/>
      <c r="QRE394" s="104"/>
      <c r="QRF394" s="119"/>
      <c r="QRG394" s="104"/>
      <c r="QRH394" s="455"/>
      <c r="QRI394" s="104"/>
      <c r="QRJ394" s="104"/>
      <c r="QRK394" s="109"/>
      <c r="QRL394" s="104"/>
      <c r="QRM394" s="104"/>
      <c r="QRN394" s="119"/>
      <c r="QRO394" s="104"/>
      <c r="QRP394" s="455"/>
      <c r="QRQ394" s="104"/>
      <c r="QRR394" s="104"/>
      <c r="QRS394" s="109"/>
      <c r="QRT394" s="104"/>
      <c r="QRU394" s="104"/>
      <c r="QRV394" s="119"/>
      <c r="QRW394" s="104"/>
      <c r="QRX394" s="455"/>
      <c r="QRY394" s="104"/>
      <c r="QRZ394" s="104"/>
      <c r="QSA394" s="109"/>
      <c r="QSB394" s="104"/>
      <c r="QSC394" s="104"/>
      <c r="QSD394" s="119"/>
      <c r="QSE394" s="104"/>
      <c r="QSF394" s="455"/>
      <c r="QSG394" s="104"/>
      <c r="QSH394" s="104"/>
      <c r="QSI394" s="109"/>
      <c r="QSJ394" s="104"/>
      <c r="QSK394" s="104"/>
      <c r="QSL394" s="119"/>
      <c r="QSM394" s="104"/>
      <c r="QSN394" s="455"/>
      <c r="QSO394" s="104"/>
      <c r="QSP394" s="104"/>
      <c r="QSQ394" s="109"/>
      <c r="QSR394" s="104"/>
      <c r="QSS394" s="104"/>
      <c r="QST394" s="119"/>
      <c r="QSU394" s="104"/>
      <c r="QSV394" s="455"/>
      <c r="QSW394" s="104"/>
      <c r="QSX394" s="104"/>
      <c r="QSY394" s="109"/>
      <c r="QSZ394" s="104"/>
      <c r="QTA394" s="104"/>
      <c r="QTB394" s="119"/>
      <c r="QTC394" s="104"/>
      <c r="QTD394" s="455"/>
      <c r="QTE394" s="104"/>
      <c r="QTF394" s="104"/>
      <c r="QTG394" s="109"/>
      <c r="QTH394" s="104"/>
      <c r="QTI394" s="104"/>
      <c r="QTJ394" s="119"/>
      <c r="QTK394" s="104"/>
      <c r="QTL394" s="455"/>
      <c r="QTM394" s="104"/>
      <c r="QTN394" s="104"/>
      <c r="QTO394" s="109"/>
      <c r="QTP394" s="104"/>
      <c r="QTQ394" s="104"/>
      <c r="QTR394" s="119"/>
      <c r="QTS394" s="104"/>
      <c r="QTT394" s="455"/>
      <c r="QTU394" s="104"/>
      <c r="QTV394" s="104"/>
      <c r="QTW394" s="109"/>
      <c r="QTX394" s="104"/>
      <c r="QTY394" s="104"/>
      <c r="QTZ394" s="119"/>
      <c r="QUA394" s="104"/>
      <c r="QUB394" s="455"/>
      <c r="QUC394" s="104"/>
      <c r="QUD394" s="104"/>
      <c r="QUE394" s="109"/>
      <c r="QUF394" s="104"/>
      <c r="QUG394" s="104"/>
      <c r="QUH394" s="119"/>
      <c r="QUI394" s="104"/>
      <c r="QUJ394" s="455"/>
      <c r="QUK394" s="104"/>
      <c r="QUL394" s="104"/>
      <c r="QUM394" s="109"/>
      <c r="QUN394" s="104"/>
      <c r="QUO394" s="104"/>
      <c r="QUP394" s="119"/>
      <c r="QUQ394" s="104"/>
      <c r="QUR394" s="455"/>
      <c r="QUS394" s="104"/>
      <c r="QUT394" s="104"/>
      <c r="QUU394" s="109"/>
      <c r="QUV394" s="104"/>
      <c r="QUW394" s="104"/>
      <c r="QUX394" s="119"/>
      <c r="QUY394" s="104"/>
      <c r="QUZ394" s="455"/>
      <c r="QVA394" s="104"/>
      <c r="QVB394" s="104"/>
      <c r="QVC394" s="109"/>
      <c r="QVD394" s="104"/>
      <c r="QVE394" s="104"/>
      <c r="QVF394" s="119"/>
      <c r="QVG394" s="104"/>
      <c r="QVH394" s="455"/>
      <c r="QVI394" s="104"/>
      <c r="QVJ394" s="104"/>
      <c r="QVK394" s="109"/>
      <c r="QVL394" s="104"/>
      <c r="QVM394" s="104"/>
      <c r="QVN394" s="119"/>
      <c r="QVO394" s="104"/>
      <c r="QVP394" s="455"/>
      <c r="QVQ394" s="104"/>
      <c r="QVR394" s="104"/>
      <c r="QVS394" s="109"/>
      <c r="QVT394" s="104"/>
      <c r="QVU394" s="104"/>
      <c r="QVV394" s="119"/>
      <c r="QVW394" s="104"/>
      <c r="QVX394" s="455"/>
      <c r="QVY394" s="104"/>
      <c r="QVZ394" s="104"/>
      <c r="QWA394" s="109"/>
      <c r="QWB394" s="104"/>
      <c r="QWC394" s="104"/>
      <c r="QWD394" s="119"/>
      <c r="QWE394" s="104"/>
      <c r="QWF394" s="455"/>
      <c r="QWG394" s="104"/>
      <c r="QWH394" s="104"/>
      <c r="QWI394" s="109"/>
      <c r="QWJ394" s="104"/>
      <c r="QWK394" s="104"/>
      <c r="QWL394" s="119"/>
      <c r="QWM394" s="104"/>
      <c r="QWN394" s="455"/>
      <c r="QWO394" s="104"/>
      <c r="QWP394" s="104"/>
      <c r="QWQ394" s="109"/>
      <c r="QWR394" s="104"/>
      <c r="QWS394" s="104"/>
      <c r="QWT394" s="119"/>
      <c r="QWU394" s="104"/>
      <c r="QWV394" s="455"/>
      <c r="QWW394" s="104"/>
      <c r="QWX394" s="104"/>
      <c r="QWY394" s="109"/>
      <c r="QWZ394" s="104"/>
      <c r="QXA394" s="104"/>
      <c r="QXB394" s="119"/>
      <c r="QXC394" s="104"/>
      <c r="QXD394" s="455"/>
      <c r="QXE394" s="104"/>
      <c r="QXF394" s="104"/>
      <c r="QXG394" s="109"/>
      <c r="QXH394" s="104"/>
      <c r="QXI394" s="104"/>
      <c r="QXJ394" s="119"/>
      <c r="QXK394" s="104"/>
      <c r="QXL394" s="455"/>
      <c r="QXM394" s="104"/>
      <c r="QXN394" s="104"/>
      <c r="QXO394" s="109"/>
      <c r="QXP394" s="104"/>
      <c r="QXQ394" s="104"/>
      <c r="QXR394" s="119"/>
      <c r="QXS394" s="104"/>
      <c r="QXT394" s="455"/>
      <c r="QXU394" s="104"/>
      <c r="QXV394" s="104"/>
      <c r="QXW394" s="109"/>
      <c r="QXX394" s="104"/>
      <c r="QXY394" s="104"/>
      <c r="QXZ394" s="119"/>
      <c r="QYA394" s="104"/>
      <c r="QYB394" s="455"/>
      <c r="QYC394" s="104"/>
      <c r="QYD394" s="104"/>
      <c r="QYE394" s="109"/>
      <c r="QYF394" s="104"/>
      <c r="QYG394" s="104"/>
      <c r="QYH394" s="119"/>
      <c r="QYI394" s="104"/>
      <c r="QYJ394" s="455"/>
      <c r="QYK394" s="104"/>
      <c r="QYL394" s="104"/>
      <c r="QYM394" s="109"/>
      <c r="QYN394" s="104"/>
      <c r="QYO394" s="104"/>
      <c r="QYP394" s="119"/>
      <c r="QYQ394" s="104"/>
      <c r="QYR394" s="455"/>
      <c r="QYS394" s="104"/>
      <c r="QYT394" s="104"/>
      <c r="QYU394" s="109"/>
      <c r="QYV394" s="104"/>
      <c r="QYW394" s="104"/>
      <c r="QYX394" s="119"/>
      <c r="QYY394" s="104"/>
      <c r="QYZ394" s="455"/>
      <c r="QZA394" s="104"/>
      <c r="QZB394" s="104"/>
      <c r="QZC394" s="109"/>
      <c r="QZD394" s="104"/>
      <c r="QZE394" s="104"/>
      <c r="QZF394" s="119"/>
      <c r="QZG394" s="104"/>
      <c r="QZH394" s="455"/>
      <c r="QZI394" s="104"/>
      <c r="QZJ394" s="104"/>
      <c r="QZK394" s="109"/>
      <c r="QZL394" s="104"/>
      <c r="QZM394" s="104"/>
      <c r="QZN394" s="119"/>
      <c r="QZO394" s="104"/>
      <c r="QZP394" s="455"/>
      <c r="QZQ394" s="104"/>
      <c r="QZR394" s="104"/>
      <c r="QZS394" s="109"/>
      <c r="QZT394" s="104"/>
      <c r="QZU394" s="104"/>
      <c r="QZV394" s="119"/>
      <c r="QZW394" s="104"/>
      <c r="QZX394" s="455"/>
      <c r="QZY394" s="104"/>
      <c r="QZZ394" s="104"/>
      <c r="RAA394" s="109"/>
      <c r="RAB394" s="104"/>
      <c r="RAC394" s="104"/>
      <c r="RAD394" s="119"/>
      <c r="RAE394" s="104"/>
      <c r="RAF394" s="455"/>
      <c r="RAG394" s="104"/>
      <c r="RAH394" s="104"/>
      <c r="RAI394" s="109"/>
      <c r="RAJ394" s="104"/>
      <c r="RAK394" s="104"/>
      <c r="RAL394" s="119"/>
      <c r="RAM394" s="104"/>
      <c r="RAN394" s="455"/>
      <c r="RAO394" s="104"/>
      <c r="RAP394" s="104"/>
      <c r="RAQ394" s="109"/>
      <c r="RAR394" s="104"/>
      <c r="RAS394" s="104"/>
      <c r="RAT394" s="119"/>
      <c r="RAU394" s="104"/>
      <c r="RAV394" s="455"/>
      <c r="RAW394" s="104"/>
      <c r="RAX394" s="104"/>
      <c r="RAY394" s="109"/>
      <c r="RAZ394" s="104"/>
      <c r="RBA394" s="104"/>
      <c r="RBB394" s="119"/>
      <c r="RBC394" s="104"/>
      <c r="RBD394" s="455"/>
      <c r="RBE394" s="104"/>
      <c r="RBF394" s="104"/>
      <c r="RBG394" s="109"/>
      <c r="RBH394" s="104"/>
      <c r="RBI394" s="104"/>
      <c r="RBJ394" s="119"/>
      <c r="RBK394" s="104"/>
      <c r="RBL394" s="455"/>
      <c r="RBM394" s="104"/>
      <c r="RBN394" s="104"/>
      <c r="RBO394" s="109"/>
      <c r="RBP394" s="104"/>
      <c r="RBQ394" s="104"/>
      <c r="RBR394" s="119"/>
      <c r="RBS394" s="104"/>
      <c r="RBT394" s="455"/>
      <c r="RBU394" s="104"/>
      <c r="RBV394" s="104"/>
      <c r="RBW394" s="109"/>
      <c r="RBX394" s="104"/>
      <c r="RBY394" s="104"/>
      <c r="RBZ394" s="119"/>
      <c r="RCA394" s="104"/>
      <c r="RCB394" s="455"/>
      <c r="RCC394" s="104"/>
      <c r="RCD394" s="104"/>
      <c r="RCE394" s="109"/>
      <c r="RCF394" s="104"/>
      <c r="RCG394" s="104"/>
      <c r="RCH394" s="119"/>
      <c r="RCI394" s="104"/>
      <c r="RCJ394" s="455"/>
      <c r="RCK394" s="104"/>
      <c r="RCL394" s="104"/>
      <c r="RCM394" s="109"/>
      <c r="RCN394" s="104"/>
      <c r="RCO394" s="104"/>
      <c r="RCP394" s="119"/>
      <c r="RCQ394" s="104"/>
      <c r="RCR394" s="455"/>
      <c r="RCS394" s="104"/>
      <c r="RCT394" s="104"/>
      <c r="RCU394" s="109"/>
      <c r="RCV394" s="104"/>
      <c r="RCW394" s="104"/>
      <c r="RCX394" s="119"/>
      <c r="RCY394" s="104"/>
      <c r="RCZ394" s="455"/>
      <c r="RDA394" s="104"/>
      <c r="RDB394" s="104"/>
      <c r="RDC394" s="109"/>
      <c r="RDD394" s="104"/>
      <c r="RDE394" s="104"/>
      <c r="RDF394" s="119"/>
      <c r="RDG394" s="104"/>
      <c r="RDH394" s="455"/>
      <c r="RDI394" s="104"/>
      <c r="RDJ394" s="104"/>
      <c r="RDK394" s="109"/>
      <c r="RDL394" s="104"/>
      <c r="RDM394" s="104"/>
      <c r="RDN394" s="119"/>
      <c r="RDO394" s="104"/>
      <c r="RDP394" s="455"/>
      <c r="RDQ394" s="104"/>
      <c r="RDR394" s="104"/>
      <c r="RDS394" s="109"/>
      <c r="RDT394" s="104"/>
      <c r="RDU394" s="104"/>
      <c r="RDV394" s="119"/>
      <c r="RDW394" s="104"/>
      <c r="RDX394" s="455"/>
      <c r="RDY394" s="104"/>
      <c r="RDZ394" s="104"/>
      <c r="REA394" s="109"/>
      <c r="REB394" s="104"/>
      <c r="REC394" s="104"/>
      <c r="RED394" s="119"/>
      <c r="REE394" s="104"/>
      <c r="REF394" s="455"/>
      <c r="REG394" s="104"/>
      <c r="REH394" s="104"/>
      <c r="REI394" s="109"/>
      <c r="REJ394" s="104"/>
      <c r="REK394" s="104"/>
      <c r="REL394" s="119"/>
      <c r="REM394" s="104"/>
      <c r="REN394" s="455"/>
      <c r="REO394" s="104"/>
      <c r="REP394" s="104"/>
      <c r="REQ394" s="109"/>
      <c r="RER394" s="104"/>
      <c r="RES394" s="104"/>
      <c r="RET394" s="119"/>
      <c r="REU394" s="104"/>
      <c r="REV394" s="455"/>
      <c r="REW394" s="104"/>
      <c r="REX394" s="104"/>
      <c r="REY394" s="109"/>
      <c r="REZ394" s="104"/>
      <c r="RFA394" s="104"/>
      <c r="RFB394" s="119"/>
      <c r="RFC394" s="104"/>
      <c r="RFD394" s="455"/>
      <c r="RFE394" s="104"/>
      <c r="RFF394" s="104"/>
      <c r="RFG394" s="109"/>
      <c r="RFH394" s="104"/>
      <c r="RFI394" s="104"/>
      <c r="RFJ394" s="119"/>
      <c r="RFK394" s="104"/>
      <c r="RFL394" s="455"/>
      <c r="RFM394" s="104"/>
      <c r="RFN394" s="104"/>
      <c r="RFO394" s="109"/>
      <c r="RFP394" s="104"/>
      <c r="RFQ394" s="104"/>
      <c r="RFR394" s="119"/>
      <c r="RFS394" s="104"/>
      <c r="RFT394" s="455"/>
      <c r="RFU394" s="104"/>
      <c r="RFV394" s="104"/>
      <c r="RFW394" s="109"/>
      <c r="RFX394" s="104"/>
      <c r="RFY394" s="104"/>
      <c r="RFZ394" s="119"/>
      <c r="RGA394" s="104"/>
      <c r="RGB394" s="455"/>
      <c r="RGC394" s="104"/>
      <c r="RGD394" s="104"/>
      <c r="RGE394" s="109"/>
      <c r="RGF394" s="104"/>
      <c r="RGG394" s="104"/>
      <c r="RGH394" s="119"/>
      <c r="RGI394" s="104"/>
      <c r="RGJ394" s="455"/>
      <c r="RGK394" s="104"/>
      <c r="RGL394" s="104"/>
      <c r="RGM394" s="109"/>
      <c r="RGN394" s="104"/>
      <c r="RGO394" s="104"/>
      <c r="RGP394" s="119"/>
      <c r="RGQ394" s="104"/>
      <c r="RGR394" s="455"/>
      <c r="RGS394" s="104"/>
      <c r="RGT394" s="104"/>
      <c r="RGU394" s="109"/>
      <c r="RGV394" s="104"/>
      <c r="RGW394" s="104"/>
      <c r="RGX394" s="119"/>
      <c r="RGY394" s="104"/>
      <c r="RGZ394" s="455"/>
      <c r="RHA394" s="104"/>
      <c r="RHB394" s="104"/>
      <c r="RHC394" s="109"/>
      <c r="RHD394" s="104"/>
      <c r="RHE394" s="104"/>
      <c r="RHF394" s="119"/>
      <c r="RHG394" s="104"/>
      <c r="RHH394" s="455"/>
      <c r="RHI394" s="104"/>
      <c r="RHJ394" s="104"/>
      <c r="RHK394" s="109"/>
      <c r="RHL394" s="104"/>
      <c r="RHM394" s="104"/>
      <c r="RHN394" s="119"/>
      <c r="RHO394" s="104"/>
      <c r="RHP394" s="455"/>
      <c r="RHQ394" s="104"/>
      <c r="RHR394" s="104"/>
      <c r="RHS394" s="109"/>
      <c r="RHT394" s="104"/>
      <c r="RHU394" s="104"/>
      <c r="RHV394" s="119"/>
      <c r="RHW394" s="104"/>
      <c r="RHX394" s="455"/>
      <c r="RHY394" s="104"/>
      <c r="RHZ394" s="104"/>
      <c r="RIA394" s="109"/>
      <c r="RIB394" s="104"/>
      <c r="RIC394" s="104"/>
      <c r="RID394" s="119"/>
      <c r="RIE394" s="104"/>
      <c r="RIF394" s="455"/>
      <c r="RIG394" s="104"/>
      <c r="RIH394" s="104"/>
      <c r="RII394" s="109"/>
      <c r="RIJ394" s="104"/>
      <c r="RIK394" s="104"/>
      <c r="RIL394" s="119"/>
      <c r="RIM394" s="104"/>
      <c r="RIN394" s="455"/>
      <c r="RIO394" s="104"/>
      <c r="RIP394" s="104"/>
      <c r="RIQ394" s="109"/>
      <c r="RIR394" s="104"/>
      <c r="RIS394" s="104"/>
      <c r="RIT394" s="119"/>
      <c r="RIU394" s="104"/>
      <c r="RIV394" s="455"/>
      <c r="RIW394" s="104"/>
      <c r="RIX394" s="104"/>
      <c r="RIY394" s="109"/>
      <c r="RIZ394" s="104"/>
      <c r="RJA394" s="104"/>
      <c r="RJB394" s="119"/>
      <c r="RJC394" s="104"/>
      <c r="RJD394" s="455"/>
      <c r="RJE394" s="104"/>
      <c r="RJF394" s="104"/>
      <c r="RJG394" s="109"/>
      <c r="RJH394" s="104"/>
      <c r="RJI394" s="104"/>
      <c r="RJJ394" s="119"/>
      <c r="RJK394" s="104"/>
      <c r="RJL394" s="455"/>
      <c r="RJM394" s="104"/>
      <c r="RJN394" s="104"/>
      <c r="RJO394" s="109"/>
      <c r="RJP394" s="104"/>
      <c r="RJQ394" s="104"/>
      <c r="RJR394" s="119"/>
      <c r="RJS394" s="104"/>
      <c r="RJT394" s="455"/>
      <c r="RJU394" s="104"/>
      <c r="RJV394" s="104"/>
      <c r="RJW394" s="109"/>
      <c r="RJX394" s="104"/>
      <c r="RJY394" s="104"/>
      <c r="RJZ394" s="119"/>
      <c r="RKA394" s="104"/>
      <c r="RKB394" s="455"/>
      <c r="RKC394" s="104"/>
      <c r="RKD394" s="104"/>
      <c r="RKE394" s="109"/>
      <c r="RKF394" s="104"/>
      <c r="RKG394" s="104"/>
      <c r="RKH394" s="119"/>
      <c r="RKI394" s="104"/>
      <c r="RKJ394" s="455"/>
      <c r="RKK394" s="104"/>
      <c r="RKL394" s="104"/>
      <c r="RKM394" s="109"/>
      <c r="RKN394" s="104"/>
      <c r="RKO394" s="104"/>
      <c r="RKP394" s="119"/>
      <c r="RKQ394" s="104"/>
      <c r="RKR394" s="455"/>
      <c r="RKS394" s="104"/>
      <c r="RKT394" s="104"/>
      <c r="RKU394" s="109"/>
      <c r="RKV394" s="104"/>
      <c r="RKW394" s="104"/>
      <c r="RKX394" s="119"/>
      <c r="RKY394" s="104"/>
      <c r="RKZ394" s="455"/>
      <c r="RLA394" s="104"/>
      <c r="RLB394" s="104"/>
      <c r="RLC394" s="109"/>
      <c r="RLD394" s="104"/>
      <c r="RLE394" s="104"/>
      <c r="RLF394" s="119"/>
      <c r="RLG394" s="104"/>
      <c r="RLH394" s="455"/>
      <c r="RLI394" s="104"/>
      <c r="RLJ394" s="104"/>
      <c r="RLK394" s="109"/>
      <c r="RLL394" s="104"/>
      <c r="RLM394" s="104"/>
      <c r="RLN394" s="119"/>
      <c r="RLO394" s="104"/>
      <c r="RLP394" s="455"/>
      <c r="RLQ394" s="104"/>
      <c r="RLR394" s="104"/>
      <c r="RLS394" s="109"/>
      <c r="RLT394" s="104"/>
      <c r="RLU394" s="104"/>
      <c r="RLV394" s="119"/>
      <c r="RLW394" s="104"/>
      <c r="RLX394" s="455"/>
      <c r="RLY394" s="104"/>
      <c r="RLZ394" s="104"/>
      <c r="RMA394" s="109"/>
      <c r="RMB394" s="104"/>
      <c r="RMC394" s="104"/>
      <c r="RMD394" s="119"/>
      <c r="RME394" s="104"/>
      <c r="RMF394" s="455"/>
      <c r="RMG394" s="104"/>
      <c r="RMH394" s="104"/>
      <c r="RMI394" s="109"/>
      <c r="RMJ394" s="104"/>
      <c r="RMK394" s="104"/>
      <c r="RML394" s="119"/>
      <c r="RMM394" s="104"/>
      <c r="RMN394" s="455"/>
      <c r="RMO394" s="104"/>
      <c r="RMP394" s="104"/>
      <c r="RMQ394" s="109"/>
      <c r="RMR394" s="104"/>
      <c r="RMS394" s="104"/>
      <c r="RMT394" s="119"/>
      <c r="RMU394" s="104"/>
      <c r="RMV394" s="455"/>
      <c r="RMW394" s="104"/>
      <c r="RMX394" s="104"/>
      <c r="RMY394" s="109"/>
      <c r="RMZ394" s="104"/>
      <c r="RNA394" s="104"/>
      <c r="RNB394" s="119"/>
      <c r="RNC394" s="104"/>
      <c r="RND394" s="455"/>
      <c r="RNE394" s="104"/>
      <c r="RNF394" s="104"/>
      <c r="RNG394" s="109"/>
      <c r="RNH394" s="104"/>
      <c r="RNI394" s="104"/>
      <c r="RNJ394" s="119"/>
      <c r="RNK394" s="104"/>
      <c r="RNL394" s="455"/>
      <c r="RNM394" s="104"/>
      <c r="RNN394" s="104"/>
      <c r="RNO394" s="109"/>
      <c r="RNP394" s="104"/>
      <c r="RNQ394" s="104"/>
      <c r="RNR394" s="119"/>
      <c r="RNS394" s="104"/>
      <c r="RNT394" s="455"/>
      <c r="RNU394" s="104"/>
      <c r="RNV394" s="104"/>
      <c r="RNW394" s="109"/>
      <c r="RNX394" s="104"/>
      <c r="RNY394" s="104"/>
      <c r="RNZ394" s="119"/>
      <c r="ROA394" s="104"/>
      <c r="ROB394" s="455"/>
      <c r="ROC394" s="104"/>
      <c r="ROD394" s="104"/>
      <c r="ROE394" s="109"/>
      <c r="ROF394" s="104"/>
      <c r="ROG394" s="104"/>
      <c r="ROH394" s="119"/>
      <c r="ROI394" s="104"/>
      <c r="ROJ394" s="455"/>
      <c r="ROK394" s="104"/>
      <c r="ROL394" s="104"/>
      <c r="ROM394" s="109"/>
      <c r="RON394" s="104"/>
      <c r="ROO394" s="104"/>
      <c r="ROP394" s="119"/>
      <c r="ROQ394" s="104"/>
      <c r="ROR394" s="455"/>
      <c r="ROS394" s="104"/>
      <c r="ROT394" s="104"/>
      <c r="ROU394" s="109"/>
      <c r="ROV394" s="104"/>
      <c r="ROW394" s="104"/>
      <c r="ROX394" s="119"/>
      <c r="ROY394" s="104"/>
      <c r="ROZ394" s="455"/>
      <c r="RPA394" s="104"/>
      <c r="RPB394" s="104"/>
      <c r="RPC394" s="109"/>
      <c r="RPD394" s="104"/>
      <c r="RPE394" s="104"/>
      <c r="RPF394" s="119"/>
      <c r="RPG394" s="104"/>
      <c r="RPH394" s="455"/>
      <c r="RPI394" s="104"/>
      <c r="RPJ394" s="104"/>
      <c r="RPK394" s="109"/>
      <c r="RPL394" s="104"/>
      <c r="RPM394" s="104"/>
      <c r="RPN394" s="119"/>
      <c r="RPO394" s="104"/>
      <c r="RPP394" s="455"/>
      <c r="RPQ394" s="104"/>
      <c r="RPR394" s="104"/>
      <c r="RPS394" s="109"/>
      <c r="RPT394" s="104"/>
      <c r="RPU394" s="104"/>
      <c r="RPV394" s="119"/>
      <c r="RPW394" s="104"/>
      <c r="RPX394" s="455"/>
      <c r="RPY394" s="104"/>
      <c r="RPZ394" s="104"/>
      <c r="RQA394" s="109"/>
      <c r="RQB394" s="104"/>
      <c r="RQC394" s="104"/>
      <c r="RQD394" s="119"/>
      <c r="RQE394" s="104"/>
      <c r="RQF394" s="455"/>
      <c r="RQG394" s="104"/>
      <c r="RQH394" s="104"/>
      <c r="RQI394" s="109"/>
      <c r="RQJ394" s="104"/>
      <c r="RQK394" s="104"/>
      <c r="RQL394" s="119"/>
      <c r="RQM394" s="104"/>
      <c r="RQN394" s="455"/>
      <c r="RQO394" s="104"/>
      <c r="RQP394" s="104"/>
      <c r="RQQ394" s="109"/>
      <c r="RQR394" s="104"/>
      <c r="RQS394" s="104"/>
      <c r="RQT394" s="119"/>
      <c r="RQU394" s="104"/>
      <c r="RQV394" s="455"/>
      <c r="RQW394" s="104"/>
      <c r="RQX394" s="104"/>
      <c r="RQY394" s="109"/>
      <c r="RQZ394" s="104"/>
      <c r="RRA394" s="104"/>
      <c r="RRB394" s="119"/>
      <c r="RRC394" s="104"/>
      <c r="RRD394" s="455"/>
      <c r="RRE394" s="104"/>
      <c r="RRF394" s="104"/>
      <c r="RRG394" s="109"/>
      <c r="RRH394" s="104"/>
      <c r="RRI394" s="104"/>
      <c r="RRJ394" s="119"/>
      <c r="RRK394" s="104"/>
      <c r="RRL394" s="455"/>
      <c r="RRM394" s="104"/>
      <c r="RRN394" s="104"/>
      <c r="RRO394" s="109"/>
      <c r="RRP394" s="104"/>
      <c r="RRQ394" s="104"/>
      <c r="RRR394" s="119"/>
      <c r="RRS394" s="104"/>
      <c r="RRT394" s="455"/>
      <c r="RRU394" s="104"/>
      <c r="RRV394" s="104"/>
      <c r="RRW394" s="109"/>
      <c r="RRX394" s="104"/>
      <c r="RRY394" s="104"/>
      <c r="RRZ394" s="119"/>
      <c r="RSA394" s="104"/>
      <c r="RSB394" s="455"/>
      <c r="RSC394" s="104"/>
      <c r="RSD394" s="104"/>
      <c r="RSE394" s="109"/>
      <c r="RSF394" s="104"/>
      <c r="RSG394" s="104"/>
      <c r="RSH394" s="119"/>
      <c r="RSI394" s="104"/>
      <c r="RSJ394" s="455"/>
      <c r="RSK394" s="104"/>
      <c r="RSL394" s="104"/>
      <c r="RSM394" s="109"/>
      <c r="RSN394" s="104"/>
      <c r="RSO394" s="104"/>
      <c r="RSP394" s="119"/>
      <c r="RSQ394" s="104"/>
      <c r="RSR394" s="455"/>
      <c r="RSS394" s="104"/>
      <c r="RST394" s="104"/>
      <c r="RSU394" s="109"/>
      <c r="RSV394" s="104"/>
      <c r="RSW394" s="104"/>
      <c r="RSX394" s="119"/>
      <c r="RSY394" s="104"/>
      <c r="RSZ394" s="455"/>
      <c r="RTA394" s="104"/>
      <c r="RTB394" s="104"/>
      <c r="RTC394" s="109"/>
      <c r="RTD394" s="104"/>
      <c r="RTE394" s="104"/>
      <c r="RTF394" s="119"/>
      <c r="RTG394" s="104"/>
      <c r="RTH394" s="455"/>
      <c r="RTI394" s="104"/>
      <c r="RTJ394" s="104"/>
      <c r="RTK394" s="109"/>
      <c r="RTL394" s="104"/>
      <c r="RTM394" s="104"/>
      <c r="RTN394" s="119"/>
      <c r="RTO394" s="104"/>
      <c r="RTP394" s="455"/>
      <c r="RTQ394" s="104"/>
      <c r="RTR394" s="104"/>
      <c r="RTS394" s="109"/>
      <c r="RTT394" s="104"/>
      <c r="RTU394" s="104"/>
      <c r="RTV394" s="119"/>
      <c r="RTW394" s="104"/>
      <c r="RTX394" s="455"/>
      <c r="RTY394" s="104"/>
      <c r="RTZ394" s="104"/>
      <c r="RUA394" s="109"/>
      <c r="RUB394" s="104"/>
      <c r="RUC394" s="104"/>
      <c r="RUD394" s="119"/>
      <c r="RUE394" s="104"/>
      <c r="RUF394" s="455"/>
      <c r="RUG394" s="104"/>
      <c r="RUH394" s="104"/>
      <c r="RUI394" s="109"/>
      <c r="RUJ394" s="104"/>
      <c r="RUK394" s="104"/>
      <c r="RUL394" s="119"/>
      <c r="RUM394" s="104"/>
      <c r="RUN394" s="455"/>
      <c r="RUO394" s="104"/>
      <c r="RUP394" s="104"/>
      <c r="RUQ394" s="109"/>
      <c r="RUR394" s="104"/>
      <c r="RUS394" s="104"/>
      <c r="RUT394" s="119"/>
      <c r="RUU394" s="104"/>
      <c r="RUV394" s="455"/>
      <c r="RUW394" s="104"/>
      <c r="RUX394" s="104"/>
      <c r="RUY394" s="109"/>
      <c r="RUZ394" s="104"/>
      <c r="RVA394" s="104"/>
      <c r="RVB394" s="119"/>
      <c r="RVC394" s="104"/>
      <c r="RVD394" s="455"/>
      <c r="RVE394" s="104"/>
      <c r="RVF394" s="104"/>
      <c r="RVG394" s="109"/>
      <c r="RVH394" s="104"/>
      <c r="RVI394" s="104"/>
      <c r="RVJ394" s="119"/>
      <c r="RVK394" s="104"/>
      <c r="RVL394" s="455"/>
      <c r="RVM394" s="104"/>
      <c r="RVN394" s="104"/>
      <c r="RVO394" s="109"/>
      <c r="RVP394" s="104"/>
      <c r="RVQ394" s="104"/>
      <c r="RVR394" s="119"/>
      <c r="RVS394" s="104"/>
      <c r="RVT394" s="455"/>
      <c r="RVU394" s="104"/>
      <c r="RVV394" s="104"/>
      <c r="RVW394" s="109"/>
      <c r="RVX394" s="104"/>
      <c r="RVY394" s="104"/>
      <c r="RVZ394" s="119"/>
      <c r="RWA394" s="104"/>
      <c r="RWB394" s="455"/>
      <c r="RWC394" s="104"/>
      <c r="RWD394" s="104"/>
      <c r="RWE394" s="109"/>
      <c r="RWF394" s="104"/>
      <c r="RWG394" s="104"/>
      <c r="RWH394" s="119"/>
      <c r="RWI394" s="104"/>
      <c r="RWJ394" s="455"/>
      <c r="RWK394" s="104"/>
      <c r="RWL394" s="104"/>
      <c r="RWM394" s="109"/>
      <c r="RWN394" s="104"/>
      <c r="RWO394" s="104"/>
      <c r="RWP394" s="119"/>
      <c r="RWQ394" s="104"/>
      <c r="RWR394" s="455"/>
      <c r="RWS394" s="104"/>
      <c r="RWT394" s="104"/>
      <c r="RWU394" s="109"/>
      <c r="RWV394" s="104"/>
      <c r="RWW394" s="104"/>
      <c r="RWX394" s="119"/>
      <c r="RWY394" s="104"/>
      <c r="RWZ394" s="455"/>
      <c r="RXA394" s="104"/>
      <c r="RXB394" s="104"/>
      <c r="RXC394" s="109"/>
      <c r="RXD394" s="104"/>
      <c r="RXE394" s="104"/>
      <c r="RXF394" s="119"/>
      <c r="RXG394" s="104"/>
      <c r="RXH394" s="455"/>
      <c r="RXI394" s="104"/>
      <c r="RXJ394" s="104"/>
      <c r="RXK394" s="109"/>
      <c r="RXL394" s="104"/>
      <c r="RXM394" s="104"/>
      <c r="RXN394" s="119"/>
      <c r="RXO394" s="104"/>
      <c r="RXP394" s="455"/>
      <c r="RXQ394" s="104"/>
      <c r="RXR394" s="104"/>
      <c r="RXS394" s="109"/>
      <c r="RXT394" s="104"/>
      <c r="RXU394" s="104"/>
      <c r="RXV394" s="119"/>
      <c r="RXW394" s="104"/>
      <c r="RXX394" s="455"/>
      <c r="RXY394" s="104"/>
      <c r="RXZ394" s="104"/>
      <c r="RYA394" s="109"/>
      <c r="RYB394" s="104"/>
      <c r="RYC394" s="104"/>
      <c r="RYD394" s="119"/>
      <c r="RYE394" s="104"/>
      <c r="RYF394" s="455"/>
      <c r="RYG394" s="104"/>
      <c r="RYH394" s="104"/>
      <c r="RYI394" s="109"/>
      <c r="RYJ394" s="104"/>
      <c r="RYK394" s="104"/>
      <c r="RYL394" s="119"/>
      <c r="RYM394" s="104"/>
      <c r="RYN394" s="455"/>
      <c r="RYO394" s="104"/>
      <c r="RYP394" s="104"/>
      <c r="RYQ394" s="109"/>
      <c r="RYR394" s="104"/>
      <c r="RYS394" s="104"/>
      <c r="RYT394" s="119"/>
      <c r="RYU394" s="104"/>
      <c r="RYV394" s="455"/>
      <c r="RYW394" s="104"/>
      <c r="RYX394" s="104"/>
      <c r="RYY394" s="109"/>
      <c r="RYZ394" s="104"/>
      <c r="RZA394" s="104"/>
      <c r="RZB394" s="119"/>
      <c r="RZC394" s="104"/>
      <c r="RZD394" s="455"/>
      <c r="RZE394" s="104"/>
      <c r="RZF394" s="104"/>
      <c r="RZG394" s="109"/>
      <c r="RZH394" s="104"/>
      <c r="RZI394" s="104"/>
      <c r="RZJ394" s="119"/>
      <c r="RZK394" s="104"/>
      <c r="RZL394" s="455"/>
      <c r="RZM394" s="104"/>
      <c r="RZN394" s="104"/>
      <c r="RZO394" s="109"/>
      <c r="RZP394" s="104"/>
      <c r="RZQ394" s="104"/>
      <c r="RZR394" s="119"/>
      <c r="RZS394" s="104"/>
      <c r="RZT394" s="455"/>
      <c r="RZU394" s="104"/>
      <c r="RZV394" s="104"/>
      <c r="RZW394" s="109"/>
      <c r="RZX394" s="104"/>
      <c r="RZY394" s="104"/>
      <c r="RZZ394" s="119"/>
      <c r="SAA394" s="104"/>
      <c r="SAB394" s="455"/>
      <c r="SAC394" s="104"/>
      <c r="SAD394" s="104"/>
      <c r="SAE394" s="109"/>
      <c r="SAF394" s="104"/>
      <c r="SAG394" s="104"/>
      <c r="SAH394" s="119"/>
      <c r="SAI394" s="104"/>
      <c r="SAJ394" s="455"/>
      <c r="SAK394" s="104"/>
      <c r="SAL394" s="104"/>
      <c r="SAM394" s="109"/>
      <c r="SAN394" s="104"/>
      <c r="SAO394" s="104"/>
      <c r="SAP394" s="119"/>
      <c r="SAQ394" s="104"/>
      <c r="SAR394" s="455"/>
      <c r="SAS394" s="104"/>
      <c r="SAT394" s="104"/>
      <c r="SAU394" s="109"/>
      <c r="SAV394" s="104"/>
      <c r="SAW394" s="104"/>
      <c r="SAX394" s="119"/>
      <c r="SAY394" s="104"/>
      <c r="SAZ394" s="455"/>
      <c r="SBA394" s="104"/>
      <c r="SBB394" s="104"/>
      <c r="SBC394" s="109"/>
      <c r="SBD394" s="104"/>
      <c r="SBE394" s="104"/>
      <c r="SBF394" s="119"/>
      <c r="SBG394" s="104"/>
      <c r="SBH394" s="455"/>
      <c r="SBI394" s="104"/>
      <c r="SBJ394" s="104"/>
      <c r="SBK394" s="109"/>
      <c r="SBL394" s="104"/>
      <c r="SBM394" s="104"/>
      <c r="SBN394" s="119"/>
      <c r="SBO394" s="104"/>
      <c r="SBP394" s="455"/>
      <c r="SBQ394" s="104"/>
      <c r="SBR394" s="104"/>
      <c r="SBS394" s="109"/>
      <c r="SBT394" s="104"/>
      <c r="SBU394" s="104"/>
      <c r="SBV394" s="119"/>
      <c r="SBW394" s="104"/>
      <c r="SBX394" s="455"/>
      <c r="SBY394" s="104"/>
      <c r="SBZ394" s="104"/>
      <c r="SCA394" s="109"/>
      <c r="SCB394" s="104"/>
      <c r="SCC394" s="104"/>
      <c r="SCD394" s="119"/>
      <c r="SCE394" s="104"/>
      <c r="SCF394" s="455"/>
      <c r="SCG394" s="104"/>
      <c r="SCH394" s="104"/>
      <c r="SCI394" s="109"/>
      <c r="SCJ394" s="104"/>
      <c r="SCK394" s="104"/>
      <c r="SCL394" s="119"/>
      <c r="SCM394" s="104"/>
      <c r="SCN394" s="455"/>
      <c r="SCO394" s="104"/>
      <c r="SCP394" s="104"/>
      <c r="SCQ394" s="109"/>
      <c r="SCR394" s="104"/>
      <c r="SCS394" s="104"/>
      <c r="SCT394" s="119"/>
      <c r="SCU394" s="104"/>
      <c r="SCV394" s="455"/>
      <c r="SCW394" s="104"/>
      <c r="SCX394" s="104"/>
      <c r="SCY394" s="109"/>
      <c r="SCZ394" s="104"/>
      <c r="SDA394" s="104"/>
      <c r="SDB394" s="119"/>
      <c r="SDC394" s="104"/>
      <c r="SDD394" s="455"/>
      <c r="SDE394" s="104"/>
      <c r="SDF394" s="104"/>
      <c r="SDG394" s="109"/>
      <c r="SDH394" s="104"/>
      <c r="SDI394" s="104"/>
      <c r="SDJ394" s="119"/>
      <c r="SDK394" s="104"/>
      <c r="SDL394" s="455"/>
      <c r="SDM394" s="104"/>
      <c r="SDN394" s="104"/>
      <c r="SDO394" s="109"/>
      <c r="SDP394" s="104"/>
      <c r="SDQ394" s="104"/>
      <c r="SDR394" s="119"/>
      <c r="SDS394" s="104"/>
      <c r="SDT394" s="455"/>
      <c r="SDU394" s="104"/>
      <c r="SDV394" s="104"/>
      <c r="SDW394" s="109"/>
      <c r="SDX394" s="104"/>
      <c r="SDY394" s="104"/>
      <c r="SDZ394" s="119"/>
      <c r="SEA394" s="104"/>
      <c r="SEB394" s="455"/>
      <c r="SEC394" s="104"/>
      <c r="SED394" s="104"/>
      <c r="SEE394" s="109"/>
      <c r="SEF394" s="104"/>
      <c r="SEG394" s="104"/>
      <c r="SEH394" s="119"/>
      <c r="SEI394" s="104"/>
      <c r="SEJ394" s="455"/>
      <c r="SEK394" s="104"/>
      <c r="SEL394" s="104"/>
      <c r="SEM394" s="109"/>
      <c r="SEN394" s="104"/>
      <c r="SEO394" s="104"/>
      <c r="SEP394" s="119"/>
      <c r="SEQ394" s="104"/>
      <c r="SER394" s="455"/>
      <c r="SES394" s="104"/>
      <c r="SET394" s="104"/>
      <c r="SEU394" s="109"/>
      <c r="SEV394" s="104"/>
      <c r="SEW394" s="104"/>
      <c r="SEX394" s="119"/>
      <c r="SEY394" s="104"/>
      <c r="SEZ394" s="455"/>
      <c r="SFA394" s="104"/>
      <c r="SFB394" s="104"/>
      <c r="SFC394" s="109"/>
      <c r="SFD394" s="104"/>
      <c r="SFE394" s="104"/>
      <c r="SFF394" s="119"/>
      <c r="SFG394" s="104"/>
      <c r="SFH394" s="455"/>
      <c r="SFI394" s="104"/>
      <c r="SFJ394" s="104"/>
      <c r="SFK394" s="109"/>
      <c r="SFL394" s="104"/>
      <c r="SFM394" s="104"/>
      <c r="SFN394" s="119"/>
      <c r="SFO394" s="104"/>
      <c r="SFP394" s="455"/>
      <c r="SFQ394" s="104"/>
      <c r="SFR394" s="104"/>
      <c r="SFS394" s="109"/>
      <c r="SFT394" s="104"/>
      <c r="SFU394" s="104"/>
      <c r="SFV394" s="119"/>
      <c r="SFW394" s="104"/>
      <c r="SFX394" s="455"/>
      <c r="SFY394" s="104"/>
      <c r="SFZ394" s="104"/>
      <c r="SGA394" s="109"/>
      <c r="SGB394" s="104"/>
      <c r="SGC394" s="104"/>
      <c r="SGD394" s="119"/>
      <c r="SGE394" s="104"/>
      <c r="SGF394" s="455"/>
      <c r="SGG394" s="104"/>
      <c r="SGH394" s="104"/>
      <c r="SGI394" s="109"/>
      <c r="SGJ394" s="104"/>
      <c r="SGK394" s="104"/>
      <c r="SGL394" s="119"/>
      <c r="SGM394" s="104"/>
      <c r="SGN394" s="455"/>
      <c r="SGO394" s="104"/>
      <c r="SGP394" s="104"/>
      <c r="SGQ394" s="109"/>
      <c r="SGR394" s="104"/>
      <c r="SGS394" s="104"/>
      <c r="SGT394" s="119"/>
      <c r="SGU394" s="104"/>
      <c r="SGV394" s="455"/>
      <c r="SGW394" s="104"/>
      <c r="SGX394" s="104"/>
      <c r="SGY394" s="109"/>
      <c r="SGZ394" s="104"/>
      <c r="SHA394" s="104"/>
      <c r="SHB394" s="119"/>
      <c r="SHC394" s="104"/>
      <c r="SHD394" s="455"/>
      <c r="SHE394" s="104"/>
      <c r="SHF394" s="104"/>
      <c r="SHG394" s="109"/>
      <c r="SHH394" s="104"/>
      <c r="SHI394" s="104"/>
      <c r="SHJ394" s="119"/>
      <c r="SHK394" s="104"/>
      <c r="SHL394" s="455"/>
      <c r="SHM394" s="104"/>
      <c r="SHN394" s="104"/>
      <c r="SHO394" s="109"/>
      <c r="SHP394" s="104"/>
      <c r="SHQ394" s="104"/>
      <c r="SHR394" s="119"/>
      <c r="SHS394" s="104"/>
      <c r="SHT394" s="455"/>
      <c r="SHU394" s="104"/>
      <c r="SHV394" s="104"/>
      <c r="SHW394" s="109"/>
      <c r="SHX394" s="104"/>
      <c r="SHY394" s="104"/>
      <c r="SHZ394" s="119"/>
      <c r="SIA394" s="104"/>
      <c r="SIB394" s="455"/>
      <c r="SIC394" s="104"/>
      <c r="SID394" s="104"/>
      <c r="SIE394" s="109"/>
      <c r="SIF394" s="104"/>
      <c r="SIG394" s="104"/>
      <c r="SIH394" s="119"/>
      <c r="SII394" s="104"/>
      <c r="SIJ394" s="455"/>
      <c r="SIK394" s="104"/>
      <c r="SIL394" s="104"/>
      <c r="SIM394" s="109"/>
      <c r="SIN394" s="104"/>
      <c r="SIO394" s="104"/>
      <c r="SIP394" s="119"/>
      <c r="SIQ394" s="104"/>
      <c r="SIR394" s="455"/>
      <c r="SIS394" s="104"/>
      <c r="SIT394" s="104"/>
      <c r="SIU394" s="109"/>
      <c r="SIV394" s="104"/>
      <c r="SIW394" s="104"/>
      <c r="SIX394" s="119"/>
      <c r="SIY394" s="104"/>
      <c r="SIZ394" s="455"/>
      <c r="SJA394" s="104"/>
      <c r="SJB394" s="104"/>
      <c r="SJC394" s="109"/>
      <c r="SJD394" s="104"/>
      <c r="SJE394" s="104"/>
      <c r="SJF394" s="119"/>
      <c r="SJG394" s="104"/>
      <c r="SJH394" s="455"/>
      <c r="SJI394" s="104"/>
      <c r="SJJ394" s="104"/>
      <c r="SJK394" s="109"/>
      <c r="SJL394" s="104"/>
      <c r="SJM394" s="104"/>
      <c r="SJN394" s="119"/>
      <c r="SJO394" s="104"/>
      <c r="SJP394" s="455"/>
      <c r="SJQ394" s="104"/>
      <c r="SJR394" s="104"/>
      <c r="SJS394" s="109"/>
      <c r="SJT394" s="104"/>
      <c r="SJU394" s="104"/>
      <c r="SJV394" s="119"/>
      <c r="SJW394" s="104"/>
      <c r="SJX394" s="455"/>
      <c r="SJY394" s="104"/>
      <c r="SJZ394" s="104"/>
      <c r="SKA394" s="109"/>
      <c r="SKB394" s="104"/>
      <c r="SKC394" s="104"/>
      <c r="SKD394" s="119"/>
      <c r="SKE394" s="104"/>
      <c r="SKF394" s="455"/>
      <c r="SKG394" s="104"/>
      <c r="SKH394" s="104"/>
      <c r="SKI394" s="109"/>
      <c r="SKJ394" s="104"/>
      <c r="SKK394" s="104"/>
      <c r="SKL394" s="119"/>
      <c r="SKM394" s="104"/>
      <c r="SKN394" s="455"/>
      <c r="SKO394" s="104"/>
      <c r="SKP394" s="104"/>
      <c r="SKQ394" s="109"/>
      <c r="SKR394" s="104"/>
      <c r="SKS394" s="104"/>
      <c r="SKT394" s="119"/>
      <c r="SKU394" s="104"/>
      <c r="SKV394" s="455"/>
      <c r="SKW394" s="104"/>
      <c r="SKX394" s="104"/>
      <c r="SKY394" s="109"/>
      <c r="SKZ394" s="104"/>
      <c r="SLA394" s="104"/>
      <c r="SLB394" s="119"/>
      <c r="SLC394" s="104"/>
      <c r="SLD394" s="455"/>
      <c r="SLE394" s="104"/>
      <c r="SLF394" s="104"/>
      <c r="SLG394" s="109"/>
      <c r="SLH394" s="104"/>
      <c r="SLI394" s="104"/>
      <c r="SLJ394" s="119"/>
      <c r="SLK394" s="104"/>
      <c r="SLL394" s="455"/>
      <c r="SLM394" s="104"/>
      <c r="SLN394" s="104"/>
      <c r="SLO394" s="109"/>
      <c r="SLP394" s="104"/>
      <c r="SLQ394" s="104"/>
      <c r="SLR394" s="119"/>
      <c r="SLS394" s="104"/>
      <c r="SLT394" s="455"/>
      <c r="SLU394" s="104"/>
      <c r="SLV394" s="104"/>
      <c r="SLW394" s="109"/>
      <c r="SLX394" s="104"/>
      <c r="SLY394" s="104"/>
      <c r="SLZ394" s="119"/>
      <c r="SMA394" s="104"/>
      <c r="SMB394" s="455"/>
      <c r="SMC394" s="104"/>
      <c r="SMD394" s="104"/>
      <c r="SME394" s="109"/>
      <c r="SMF394" s="104"/>
      <c r="SMG394" s="104"/>
      <c r="SMH394" s="119"/>
      <c r="SMI394" s="104"/>
      <c r="SMJ394" s="455"/>
      <c r="SMK394" s="104"/>
      <c r="SML394" s="104"/>
      <c r="SMM394" s="109"/>
      <c r="SMN394" s="104"/>
      <c r="SMO394" s="104"/>
      <c r="SMP394" s="119"/>
      <c r="SMQ394" s="104"/>
      <c r="SMR394" s="455"/>
      <c r="SMS394" s="104"/>
      <c r="SMT394" s="104"/>
      <c r="SMU394" s="109"/>
      <c r="SMV394" s="104"/>
      <c r="SMW394" s="104"/>
      <c r="SMX394" s="119"/>
      <c r="SMY394" s="104"/>
      <c r="SMZ394" s="455"/>
      <c r="SNA394" s="104"/>
      <c r="SNB394" s="104"/>
      <c r="SNC394" s="109"/>
      <c r="SND394" s="104"/>
      <c r="SNE394" s="104"/>
      <c r="SNF394" s="119"/>
      <c r="SNG394" s="104"/>
      <c r="SNH394" s="455"/>
      <c r="SNI394" s="104"/>
      <c r="SNJ394" s="104"/>
      <c r="SNK394" s="109"/>
      <c r="SNL394" s="104"/>
      <c r="SNM394" s="104"/>
      <c r="SNN394" s="119"/>
      <c r="SNO394" s="104"/>
      <c r="SNP394" s="455"/>
      <c r="SNQ394" s="104"/>
      <c r="SNR394" s="104"/>
      <c r="SNS394" s="109"/>
      <c r="SNT394" s="104"/>
      <c r="SNU394" s="104"/>
      <c r="SNV394" s="119"/>
      <c r="SNW394" s="104"/>
      <c r="SNX394" s="455"/>
      <c r="SNY394" s="104"/>
      <c r="SNZ394" s="104"/>
      <c r="SOA394" s="109"/>
      <c r="SOB394" s="104"/>
      <c r="SOC394" s="104"/>
      <c r="SOD394" s="119"/>
      <c r="SOE394" s="104"/>
      <c r="SOF394" s="455"/>
      <c r="SOG394" s="104"/>
      <c r="SOH394" s="104"/>
      <c r="SOI394" s="109"/>
      <c r="SOJ394" s="104"/>
      <c r="SOK394" s="104"/>
      <c r="SOL394" s="119"/>
      <c r="SOM394" s="104"/>
      <c r="SON394" s="455"/>
      <c r="SOO394" s="104"/>
      <c r="SOP394" s="104"/>
      <c r="SOQ394" s="109"/>
      <c r="SOR394" s="104"/>
      <c r="SOS394" s="104"/>
      <c r="SOT394" s="119"/>
      <c r="SOU394" s="104"/>
      <c r="SOV394" s="455"/>
      <c r="SOW394" s="104"/>
      <c r="SOX394" s="104"/>
      <c r="SOY394" s="109"/>
      <c r="SOZ394" s="104"/>
      <c r="SPA394" s="104"/>
      <c r="SPB394" s="119"/>
      <c r="SPC394" s="104"/>
      <c r="SPD394" s="455"/>
      <c r="SPE394" s="104"/>
      <c r="SPF394" s="104"/>
      <c r="SPG394" s="109"/>
      <c r="SPH394" s="104"/>
      <c r="SPI394" s="104"/>
      <c r="SPJ394" s="119"/>
      <c r="SPK394" s="104"/>
      <c r="SPL394" s="455"/>
      <c r="SPM394" s="104"/>
      <c r="SPN394" s="104"/>
      <c r="SPO394" s="109"/>
      <c r="SPP394" s="104"/>
      <c r="SPQ394" s="104"/>
      <c r="SPR394" s="119"/>
      <c r="SPS394" s="104"/>
      <c r="SPT394" s="455"/>
      <c r="SPU394" s="104"/>
      <c r="SPV394" s="104"/>
      <c r="SPW394" s="109"/>
      <c r="SPX394" s="104"/>
      <c r="SPY394" s="104"/>
      <c r="SPZ394" s="119"/>
      <c r="SQA394" s="104"/>
      <c r="SQB394" s="455"/>
      <c r="SQC394" s="104"/>
      <c r="SQD394" s="104"/>
      <c r="SQE394" s="109"/>
      <c r="SQF394" s="104"/>
      <c r="SQG394" s="104"/>
      <c r="SQH394" s="119"/>
      <c r="SQI394" s="104"/>
      <c r="SQJ394" s="455"/>
      <c r="SQK394" s="104"/>
      <c r="SQL394" s="104"/>
      <c r="SQM394" s="109"/>
      <c r="SQN394" s="104"/>
      <c r="SQO394" s="104"/>
      <c r="SQP394" s="119"/>
      <c r="SQQ394" s="104"/>
      <c r="SQR394" s="455"/>
      <c r="SQS394" s="104"/>
      <c r="SQT394" s="104"/>
      <c r="SQU394" s="109"/>
      <c r="SQV394" s="104"/>
      <c r="SQW394" s="104"/>
      <c r="SQX394" s="119"/>
      <c r="SQY394" s="104"/>
      <c r="SQZ394" s="455"/>
      <c r="SRA394" s="104"/>
      <c r="SRB394" s="104"/>
      <c r="SRC394" s="109"/>
      <c r="SRD394" s="104"/>
      <c r="SRE394" s="104"/>
      <c r="SRF394" s="119"/>
      <c r="SRG394" s="104"/>
      <c r="SRH394" s="455"/>
      <c r="SRI394" s="104"/>
      <c r="SRJ394" s="104"/>
      <c r="SRK394" s="109"/>
      <c r="SRL394" s="104"/>
      <c r="SRM394" s="104"/>
      <c r="SRN394" s="119"/>
      <c r="SRO394" s="104"/>
      <c r="SRP394" s="455"/>
      <c r="SRQ394" s="104"/>
      <c r="SRR394" s="104"/>
      <c r="SRS394" s="109"/>
      <c r="SRT394" s="104"/>
      <c r="SRU394" s="104"/>
      <c r="SRV394" s="119"/>
      <c r="SRW394" s="104"/>
      <c r="SRX394" s="455"/>
      <c r="SRY394" s="104"/>
      <c r="SRZ394" s="104"/>
      <c r="SSA394" s="109"/>
      <c r="SSB394" s="104"/>
      <c r="SSC394" s="104"/>
      <c r="SSD394" s="119"/>
      <c r="SSE394" s="104"/>
      <c r="SSF394" s="455"/>
      <c r="SSG394" s="104"/>
      <c r="SSH394" s="104"/>
      <c r="SSI394" s="109"/>
      <c r="SSJ394" s="104"/>
      <c r="SSK394" s="104"/>
      <c r="SSL394" s="119"/>
      <c r="SSM394" s="104"/>
      <c r="SSN394" s="455"/>
      <c r="SSO394" s="104"/>
      <c r="SSP394" s="104"/>
      <c r="SSQ394" s="109"/>
      <c r="SSR394" s="104"/>
      <c r="SSS394" s="104"/>
      <c r="SST394" s="119"/>
      <c r="SSU394" s="104"/>
      <c r="SSV394" s="455"/>
      <c r="SSW394" s="104"/>
      <c r="SSX394" s="104"/>
      <c r="SSY394" s="109"/>
      <c r="SSZ394" s="104"/>
      <c r="STA394" s="104"/>
      <c r="STB394" s="119"/>
      <c r="STC394" s="104"/>
      <c r="STD394" s="455"/>
      <c r="STE394" s="104"/>
      <c r="STF394" s="104"/>
      <c r="STG394" s="109"/>
      <c r="STH394" s="104"/>
      <c r="STI394" s="104"/>
      <c r="STJ394" s="119"/>
      <c r="STK394" s="104"/>
      <c r="STL394" s="455"/>
      <c r="STM394" s="104"/>
      <c r="STN394" s="104"/>
      <c r="STO394" s="109"/>
      <c r="STP394" s="104"/>
      <c r="STQ394" s="104"/>
      <c r="STR394" s="119"/>
      <c r="STS394" s="104"/>
      <c r="STT394" s="455"/>
      <c r="STU394" s="104"/>
      <c r="STV394" s="104"/>
      <c r="STW394" s="109"/>
      <c r="STX394" s="104"/>
      <c r="STY394" s="104"/>
      <c r="STZ394" s="119"/>
      <c r="SUA394" s="104"/>
      <c r="SUB394" s="455"/>
      <c r="SUC394" s="104"/>
      <c r="SUD394" s="104"/>
      <c r="SUE394" s="109"/>
      <c r="SUF394" s="104"/>
      <c r="SUG394" s="104"/>
      <c r="SUH394" s="119"/>
      <c r="SUI394" s="104"/>
      <c r="SUJ394" s="455"/>
      <c r="SUK394" s="104"/>
      <c r="SUL394" s="104"/>
      <c r="SUM394" s="109"/>
      <c r="SUN394" s="104"/>
      <c r="SUO394" s="104"/>
      <c r="SUP394" s="119"/>
      <c r="SUQ394" s="104"/>
      <c r="SUR394" s="455"/>
      <c r="SUS394" s="104"/>
      <c r="SUT394" s="104"/>
      <c r="SUU394" s="109"/>
      <c r="SUV394" s="104"/>
      <c r="SUW394" s="104"/>
      <c r="SUX394" s="119"/>
      <c r="SUY394" s="104"/>
      <c r="SUZ394" s="455"/>
      <c r="SVA394" s="104"/>
      <c r="SVB394" s="104"/>
      <c r="SVC394" s="109"/>
      <c r="SVD394" s="104"/>
      <c r="SVE394" s="104"/>
      <c r="SVF394" s="119"/>
      <c r="SVG394" s="104"/>
      <c r="SVH394" s="455"/>
      <c r="SVI394" s="104"/>
      <c r="SVJ394" s="104"/>
      <c r="SVK394" s="109"/>
      <c r="SVL394" s="104"/>
      <c r="SVM394" s="104"/>
      <c r="SVN394" s="119"/>
      <c r="SVO394" s="104"/>
      <c r="SVP394" s="455"/>
      <c r="SVQ394" s="104"/>
      <c r="SVR394" s="104"/>
      <c r="SVS394" s="109"/>
      <c r="SVT394" s="104"/>
      <c r="SVU394" s="104"/>
      <c r="SVV394" s="119"/>
      <c r="SVW394" s="104"/>
      <c r="SVX394" s="455"/>
      <c r="SVY394" s="104"/>
      <c r="SVZ394" s="104"/>
      <c r="SWA394" s="109"/>
      <c r="SWB394" s="104"/>
      <c r="SWC394" s="104"/>
      <c r="SWD394" s="119"/>
      <c r="SWE394" s="104"/>
      <c r="SWF394" s="455"/>
      <c r="SWG394" s="104"/>
      <c r="SWH394" s="104"/>
      <c r="SWI394" s="109"/>
      <c r="SWJ394" s="104"/>
      <c r="SWK394" s="104"/>
      <c r="SWL394" s="119"/>
      <c r="SWM394" s="104"/>
      <c r="SWN394" s="455"/>
      <c r="SWO394" s="104"/>
      <c r="SWP394" s="104"/>
      <c r="SWQ394" s="109"/>
      <c r="SWR394" s="104"/>
      <c r="SWS394" s="104"/>
      <c r="SWT394" s="119"/>
      <c r="SWU394" s="104"/>
      <c r="SWV394" s="455"/>
      <c r="SWW394" s="104"/>
      <c r="SWX394" s="104"/>
      <c r="SWY394" s="109"/>
      <c r="SWZ394" s="104"/>
      <c r="SXA394" s="104"/>
      <c r="SXB394" s="119"/>
      <c r="SXC394" s="104"/>
      <c r="SXD394" s="455"/>
      <c r="SXE394" s="104"/>
      <c r="SXF394" s="104"/>
      <c r="SXG394" s="109"/>
      <c r="SXH394" s="104"/>
      <c r="SXI394" s="104"/>
      <c r="SXJ394" s="119"/>
      <c r="SXK394" s="104"/>
      <c r="SXL394" s="455"/>
      <c r="SXM394" s="104"/>
      <c r="SXN394" s="104"/>
      <c r="SXO394" s="109"/>
      <c r="SXP394" s="104"/>
      <c r="SXQ394" s="104"/>
      <c r="SXR394" s="119"/>
      <c r="SXS394" s="104"/>
      <c r="SXT394" s="455"/>
      <c r="SXU394" s="104"/>
      <c r="SXV394" s="104"/>
      <c r="SXW394" s="109"/>
      <c r="SXX394" s="104"/>
      <c r="SXY394" s="104"/>
      <c r="SXZ394" s="119"/>
      <c r="SYA394" s="104"/>
      <c r="SYB394" s="455"/>
      <c r="SYC394" s="104"/>
      <c r="SYD394" s="104"/>
      <c r="SYE394" s="109"/>
      <c r="SYF394" s="104"/>
      <c r="SYG394" s="104"/>
      <c r="SYH394" s="119"/>
      <c r="SYI394" s="104"/>
      <c r="SYJ394" s="455"/>
      <c r="SYK394" s="104"/>
      <c r="SYL394" s="104"/>
      <c r="SYM394" s="109"/>
      <c r="SYN394" s="104"/>
      <c r="SYO394" s="104"/>
      <c r="SYP394" s="119"/>
      <c r="SYQ394" s="104"/>
      <c r="SYR394" s="455"/>
      <c r="SYS394" s="104"/>
      <c r="SYT394" s="104"/>
      <c r="SYU394" s="109"/>
      <c r="SYV394" s="104"/>
      <c r="SYW394" s="104"/>
      <c r="SYX394" s="119"/>
      <c r="SYY394" s="104"/>
      <c r="SYZ394" s="455"/>
      <c r="SZA394" s="104"/>
      <c r="SZB394" s="104"/>
      <c r="SZC394" s="109"/>
      <c r="SZD394" s="104"/>
      <c r="SZE394" s="104"/>
      <c r="SZF394" s="119"/>
      <c r="SZG394" s="104"/>
      <c r="SZH394" s="455"/>
      <c r="SZI394" s="104"/>
      <c r="SZJ394" s="104"/>
      <c r="SZK394" s="109"/>
      <c r="SZL394" s="104"/>
      <c r="SZM394" s="104"/>
      <c r="SZN394" s="119"/>
      <c r="SZO394" s="104"/>
      <c r="SZP394" s="455"/>
      <c r="SZQ394" s="104"/>
      <c r="SZR394" s="104"/>
      <c r="SZS394" s="109"/>
      <c r="SZT394" s="104"/>
      <c r="SZU394" s="104"/>
      <c r="SZV394" s="119"/>
      <c r="SZW394" s="104"/>
      <c r="SZX394" s="455"/>
      <c r="SZY394" s="104"/>
      <c r="SZZ394" s="104"/>
      <c r="TAA394" s="109"/>
      <c r="TAB394" s="104"/>
      <c r="TAC394" s="104"/>
      <c r="TAD394" s="119"/>
      <c r="TAE394" s="104"/>
      <c r="TAF394" s="455"/>
      <c r="TAG394" s="104"/>
      <c r="TAH394" s="104"/>
      <c r="TAI394" s="109"/>
      <c r="TAJ394" s="104"/>
      <c r="TAK394" s="104"/>
      <c r="TAL394" s="119"/>
      <c r="TAM394" s="104"/>
      <c r="TAN394" s="455"/>
      <c r="TAO394" s="104"/>
      <c r="TAP394" s="104"/>
      <c r="TAQ394" s="109"/>
      <c r="TAR394" s="104"/>
      <c r="TAS394" s="104"/>
      <c r="TAT394" s="119"/>
      <c r="TAU394" s="104"/>
      <c r="TAV394" s="455"/>
      <c r="TAW394" s="104"/>
      <c r="TAX394" s="104"/>
      <c r="TAY394" s="109"/>
      <c r="TAZ394" s="104"/>
      <c r="TBA394" s="104"/>
      <c r="TBB394" s="119"/>
      <c r="TBC394" s="104"/>
      <c r="TBD394" s="455"/>
      <c r="TBE394" s="104"/>
      <c r="TBF394" s="104"/>
      <c r="TBG394" s="109"/>
      <c r="TBH394" s="104"/>
      <c r="TBI394" s="104"/>
      <c r="TBJ394" s="119"/>
      <c r="TBK394" s="104"/>
      <c r="TBL394" s="455"/>
      <c r="TBM394" s="104"/>
      <c r="TBN394" s="104"/>
      <c r="TBO394" s="109"/>
      <c r="TBP394" s="104"/>
      <c r="TBQ394" s="104"/>
      <c r="TBR394" s="119"/>
      <c r="TBS394" s="104"/>
      <c r="TBT394" s="455"/>
      <c r="TBU394" s="104"/>
      <c r="TBV394" s="104"/>
      <c r="TBW394" s="109"/>
      <c r="TBX394" s="104"/>
      <c r="TBY394" s="104"/>
      <c r="TBZ394" s="119"/>
      <c r="TCA394" s="104"/>
      <c r="TCB394" s="455"/>
      <c r="TCC394" s="104"/>
      <c r="TCD394" s="104"/>
      <c r="TCE394" s="109"/>
      <c r="TCF394" s="104"/>
      <c r="TCG394" s="104"/>
      <c r="TCH394" s="119"/>
      <c r="TCI394" s="104"/>
      <c r="TCJ394" s="455"/>
      <c r="TCK394" s="104"/>
      <c r="TCL394" s="104"/>
      <c r="TCM394" s="109"/>
      <c r="TCN394" s="104"/>
      <c r="TCO394" s="104"/>
      <c r="TCP394" s="119"/>
      <c r="TCQ394" s="104"/>
      <c r="TCR394" s="455"/>
      <c r="TCS394" s="104"/>
      <c r="TCT394" s="104"/>
      <c r="TCU394" s="109"/>
      <c r="TCV394" s="104"/>
      <c r="TCW394" s="104"/>
      <c r="TCX394" s="119"/>
      <c r="TCY394" s="104"/>
      <c r="TCZ394" s="455"/>
      <c r="TDA394" s="104"/>
      <c r="TDB394" s="104"/>
      <c r="TDC394" s="109"/>
      <c r="TDD394" s="104"/>
      <c r="TDE394" s="104"/>
      <c r="TDF394" s="119"/>
      <c r="TDG394" s="104"/>
      <c r="TDH394" s="455"/>
      <c r="TDI394" s="104"/>
      <c r="TDJ394" s="104"/>
      <c r="TDK394" s="109"/>
      <c r="TDL394" s="104"/>
      <c r="TDM394" s="104"/>
      <c r="TDN394" s="119"/>
      <c r="TDO394" s="104"/>
      <c r="TDP394" s="455"/>
      <c r="TDQ394" s="104"/>
      <c r="TDR394" s="104"/>
      <c r="TDS394" s="109"/>
      <c r="TDT394" s="104"/>
      <c r="TDU394" s="104"/>
      <c r="TDV394" s="119"/>
      <c r="TDW394" s="104"/>
      <c r="TDX394" s="455"/>
      <c r="TDY394" s="104"/>
      <c r="TDZ394" s="104"/>
      <c r="TEA394" s="109"/>
      <c r="TEB394" s="104"/>
      <c r="TEC394" s="104"/>
      <c r="TED394" s="119"/>
      <c r="TEE394" s="104"/>
      <c r="TEF394" s="455"/>
      <c r="TEG394" s="104"/>
      <c r="TEH394" s="104"/>
      <c r="TEI394" s="109"/>
      <c r="TEJ394" s="104"/>
      <c r="TEK394" s="104"/>
      <c r="TEL394" s="119"/>
      <c r="TEM394" s="104"/>
      <c r="TEN394" s="455"/>
      <c r="TEO394" s="104"/>
      <c r="TEP394" s="104"/>
      <c r="TEQ394" s="109"/>
      <c r="TER394" s="104"/>
      <c r="TES394" s="104"/>
      <c r="TET394" s="119"/>
      <c r="TEU394" s="104"/>
      <c r="TEV394" s="455"/>
      <c r="TEW394" s="104"/>
      <c r="TEX394" s="104"/>
      <c r="TEY394" s="109"/>
      <c r="TEZ394" s="104"/>
      <c r="TFA394" s="104"/>
      <c r="TFB394" s="119"/>
      <c r="TFC394" s="104"/>
      <c r="TFD394" s="455"/>
      <c r="TFE394" s="104"/>
      <c r="TFF394" s="104"/>
      <c r="TFG394" s="109"/>
      <c r="TFH394" s="104"/>
      <c r="TFI394" s="104"/>
      <c r="TFJ394" s="119"/>
      <c r="TFK394" s="104"/>
      <c r="TFL394" s="455"/>
      <c r="TFM394" s="104"/>
      <c r="TFN394" s="104"/>
      <c r="TFO394" s="109"/>
      <c r="TFP394" s="104"/>
      <c r="TFQ394" s="104"/>
      <c r="TFR394" s="119"/>
      <c r="TFS394" s="104"/>
      <c r="TFT394" s="455"/>
      <c r="TFU394" s="104"/>
      <c r="TFV394" s="104"/>
      <c r="TFW394" s="109"/>
      <c r="TFX394" s="104"/>
      <c r="TFY394" s="104"/>
      <c r="TFZ394" s="119"/>
      <c r="TGA394" s="104"/>
      <c r="TGB394" s="455"/>
      <c r="TGC394" s="104"/>
      <c r="TGD394" s="104"/>
      <c r="TGE394" s="109"/>
      <c r="TGF394" s="104"/>
      <c r="TGG394" s="104"/>
      <c r="TGH394" s="119"/>
      <c r="TGI394" s="104"/>
      <c r="TGJ394" s="455"/>
      <c r="TGK394" s="104"/>
      <c r="TGL394" s="104"/>
      <c r="TGM394" s="109"/>
      <c r="TGN394" s="104"/>
      <c r="TGO394" s="104"/>
      <c r="TGP394" s="119"/>
      <c r="TGQ394" s="104"/>
      <c r="TGR394" s="455"/>
      <c r="TGS394" s="104"/>
      <c r="TGT394" s="104"/>
      <c r="TGU394" s="109"/>
      <c r="TGV394" s="104"/>
      <c r="TGW394" s="104"/>
      <c r="TGX394" s="119"/>
      <c r="TGY394" s="104"/>
      <c r="TGZ394" s="455"/>
      <c r="THA394" s="104"/>
      <c r="THB394" s="104"/>
      <c r="THC394" s="109"/>
      <c r="THD394" s="104"/>
      <c r="THE394" s="104"/>
      <c r="THF394" s="119"/>
      <c r="THG394" s="104"/>
      <c r="THH394" s="455"/>
      <c r="THI394" s="104"/>
      <c r="THJ394" s="104"/>
      <c r="THK394" s="109"/>
      <c r="THL394" s="104"/>
      <c r="THM394" s="104"/>
      <c r="THN394" s="119"/>
      <c r="THO394" s="104"/>
      <c r="THP394" s="455"/>
      <c r="THQ394" s="104"/>
      <c r="THR394" s="104"/>
      <c r="THS394" s="109"/>
      <c r="THT394" s="104"/>
      <c r="THU394" s="104"/>
      <c r="THV394" s="119"/>
      <c r="THW394" s="104"/>
      <c r="THX394" s="455"/>
      <c r="THY394" s="104"/>
      <c r="THZ394" s="104"/>
      <c r="TIA394" s="109"/>
      <c r="TIB394" s="104"/>
      <c r="TIC394" s="104"/>
      <c r="TID394" s="119"/>
      <c r="TIE394" s="104"/>
      <c r="TIF394" s="455"/>
      <c r="TIG394" s="104"/>
      <c r="TIH394" s="104"/>
      <c r="TII394" s="109"/>
      <c r="TIJ394" s="104"/>
      <c r="TIK394" s="104"/>
      <c r="TIL394" s="119"/>
      <c r="TIM394" s="104"/>
      <c r="TIN394" s="455"/>
      <c r="TIO394" s="104"/>
      <c r="TIP394" s="104"/>
      <c r="TIQ394" s="109"/>
      <c r="TIR394" s="104"/>
      <c r="TIS394" s="104"/>
      <c r="TIT394" s="119"/>
      <c r="TIU394" s="104"/>
      <c r="TIV394" s="455"/>
      <c r="TIW394" s="104"/>
      <c r="TIX394" s="104"/>
      <c r="TIY394" s="109"/>
      <c r="TIZ394" s="104"/>
      <c r="TJA394" s="104"/>
      <c r="TJB394" s="119"/>
      <c r="TJC394" s="104"/>
      <c r="TJD394" s="455"/>
      <c r="TJE394" s="104"/>
      <c r="TJF394" s="104"/>
      <c r="TJG394" s="109"/>
      <c r="TJH394" s="104"/>
      <c r="TJI394" s="104"/>
      <c r="TJJ394" s="119"/>
      <c r="TJK394" s="104"/>
      <c r="TJL394" s="455"/>
      <c r="TJM394" s="104"/>
      <c r="TJN394" s="104"/>
      <c r="TJO394" s="109"/>
      <c r="TJP394" s="104"/>
      <c r="TJQ394" s="104"/>
      <c r="TJR394" s="119"/>
      <c r="TJS394" s="104"/>
      <c r="TJT394" s="455"/>
      <c r="TJU394" s="104"/>
      <c r="TJV394" s="104"/>
      <c r="TJW394" s="109"/>
      <c r="TJX394" s="104"/>
      <c r="TJY394" s="104"/>
      <c r="TJZ394" s="119"/>
      <c r="TKA394" s="104"/>
      <c r="TKB394" s="455"/>
      <c r="TKC394" s="104"/>
      <c r="TKD394" s="104"/>
      <c r="TKE394" s="109"/>
      <c r="TKF394" s="104"/>
      <c r="TKG394" s="104"/>
      <c r="TKH394" s="119"/>
      <c r="TKI394" s="104"/>
      <c r="TKJ394" s="455"/>
      <c r="TKK394" s="104"/>
      <c r="TKL394" s="104"/>
      <c r="TKM394" s="109"/>
      <c r="TKN394" s="104"/>
      <c r="TKO394" s="104"/>
      <c r="TKP394" s="119"/>
      <c r="TKQ394" s="104"/>
      <c r="TKR394" s="455"/>
      <c r="TKS394" s="104"/>
      <c r="TKT394" s="104"/>
      <c r="TKU394" s="109"/>
      <c r="TKV394" s="104"/>
      <c r="TKW394" s="104"/>
      <c r="TKX394" s="119"/>
      <c r="TKY394" s="104"/>
      <c r="TKZ394" s="455"/>
      <c r="TLA394" s="104"/>
      <c r="TLB394" s="104"/>
      <c r="TLC394" s="109"/>
      <c r="TLD394" s="104"/>
      <c r="TLE394" s="104"/>
      <c r="TLF394" s="119"/>
      <c r="TLG394" s="104"/>
      <c r="TLH394" s="455"/>
      <c r="TLI394" s="104"/>
      <c r="TLJ394" s="104"/>
      <c r="TLK394" s="109"/>
      <c r="TLL394" s="104"/>
      <c r="TLM394" s="104"/>
      <c r="TLN394" s="119"/>
      <c r="TLO394" s="104"/>
      <c r="TLP394" s="455"/>
      <c r="TLQ394" s="104"/>
      <c r="TLR394" s="104"/>
      <c r="TLS394" s="109"/>
      <c r="TLT394" s="104"/>
      <c r="TLU394" s="104"/>
      <c r="TLV394" s="119"/>
      <c r="TLW394" s="104"/>
      <c r="TLX394" s="455"/>
      <c r="TLY394" s="104"/>
      <c r="TLZ394" s="104"/>
      <c r="TMA394" s="109"/>
      <c r="TMB394" s="104"/>
      <c r="TMC394" s="104"/>
      <c r="TMD394" s="119"/>
      <c r="TME394" s="104"/>
      <c r="TMF394" s="455"/>
      <c r="TMG394" s="104"/>
      <c r="TMH394" s="104"/>
      <c r="TMI394" s="109"/>
      <c r="TMJ394" s="104"/>
      <c r="TMK394" s="104"/>
      <c r="TML394" s="119"/>
      <c r="TMM394" s="104"/>
      <c r="TMN394" s="455"/>
      <c r="TMO394" s="104"/>
      <c r="TMP394" s="104"/>
      <c r="TMQ394" s="109"/>
      <c r="TMR394" s="104"/>
      <c r="TMS394" s="104"/>
      <c r="TMT394" s="119"/>
      <c r="TMU394" s="104"/>
      <c r="TMV394" s="455"/>
      <c r="TMW394" s="104"/>
      <c r="TMX394" s="104"/>
      <c r="TMY394" s="109"/>
      <c r="TMZ394" s="104"/>
      <c r="TNA394" s="104"/>
      <c r="TNB394" s="119"/>
      <c r="TNC394" s="104"/>
      <c r="TND394" s="455"/>
      <c r="TNE394" s="104"/>
      <c r="TNF394" s="104"/>
      <c r="TNG394" s="109"/>
      <c r="TNH394" s="104"/>
      <c r="TNI394" s="104"/>
      <c r="TNJ394" s="119"/>
      <c r="TNK394" s="104"/>
      <c r="TNL394" s="455"/>
      <c r="TNM394" s="104"/>
      <c r="TNN394" s="104"/>
      <c r="TNO394" s="109"/>
      <c r="TNP394" s="104"/>
      <c r="TNQ394" s="104"/>
      <c r="TNR394" s="119"/>
      <c r="TNS394" s="104"/>
      <c r="TNT394" s="455"/>
      <c r="TNU394" s="104"/>
      <c r="TNV394" s="104"/>
      <c r="TNW394" s="109"/>
      <c r="TNX394" s="104"/>
      <c r="TNY394" s="104"/>
      <c r="TNZ394" s="119"/>
      <c r="TOA394" s="104"/>
      <c r="TOB394" s="455"/>
      <c r="TOC394" s="104"/>
      <c r="TOD394" s="104"/>
      <c r="TOE394" s="109"/>
      <c r="TOF394" s="104"/>
      <c r="TOG394" s="104"/>
      <c r="TOH394" s="119"/>
      <c r="TOI394" s="104"/>
      <c r="TOJ394" s="455"/>
      <c r="TOK394" s="104"/>
      <c r="TOL394" s="104"/>
      <c r="TOM394" s="109"/>
      <c r="TON394" s="104"/>
      <c r="TOO394" s="104"/>
      <c r="TOP394" s="119"/>
      <c r="TOQ394" s="104"/>
      <c r="TOR394" s="455"/>
      <c r="TOS394" s="104"/>
      <c r="TOT394" s="104"/>
      <c r="TOU394" s="109"/>
      <c r="TOV394" s="104"/>
      <c r="TOW394" s="104"/>
      <c r="TOX394" s="119"/>
      <c r="TOY394" s="104"/>
      <c r="TOZ394" s="455"/>
      <c r="TPA394" s="104"/>
      <c r="TPB394" s="104"/>
      <c r="TPC394" s="109"/>
      <c r="TPD394" s="104"/>
      <c r="TPE394" s="104"/>
      <c r="TPF394" s="119"/>
      <c r="TPG394" s="104"/>
      <c r="TPH394" s="455"/>
      <c r="TPI394" s="104"/>
      <c r="TPJ394" s="104"/>
      <c r="TPK394" s="109"/>
      <c r="TPL394" s="104"/>
      <c r="TPM394" s="104"/>
      <c r="TPN394" s="119"/>
      <c r="TPO394" s="104"/>
      <c r="TPP394" s="455"/>
      <c r="TPQ394" s="104"/>
      <c r="TPR394" s="104"/>
      <c r="TPS394" s="109"/>
      <c r="TPT394" s="104"/>
      <c r="TPU394" s="104"/>
      <c r="TPV394" s="119"/>
      <c r="TPW394" s="104"/>
      <c r="TPX394" s="455"/>
      <c r="TPY394" s="104"/>
      <c r="TPZ394" s="104"/>
      <c r="TQA394" s="109"/>
      <c r="TQB394" s="104"/>
      <c r="TQC394" s="104"/>
      <c r="TQD394" s="119"/>
      <c r="TQE394" s="104"/>
      <c r="TQF394" s="455"/>
      <c r="TQG394" s="104"/>
      <c r="TQH394" s="104"/>
      <c r="TQI394" s="109"/>
      <c r="TQJ394" s="104"/>
      <c r="TQK394" s="104"/>
      <c r="TQL394" s="119"/>
      <c r="TQM394" s="104"/>
      <c r="TQN394" s="455"/>
      <c r="TQO394" s="104"/>
      <c r="TQP394" s="104"/>
      <c r="TQQ394" s="109"/>
      <c r="TQR394" s="104"/>
      <c r="TQS394" s="104"/>
      <c r="TQT394" s="119"/>
      <c r="TQU394" s="104"/>
      <c r="TQV394" s="455"/>
      <c r="TQW394" s="104"/>
      <c r="TQX394" s="104"/>
      <c r="TQY394" s="109"/>
      <c r="TQZ394" s="104"/>
      <c r="TRA394" s="104"/>
      <c r="TRB394" s="119"/>
      <c r="TRC394" s="104"/>
      <c r="TRD394" s="455"/>
      <c r="TRE394" s="104"/>
      <c r="TRF394" s="104"/>
      <c r="TRG394" s="109"/>
      <c r="TRH394" s="104"/>
      <c r="TRI394" s="104"/>
      <c r="TRJ394" s="119"/>
      <c r="TRK394" s="104"/>
      <c r="TRL394" s="455"/>
      <c r="TRM394" s="104"/>
      <c r="TRN394" s="104"/>
      <c r="TRO394" s="109"/>
      <c r="TRP394" s="104"/>
      <c r="TRQ394" s="104"/>
      <c r="TRR394" s="119"/>
      <c r="TRS394" s="104"/>
      <c r="TRT394" s="455"/>
      <c r="TRU394" s="104"/>
      <c r="TRV394" s="104"/>
      <c r="TRW394" s="109"/>
      <c r="TRX394" s="104"/>
      <c r="TRY394" s="104"/>
      <c r="TRZ394" s="119"/>
      <c r="TSA394" s="104"/>
      <c r="TSB394" s="455"/>
      <c r="TSC394" s="104"/>
      <c r="TSD394" s="104"/>
      <c r="TSE394" s="109"/>
      <c r="TSF394" s="104"/>
      <c r="TSG394" s="104"/>
      <c r="TSH394" s="119"/>
      <c r="TSI394" s="104"/>
      <c r="TSJ394" s="455"/>
      <c r="TSK394" s="104"/>
      <c r="TSL394" s="104"/>
      <c r="TSM394" s="109"/>
      <c r="TSN394" s="104"/>
      <c r="TSO394" s="104"/>
      <c r="TSP394" s="119"/>
      <c r="TSQ394" s="104"/>
      <c r="TSR394" s="455"/>
      <c r="TSS394" s="104"/>
      <c r="TST394" s="104"/>
      <c r="TSU394" s="109"/>
      <c r="TSV394" s="104"/>
      <c r="TSW394" s="104"/>
      <c r="TSX394" s="119"/>
      <c r="TSY394" s="104"/>
      <c r="TSZ394" s="455"/>
      <c r="TTA394" s="104"/>
      <c r="TTB394" s="104"/>
      <c r="TTC394" s="109"/>
      <c r="TTD394" s="104"/>
      <c r="TTE394" s="104"/>
      <c r="TTF394" s="119"/>
      <c r="TTG394" s="104"/>
      <c r="TTH394" s="455"/>
      <c r="TTI394" s="104"/>
      <c r="TTJ394" s="104"/>
      <c r="TTK394" s="109"/>
      <c r="TTL394" s="104"/>
      <c r="TTM394" s="104"/>
      <c r="TTN394" s="119"/>
      <c r="TTO394" s="104"/>
      <c r="TTP394" s="455"/>
      <c r="TTQ394" s="104"/>
      <c r="TTR394" s="104"/>
      <c r="TTS394" s="109"/>
      <c r="TTT394" s="104"/>
      <c r="TTU394" s="104"/>
      <c r="TTV394" s="119"/>
      <c r="TTW394" s="104"/>
      <c r="TTX394" s="455"/>
      <c r="TTY394" s="104"/>
      <c r="TTZ394" s="104"/>
      <c r="TUA394" s="109"/>
      <c r="TUB394" s="104"/>
      <c r="TUC394" s="104"/>
      <c r="TUD394" s="119"/>
      <c r="TUE394" s="104"/>
      <c r="TUF394" s="455"/>
      <c r="TUG394" s="104"/>
      <c r="TUH394" s="104"/>
      <c r="TUI394" s="109"/>
      <c r="TUJ394" s="104"/>
      <c r="TUK394" s="104"/>
      <c r="TUL394" s="119"/>
      <c r="TUM394" s="104"/>
      <c r="TUN394" s="455"/>
      <c r="TUO394" s="104"/>
      <c r="TUP394" s="104"/>
      <c r="TUQ394" s="109"/>
      <c r="TUR394" s="104"/>
      <c r="TUS394" s="104"/>
      <c r="TUT394" s="119"/>
      <c r="TUU394" s="104"/>
      <c r="TUV394" s="455"/>
      <c r="TUW394" s="104"/>
      <c r="TUX394" s="104"/>
      <c r="TUY394" s="109"/>
      <c r="TUZ394" s="104"/>
      <c r="TVA394" s="104"/>
      <c r="TVB394" s="119"/>
      <c r="TVC394" s="104"/>
      <c r="TVD394" s="455"/>
      <c r="TVE394" s="104"/>
      <c r="TVF394" s="104"/>
      <c r="TVG394" s="109"/>
      <c r="TVH394" s="104"/>
      <c r="TVI394" s="104"/>
      <c r="TVJ394" s="119"/>
      <c r="TVK394" s="104"/>
      <c r="TVL394" s="455"/>
      <c r="TVM394" s="104"/>
      <c r="TVN394" s="104"/>
      <c r="TVO394" s="109"/>
      <c r="TVP394" s="104"/>
      <c r="TVQ394" s="104"/>
      <c r="TVR394" s="119"/>
      <c r="TVS394" s="104"/>
      <c r="TVT394" s="455"/>
      <c r="TVU394" s="104"/>
      <c r="TVV394" s="104"/>
      <c r="TVW394" s="109"/>
      <c r="TVX394" s="104"/>
      <c r="TVY394" s="104"/>
      <c r="TVZ394" s="119"/>
      <c r="TWA394" s="104"/>
      <c r="TWB394" s="455"/>
      <c r="TWC394" s="104"/>
      <c r="TWD394" s="104"/>
      <c r="TWE394" s="109"/>
      <c r="TWF394" s="104"/>
      <c r="TWG394" s="104"/>
      <c r="TWH394" s="119"/>
      <c r="TWI394" s="104"/>
      <c r="TWJ394" s="455"/>
      <c r="TWK394" s="104"/>
      <c r="TWL394" s="104"/>
      <c r="TWM394" s="109"/>
      <c r="TWN394" s="104"/>
      <c r="TWO394" s="104"/>
      <c r="TWP394" s="119"/>
      <c r="TWQ394" s="104"/>
      <c r="TWR394" s="455"/>
      <c r="TWS394" s="104"/>
      <c r="TWT394" s="104"/>
      <c r="TWU394" s="109"/>
      <c r="TWV394" s="104"/>
      <c r="TWW394" s="104"/>
      <c r="TWX394" s="119"/>
      <c r="TWY394" s="104"/>
      <c r="TWZ394" s="455"/>
      <c r="TXA394" s="104"/>
      <c r="TXB394" s="104"/>
      <c r="TXC394" s="109"/>
      <c r="TXD394" s="104"/>
      <c r="TXE394" s="104"/>
      <c r="TXF394" s="119"/>
      <c r="TXG394" s="104"/>
      <c r="TXH394" s="455"/>
      <c r="TXI394" s="104"/>
      <c r="TXJ394" s="104"/>
      <c r="TXK394" s="109"/>
      <c r="TXL394" s="104"/>
      <c r="TXM394" s="104"/>
      <c r="TXN394" s="119"/>
      <c r="TXO394" s="104"/>
      <c r="TXP394" s="455"/>
      <c r="TXQ394" s="104"/>
      <c r="TXR394" s="104"/>
      <c r="TXS394" s="109"/>
      <c r="TXT394" s="104"/>
      <c r="TXU394" s="104"/>
      <c r="TXV394" s="119"/>
      <c r="TXW394" s="104"/>
      <c r="TXX394" s="455"/>
      <c r="TXY394" s="104"/>
      <c r="TXZ394" s="104"/>
      <c r="TYA394" s="109"/>
      <c r="TYB394" s="104"/>
      <c r="TYC394" s="104"/>
      <c r="TYD394" s="119"/>
      <c r="TYE394" s="104"/>
      <c r="TYF394" s="455"/>
      <c r="TYG394" s="104"/>
      <c r="TYH394" s="104"/>
      <c r="TYI394" s="109"/>
      <c r="TYJ394" s="104"/>
      <c r="TYK394" s="104"/>
      <c r="TYL394" s="119"/>
      <c r="TYM394" s="104"/>
      <c r="TYN394" s="455"/>
      <c r="TYO394" s="104"/>
      <c r="TYP394" s="104"/>
      <c r="TYQ394" s="109"/>
      <c r="TYR394" s="104"/>
      <c r="TYS394" s="104"/>
      <c r="TYT394" s="119"/>
      <c r="TYU394" s="104"/>
      <c r="TYV394" s="455"/>
      <c r="TYW394" s="104"/>
      <c r="TYX394" s="104"/>
      <c r="TYY394" s="109"/>
      <c r="TYZ394" s="104"/>
      <c r="TZA394" s="104"/>
      <c r="TZB394" s="119"/>
      <c r="TZC394" s="104"/>
      <c r="TZD394" s="455"/>
      <c r="TZE394" s="104"/>
      <c r="TZF394" s="104"/>
      <c r="TZG394" s="109"/>
      <c r="TZH394" s="104"/>
      <c r="TZI394" s="104"/>
      <c r="TZJ394" s="119"/>
      <c r="TZK394" s="104"/>
      <c r="TZL394" s="455"/>
      <c r="TZM394" s="104"/>
      <c r="TZN394" s="104"/>
      <c r="TZO394" s="109"/>
      <c r="TZP394" s="104"/>
      <c r="TZQ394" s="104"/>
      <c r="TZR394" s="119"/>
      <c r="TZS394" s="104"/>
      <c r="TZT394" s="455"/>
      <c r="TZU394" s="104"/>
      <c r="TZV394" s="104"/>
      <c r="TZW394" s="109"/>
      <c r="TZX394" s="104"/>
      <c r="TZY394" s="104"/>
      <c r="TZZ394" s="119"/>
      <c r="UAA394" s="104"/>
      <c r="UAB394" s="455"/>
      <c r="UAC394" s="104"/>
      <c r="UAD394" s="104"/>
      <c r="UAE394" s="109"/>
      <c r="UAF394" s="104"/>
      <c r="UAG394" s="104"/>
      <c r="UAH394" s="119"/>
      <c r="UAI394" s="104"/>
      <c r="UAJ394" s="455"/>
      <c r="UAK394" s="104"/>
      <c r="UAL394" s="104"/>
      <c r="UAM394" s="109"/>
      <c r="UAN394" s="104"/>
      <c r="UAO394" s="104"/>
      <c r="UAP394" s="119"/>
      <c r="UAQ394" s="104"/>
      <c r="UAR394" s="455"/>
      <c r="UAS394" s="104"/>
      <c r="UAT394" s="104"/>
      <c r="UAU394" s="109"/>
      <c r="UAV394" s="104"/>
      <c r="UAW394" s="104"/>
      <c r="UAX394" s="119"/>
      <c r="UAY394" s="104"/>
      <c r="UAZ394" s="455"/>
      <c r="UBA394" s="104"/>
      <c r="UBB394" s="104"/>
      <c r="UBC394" s="109"/>
      <c r="UBD394" s="104"/>
      <c r="UBE394" s="104"/>
      <c r="UBF394" s="119"/>
      <c r="UBG394" s="104"/>
      <c r="UBH394" s="455"/>
      <c r="UBI394" s="104"/>
      <c r="UBJ394" s="104"/>
      <c r="UBK394" s="109"/>
      <c r="UBL394" s="104"/>
      <c r="UBM394" s="104"/>
      <c r="UBN394" s="119"/>
      <c r="UBO394" s="104"/>
      <c r="UBP394" s="455"/>
      <c r="UBQ394" s="104"/>
      <c r="UBR394" s="104"/>
      <c r="UBS394" s="109"/>
      <c r="UBT394" s="104"/>
      <c r="UBU394" s="104"/>
      <c r="UBV394" s="119"/>
      <c r="UBW394" s="104"/>
      <c r="UBX394" s="455"/>
      <c r="UBY394" s="104"/>
      <c r="UBZ394" s="104"/>
      <c r="UCA394" s="109"/>
      <c r="UCB394" s="104"/>
      <c r="UCC394" s="104"/>
      <c r="UCD394" s="119"/>
      <c r="UCE394" s="104"/>
      <c r="UCF394" s="455"/>
      <c r="UCG394" s="104"/>
      <c r="UCH394" s="104"/>
      <c r="UCI394" s="109"/>
      <c r="UCJ394" s="104"/>
      <c r="UCK394" s="104"/>
      <c r="UCL394" s="119"/>
      <c r="UCM394" s="104"/>
      <c r="UCN394" s="455"/>
      <c r="UCO394" s="104"/>
      <c r="UCP394" s="104"/>
      <c r="UCQ394" s="109"/>
      <c r="UCR394" s="104"/>
      <c r="UCS394" s="104"/>
      <c r="UCT394" s="119"/>
      <c r="UCU394" s="104"/>
      <c r="UCV394" s="455"/>
      <c r="UCW394" s="104"/>
      <c r="UCX394" s="104"/>
      <c r="UCY394" s="109"/>
      <c r="UCZ394" s="104"/>
      <c r="UDA394" s="104"/>
      <c r="UDB394" s="119"/>
      <c r="UDC394" s="104"/>
      <c r="UDD394" s="455"/>
      <c r="UDE394" s="104"/>
      <c r="UDF394" s="104"/>
      <c r="UDG394" s="109"/>
      <c r="UDH394" s="104"/>
      <c r="UDI394" s="104"/>
      <c r="UDJ394" s="119"/>
      <c r="UDK394" s="104"/>
      <c r="UDL394" s="455"/>
      <c r="UDM394" s="104"/>
      <c r="UDN394" s="104"/>
      <c r="UDO394" s="109"/>
      <c r="UDP394" s="104"/>
      <c r="UDQ394" s="104"/>
      <c r="UDR394" s="119"/>
      <c r="UDS394" s="104"/>
      <c r="UDT394" s="455"/>
      <c r="UDU394" s="104"/>
      <c r="UDV394" s="104"/>
      <c r="UDW394" s="109"/>
      <c r="UDX394" s="104"/>
      <c r="UDY394" s="104"/>
      <c r="UDZ394" s="119"/>
      <c r="UEA394" s="104"/>
      <c r="UEB394" s="455"/>
      <c r="UEC394" s="104"/>
      <c r="UED394" s="104"/>
      <c r="UEE394" s="109"/>
      <c r="UEF394" s="104"/>
      <c r="UEG394" s="104"/>
      <c r="UEH394" s="119"/>
      <c r="UEI394" s="104"/>
      <c r="UEJ394" s="455"/>
      <c r="UEK394" s="104"/>
      <c r="UEL394" s="104"/>
      <c r="UEM394" s="109"/>
      <c r="UEN394" s="104"/>
      <c r="UEO394" s="104"/>
      <c r="UEP394" s="119"/>
      <c r="UEQ394" s="104"/>
      <c r="UER394" s="455"/>
      <c r="UES394" s="104"/>
      <c r="UET394" s="104"/>
      <c r="UEU394" s="109"/>
      <c r="UEV394" s="104"/>
      <c r="UEW394" s="104"/>
      <c r="UEX394" s="119"/>
      <c r="UEY394" s="104"/>
      <c r="UEZ394" s="455"/>
      <c r="UFA394" s="104"/>
      <c r="UFB394" s="104"/>
      <c r="UFC394" s="109"/>
      <c r="UFD394" s="104"/>
      <c r="UFE394" s="104"/>
      <c r="UFF394" s="119"/>
      <c r="UFG394" s="104"/>
      <c r="UFH394" s="455"/>
      <c r="UFI394" s="104"/>
      <c r="UFJ394" s="104"/>
      <c r="UFK394" s="109"/>
      <c r="UFL394" s="104"/>
      <c r="UFM394" s="104"/>
      <c r="UFN394" s="119"/>
      <c r="UFO394" s="104"/>
      <c r="UFP394" s="455"/>
      <c r="UFQ394" s="104"/>
      <c r="UFR394" s="104"/>
      <c r="UFS394" s="109"/>
      <c r="UFT394" s="104"/>
      <c r="UFU394" s="104"/>
      <c r="UFV394" s="119"/>
      <c r="UFW394" s="104"/>
      <c r="UFX394" s="455"/>
      <c r="UFY394" s="104"/>
      <c r="UFZ394" s="104"/>
      <c r="UGA394" s="109"/>
      <c r="UGB394" s="104"/>
      <c r="UGC394" s="104"/>
      <c r="UGD394" s="119"/>
      <c r="UGE394" s="104"/>
      <c r="UGF394" s="455"/>
      <c r="UGG394" s="104"/>
      <c r="UGH394" s="104"/>
      <c r="UGI394" s="109"/>
      <c r="UGJ394" s="104"/>
      <c r="UGK394" s="104"/>
      <c r="UGL394" s="119"/>
      <c r="UGM394" s="104"/>
      <c r="UGN394" s="455"/>
      <c r="UGO394" s="104"/>
      <c r="UGP394" s="104"/>
      <c r="UGQ394" s="109"/>
      <c r="UGR394" s="104"/>
      <c r="UGS394" s="104"/>
      <c r="UGT394" s="119"/>
      <c r="UGU394" s="104"/>
      <c r="UGV394" s="455"/>
      <c r="UGW394" s="104"/>
      <c r="UGX394" s="104"/>
      <c r="UGY394" s="109"/>
      <c r="UGZ394" s="104"/>
      <c r="UHA394" s="104"/>
      <c r="UHB394" s="119"/>
      <c r="UHC394" s="104"/>
      <c r="UHD394" s="455"/>
      <c r="UHE394" s="104"/>
      <c r="UHF394" s="104"/>
      <c r="UHG394" s="109"/>
      <c r="UHH394" s="104"/>
      <c r="UHI394" s="104"/>
      <c r="UHJ394" s="119"/>
      <c r="UHK394" s="104"/>
      <c r="UHL394" s="455"/>
      <c r="UHM394" s="104"/>
      <c r="UHN394" s="104"/>
      <c r="UHO394" s="109"/>
      <c r="UHP394" s="104"/>
      <c r="UHQ394" s="104"/>
      <c r="UHR394" s="119"/>
      <c r="UHS394" s="104"/>
      <c r="UHT394" s="455"/>
      <c r="UHU394" s="104"/>
      <c r="UHV394" s="104"/>
      <c r="UHW394" s="109"/>
      <c r="UHX394" s="104"/>
      <c r="UHY394" s="104"/>
      <c r="UHZ394" s="119"/>
      <c r="UIA394" s="104"/>
      <c r="UIB394" s="455"/>
      <c r="UIC394" s="104"/>
      <c r="UID394" s="104"/>
      <c r="UIE394" s="109"/>
      <c r="UIF394" s="104"/>
      <c r="UIG394" s="104"/>
      <c r="UIH394" s="119"/>
      <c r="UII394" s="104"/>
      <c r="UIJ394" s="455"/>
      <c r="UIK394" s="104"/>
      <c r="UIL394" s="104"/>
      <c r="UIM394" s="109"/>
      <c r="UIN394" s="104"/>
      <c r="UIO394" s="104"/>
      <c r="UIP394" s="119"/>
      <c r="UIQ394" s="104"/>
      <c r="UIR394" s="455"/>
      <c r="UIS394" s="104"/>
      <c r="UIT394" s="104"/>
      <c r="UIU394" s="109"/>
      <c r="UIV394" s="104"/>
      <c r="UIW394" s="104"/>
      <c r="UIX394" s="119"/>
      <c r="UIY394" s="104"/>
      <c r="UIZ394" s="455"/>
      <c r="UJA394" s="104"/>
      <c r="UJB394" s="104"/>
      <c r="UJC394" s="109"/>
      <c r="UJD394" s="104"/>
      <c r="UJE394" s="104"/>
      <c r="UJF394" s="119"/>
      <c r="UJG394" s="104"/>
      <c r="UJH394" s="455"/>
      <c r="UJI394" s="104"/>
      <c r="UJJ394" s="104"/>
      <c r="UJK394" s="109"/>
      <c r="UJL394" s="104"/>
      <c r="UJM394" s="104"/>
      <c r="UJN394" s="119"/>
      <c r="UJO394" s="104"/>
      <c r="UJP394" s="455"/>
      <c r="UJQ394" s="104"/>
      <c r="UJR394" s="104"/>
      <c r="UJS394" s="109"/>
      <c r="UJT394" s="104"/>
      <c r="UJU394" s="104"/>
      <c r="UJV394" s="119"/>
      <c r="UJW394" s="104"/>
      <c r="UJX394" s="455"/>
      <c r="UJY394" s="104"/>
      <c r="UJZ394" s="104"/>
      <c r="UKA394" s="109"/>
      <c r="UKB394" s="104"/>
      <c r="UKC394" s="104"/>
      <c r="UKD394" s="119"/>
      <c r="UKE394" s="104"/>
      <c r="UKF394" s="455"/>
      <c r="UKG394" s="104"/>
      <c r="UKH394" s="104"/>
      <c r="UKI394" s="109"/>
      <c r="UKJ394" s="104"/>
      <c r="UKK394" s="104"/>
      <c r="UKL394" s="119"/>
      <c r="UKM394" s="104"/>
      <c r="UKN394" s="455"/>
      <c r="UKO394" s="104"/>
      <c r="UKP394" s="104"/>
      <c r="UKQ394" s="109"/>
      <c r="UKR394" s="104"/>
      <c r="UKS394" s="104"/>
      <c r="UKT394" s="119"/>
      <c r="UKU394" s="104"/>
      <c r="UKV394" s="455"/>
      <c r="UKW394" s="104"/>
      <c r="UKX394" s="104"/>
      <c r="UKY394" s="109"/>
      <c r="UKZ394" s="104"/>
      <c r="ULA394" s="104"/>
      <c r="ULB394" s="119"/>
      <c r="ULC394" s="104"/>
      <c r="ULD394" s="455"/>
      <c r="ULE394" s="104"/>
      <c r="ULF394" s="104"/>
      <c r="ULG394" s="109"/>
      <c r="ULH394" s="104"/>
      <c r="ULI394" s="104"/>
      <c r="ULJ394" s="119"/>
      <c r="ULK394" s="104"/>
      <c r="ULL394" s="455"/>
      <c r="ULM394" s="104"/>
      <c r="ULN394" s="104"/>
      <c r="ULO394" s="109"/>
      <c r="ULP394" s="104"/>
      <c r="ULQ394" s="104"/>
      <c r="ULR394" s="119"/>
      <c r="ULS394" s="104"/>
      <c r="ULT394" s="455"/>
      <c r="ULU394" s="104"/>
      <c r="ULV394" s="104"/>
      <c r="ULW394" s="109"/>
      <c r="ULX394" s="104"/>
      <c r="ULY394" s="104"/>
      <c r="ULZ394" s="119"/>
      <c r="UMA394" s="104"/>
      <c r="UMB394" s="455"/>
      <c r="UMC394" s="104"/>
      <c r="UMD394" s="104"/>
      <c r="UME394" s="109"/>
      <c r="UMF394" s="104"/>
      <c r="UMG394" s="104"/>
      <c r="UMH394" s="119"/>
      <c r="UMI394" s="104"/>
      <c r="UMJ394" s="455"/>
      <c r="UMK394" s="104"/>
      <c r="UML394" s="104"/>
      <c r="UMM394" s="109"/>
      <c r="UMN394" s="104"/>
      <c r="UMO394" s="104"/>
      <c r="UMP394" s="119"/>
      <c r="UMQ394" s="104"/>
      <c r="UMR394" s="455"/>
      <c r="UMS394" s="104"/>
      <c r="UMT394" s="104"/>
      <c r="UMU394" s="109"/>
      <c r="UMV394" s="104"/>
      <c r="UMW394" s="104"/>
      <c r="UMX394" s="119"/>
      <c r="UMY394" s="104"/>
      <c r="UMZ394" s="455"/>
      <c r="UNA394" s="104"/>
      <c r="UNB394" s="104"/>
      <c r="UNC394" s="109"/>
      <c r="UND394" s="104"/>
      <c r="UNE394" s="104"/>
      <c r="UNF394" s="119"/>
      <c r="UNG394" s="104"/>
      <c r="UNH394" s="455"/>
      <c r="UNI394" s="104"/>
      <c r="UNJ394" s="104"/>
      <c r="UNK394" s="109"/>
      <c r="UNL394" s="104"/>
      <c r="UNM394" s="104"/>
      <c r="UNN394" s="119"/>
      <c r="UNO394" s="104"/>
      <c r="UNP394" s="455"/>
      <c r="UNQ394" s="104"/>
      <c r="UNR394" s="104"/>
      <c r="UNS394" s="109"/>
      <c r="UNT394" s="104"/>
      <c r="UNU394" s="104"/>
      <c r="UNV394" s="119"/>
      <c r="UNW394" s="104"/>
      <c r="UNX394" s="455"/>
      <c r="UNY394" s="104"/>
      <c r="UNZ394" s="104"/>
      <c r="UOA394" s="109"/>
      <c r="UOB394" s="104"/>
      <c r="UOC394" s="104"/>
      <c r="UOD394" s="119"/>
      <c r="UOE394" s="104"/>
      <c r="UOF394" s="455"/>
      <c r="UOG394" s="104"/>
      <c r="UOH394" s="104"/>
      <c r="UOI394" s="109"/>
      <c r="UOJ394" s="104"/>
      <c r="UOK394" s="104"/>
      <c r="UOL394" s="119"/>
      <c r="UOM394" s="104"/>
      <c r="UON394" s="455"/>
      <c r="UOO394" s="104"/>
      <c r="UOP394" s="104"/>
      <c r="UOQ394" s="109"/>
      <c r="UOR394" s="104"/>
      <c r="UOS394" s="104"/>
      <c r="UOT394" s="119"/>
      <c r="UOU394" s="104"/>
      <c r="UOV394" s="455"/>
      <c r="UOW394" s="104"/>
      <c r="UOX394" s="104"/>
      <c r="UOY394" s="109"/>
      <c r="UOZ394" s="104"/>
      <c r="UPA394" s="104"/>
      <c r="UPB394" s="119"/>
      <c r="UPC394" s="104"/>
      <c r="UPD394" s="455"/>
      <c r="UPE394" s="104"/>
      <c r="UPF394" s="104"/>
      <c r="UPG394" s="109"/>
      <c r="UPH394" s="104"/>
      <c r="UPI394" s="104"/>
      <c r="UPJ394" s="119"/>
      <c r="UPK394" s="104"/>
      <c r="UPL394" s="455"/>
      <c r="UPM394" s="104"/>
      <c r="UPN394" s="104"/>
      <c r="UPO394" s="109"/>
      <c r="UPP394" s="104"/>
      <c r="UPQ394" s="104"/>
      <c r="UPR394" s="119"/>
      <c r="UPS394" s="104"/>
      <c r="UPT394" s="455"/>
      <c r="UPU394" s="104"/>
      <c r="UPV394" s="104"/>
      <c r="UPW394" s="109"/>
      <c r="UPX394" s="104"/>
      <c r="UPY394" s="104"/>
      <c r="UPZ394" s="119"/>
      <c r="UQA394" s="104"/>
      <c r="UQB394" s="455"/>
      <c r="UQC394" s="104"/>
      <c r="UQD394" s="104"/>
      <c r="UQE394" s="109"/>
      <c r="UQF394" s="104"/>
      <c r="UQG394" s="104"/>
      <c r="UQH394" s="119"/>
      <c r="UQI394" s="104"/>
      <c r="UQJ394" s="455"/>
      <c r="UQK394" s="104"/>
      <c r="UQL394" s="104"/>
      <c r="UQM394" s="109"/>
      <c r="UQN394" s="104"/>
      <c r="UQO394" s="104"/>
      <c r="UQP394" s="119"/>
      <c r="UQQ394" s="104"/>
      <c r="UQR394" s="455"/>
      <c r="UQS394" s="104"/>
      <c r="UQT394" s="104"/>
      <c r="UQU394" s="109"/>
      <c r="UQV394" s="104"/>
      <c r="UQW394" s="104"/>
      <c r="UQX394" s="119"/>
      <c r="UQY394" s="104"/>
      <c r="UQZ394" s="455"/>
      <c r="URA394" s="104"/>
      <c r="URB394" s="104"/>
      <c r="URC394" s="109"/>
      <c r="URD394" s="104"/>
      <c r="URE394" s="104"/>
      <c r="URF394" s="119"/>
      <c r="URG394" s="104"/>
      <c r="URH394" s="455"/>
      <c r="URI394" s="104"/>
      <c r="URJ394" s="104"/>
      <c r="URK394" s="109"/>
      <c r="URL394" s="104"/>
      <c r="URM394" s="104"/>
      <c r="URN394" s="119"/>
      <c r="URO394" s="104"/>
      <c r="URP394" s="455"/>
      <c r="URQ394" s="104"/>
      <c r="URR394" s="104"/>
      <c r="URS394" s="109"/>
      <c r="URT394" s="104"/>
      <c r="URU394" s="104"/>
      <c r="URV394" s="119"/>
      <c r="URW394" s="104"/>
      <c r="URX394" s="455"/>
      <c r="URY394" s="104"/>
      <c r="URZ394" s="104"/>
      <c r="USA394" s="109"/>
      <c r="USB394" s="104"/>
      <c r="USC394" s="104"/>
      <c r="USD394" s="119"/>
      <c r="USE394" s="104"/>
      <c r="USF394" s="455"/>
      <c r="USG394" s="104"/>
      <c r="USH394" s="104"/>
      <c r="USI394" s="109"/>
      <c r="USJ394" s="104"/>
      <c r="USK394" s="104"/>
      <c r="USL394" s="119"/>
      <c r="USM394" s="104"/>
      <c r="USN394" s="455"/>
      <c r="USO394" s="104"/>
      <c r="USP394" s="104"/>
      <c r="USQ394" s="109"/>
      <c r="USR394" s="104"/>
      <c r="USS394" s="104"/>
      <c r="UST394" s="119"/>
      <c r="USU394" s="104"/>
      <c r="USV394" s="455"/>
      <c r="USW394" s="104"/>
      <c r="USX394" s="104"/>
      <c r="USY394" s="109"/>
      <c r="USZ394" s="104"/>
      <c r="UTA394" s="104"/>
      <c r="UTB394" s="119"/>
      <c r="UTC394" s="104"/>
      <c r="UTD394" s="455"/>
      <c r="UTE394" s="104"/>
      <c r="UTF394" s="104"/>
      <c r="UTG394" s="109"/>
      <c r="UTH394" s="104"/>
      <c r="UTI394" s="104"/>
      <c r="UTJ394" s="119"/>
      <c r="UTK394" s="104"/>
      <c r="UTL394" s="455"/>
      <c r="UTM394" s="104"/>
      <c r="UTN394" s="104"/>
      <c r="UTO394" s="109"/>
      <c r="UTP394" s="104"/>
      <c r="UTQ394" s="104"/>
      <c r="UTR394" s="119"/>
      <c r="UTS394" s="104"/>
      <c r="UTT394" s="455"/>
      <c r="UTU394" s="104"/>
      <c r="UTV394" s="104"/>
      <c r="UTW394" s="109"/>
      <c r="UTX394" s="104"/>
      <c r="UTY394" s="104"/>
      <c r="UTZ394" s="119"/>
      <c r="UUA394" s="104"/>
      <c r="UUB394" s="455"/>
      <c r="UUC394" s="104"/>
      <c r="UUD394" s="104"/>
      <c r="UUE394" s="109"/>
      <c r="UUF394" s="104"/>
      <c r="UUG394" s="104"/>
      <c r="UUH394" s="119"/>
      <c r="UUI394" s="104"/>
      <c r="UUJ394" s="455"/>
      <c r="UUK394" s="104"/>
      <c r="UUL394" s="104"/>
      <c r="UUM394" s="109"/>
      <c r="UUN394" s="104"/>
      <c r="UUO394" s="104"/>
      <c r="UUP394" s="119"/>
      <c r="UUQ394" s="104"/>
      <c r="UUR394" s="455"/>
      <c r="UUS394" s="104"/>
      <c r="UUT394" s="104"/>
      <c r="UUU394" s="109"/>
      <c r="UUV394" s="104"/>
      <c r="UUW394" s="104"/>
      <c r="UUX394" s="119"/>
      <c r="UUY394" s="104"/>
      <c r="UUZ394" s="455"/>
      <c r="UVA394" s="104"/>
      <c r="UVB394" s="104"/>
      <c r="UVC394" s="109"/>
      <c r="UVD394" s="104"/>
      <c r="UVE394" s="104"/>
      <c r="UVF394" s="119"/>
      <c r="UVG394" s="104"/>
      <c r="UVH394" s="455"/>
      <c r="UVI394" s="104"/>
      <c r="UVJ394" s="104"/>
      <c r="UVK394" s="109"/>
      <c r="UVL394" s="104"/>
      <c r="UVM394" s="104"/>
      <c r="UVN394" s="119"/>
      <c r="UVO394" s="104"/>
      <c r="UVP394" s="455"/>
      <c r="UVQ394" s="104"/>
      <c r="UVR394" s="104"/>
      <c r="UVS394" s="109"/>
      <c r="UVT394" s="104"/>
      <c r="UVU394" s="104"/>
      <c r="UVV394" s="119"/>
      <c r="UVW394" s="104"/>
      <c r="UVX394" s="455"/>
      <c r="UVY394" s="104"/>
      <c r="UVZ394" s="104"/>
      <c r="UWA394" s="109"/>
      <c r="UWB394" s="104"/>
      <c r="UWC394" s="104"/>
      <c r="UWD394" s="119"/>
      <c r="UWE394" s="104"/>
      <c r="UWF394" s="455"/>
      <c r="UWG394" s="104"/>
      <c r="UWH394" s="104"/>
      <c r="UWI394" s="109"/>
      <c r="UWJ394" s="104"/>
      <c r="UWK394" s="104"/>
      <c r="UWL394" s="119"/>
      <c r="UWM394" s="104"/>
      <c r="UWN394" s="455"/>
      <c r="UWO394" s="104"/>
      <c r="UWP394" s="104"/>
      <c r="UWQ394" s="109"/>
      <c r="UWR394" s="104"/>
      <c r="UWS394" s="104"/>
      <c r="UWT394" s="119"/>
      <c r="UWU394" s="104"/>
      <c r="UWV394" s="455"/>
      <c r="UWW394" s="104"/>
      <c r="UWX394" s="104"/>
      <c r="UWY394" s="109"/>
      <c r="UWZ394" s="104"/>
      <c r="UXA394" s="104"/>
      <c r="UXB394" s="119"/>
      <c r="UXC394" s="104"/>
      <c r="UXD394" s="455"/>
      <c r="UXE394" s="104"/>
      <c r="UXF394" s="104"/>
      <c r="UXG394" s="109"/>
      <c r="UXH394" s="104"/>
      <c r="UXI394" s="104"/>
      <c r="UXJ394" s="119"/>
      <c r="UXK394" s="104"/>
      <c r="UXL394" s="455"/>
      <c r="UXM394" s="104"/>
      <c r="UXN394" s="104"/>
      <c r="UXO394" s="109"/>
      <c r="UXP394" s="104"/>
      <c r="UXQ394" s="104"/>
      <c r="UXR394" s="119"/>
      <c r="UXS394" s="104"/>
      <c r="UXT394" s="455"/>
      <c r="UXU394" s="104"/>
      <c r="UXV394" s="104"/>
      <c r="UXW394" s="109"/>
      <c r="UXX394" s="104"/>
      <c r="UXY394" s="104"/>
      <c r="UXZ394" s="119"/>
      <c r="UYA394" s="104"/>
      <c r="UYB394" s="455"/>
      <c r="UYC394" s="104"/>
      <c r="UYD394" s="104"/>
      <c r="UYE394" s="109"/>
      <c r="UYF394" s="104"/>
      <c r="UYG394" s="104"/>
      <c r="UYH394" s="119"/>
      <c r="UYI394" s="104"/>
      <c r="UYJ394" s="455"/>
      <c r="UYK394" s="104"/>
      <c r="UYL394" s="104"/>
      <c r="UYM394" s="109"/>
      <c r="UYN394" s="104"/>
      <c r="UYO394" s="104"/>
      <c r="UYP394" s="119"/>
      <c r="UYQ394" s="104"/>
      <c r="UYR394" s="455"/>
      <c r="UYS394" s="104"/>
      <c r="UYT394" s="104"/>
      <c r="UYU394" s="109"/>
      <c r="UYV394" s="104"/>
      <c r="UYW394" s="104"/>
      <c r="UYX394" s="119"/>
      <c r="UYY394" s="104"/>
      <c r="UYZ394" s="455"/>
      <c r="UZA394" s="104"/>
      <c r="UZB394" s="104"/>
      <c r="UZC394" s="109"/>
      <c r="UZD394" s="104"/>
      <c r="UZE394" s="104"/>
      <c r="UZF394" s="119"/>
      <c r="UZG394" s="104"/>
      <c r="UZH394" s="455"/>
      <c r="UZI394" s="104"/>
      <c r="UZJ394" s="104"/>
      <c r="UZK394" s="109"/>
      <c r="UZL394" s="104"/>
      <c r="UZM394" s="104"/>
      <c r="UZN394" s="119"/>
      <c r="UZO394" s="104"/>
      <c r="UZP394" s="455"/>
      <c r="UZQ394" s="104"/>
      <c r="UZR394" s="104"/>
      <c r="UZS394" s="109"/>
      <c r="UZT394" s="104"/>
      <c r="UZU394" s="104"/>
      <c r="UZV394" s="119"/>
      <c r="UZW394" s="104"/>
      <c r="UZX394" s="455"/>
      <c r="UZY394" s="104"/>
      <c r="UZZ394" s="104"/>
      <c r="VAA394" s="109"/>
      <c r="VAB394" s="104"/>
      <c r="VAC394" s="104"/>
      <c r="VAD394" s="119"/>
      <c r="VAE394" s="104"/>
      <c r="VAF394" s="455"/>
      <c r="VAG394" s="104"/>
      <c r="VAH394" s="104"/>
      <c r="VAI394" s="109"/>
      <c r="VAJ394" s="104"/>
      <c r="VAK394" s="104"/>
      <c r="VAL394" s="119"/>
      <c r="VAM394" s="104"/>
      <c r="VAN394" s="455"/>
      <c r="VAO394" s="104"/>
      <c r="VAP394" s="104"/>
      <c r="VAQ394" s="109"/>
      <c r="VAR394" s="104"/>
      <c r="VAS394" s="104"/>
      <c r="VAT394" s="119"/>
      <c r="VAU394" s="104"/>
      <c r="VAV394" s="455"/>
      <c r="VAW394" s="104"/>
      <c r="VAX394" s="104"/>
      <c r="VAY394" s="109"/>
      <c r="VAZ394" s="104"/>
      <c r="VBA394" s="104"/>
      <c r="VBB394" s="119"/>
      <c r="VBC394" s="104"/>
      <c r="VBD394" s="455"/>
      <c r="VBE394" s="104"/>
      <c r="VBF394" s="104"/>
      <c r="VBG394" s="109"/>
      <c r="VBH394" s="104"/>
      <c r="VBI394" s="104"/>
      <c r="VBJ394" s="119"/>
      <c r="VBK394" s="104"/>
      <c r="VBL394" s="455"/>
      <c r="VBM394" s="104"/>
      <c r="VBN394" s="104"/>
      <c r="VBO394" s="109"/>
      <c r="VBP394" s="104"/>
      <c r="VBQ394" s="104"/>
      <c r="VBR394" s="119"/>
      <c r="VBS394" s="104"/>
      <c r="VBT394" s="455"/>
      <c r="VBU394" s="104"/>
      <c r="VBV394" s="104"/>
      <c r="VBW394" s="109"/>
      <c r="VBX394" s="104"/>
      <c r="VBY394" s="104"/>
      <c r="VBZ394" s="119"/>
      <c r="VCA394" s="104"/>
      <c r="VCB394" s="455"/>
      <c r="VCC394" s="104"/>
      <c r="VCD394" s="104"/>
      <c r="VCE394" s="109"/>
      <c r="VCF394" s="104"/>
      <c r="VCG394" s="104"/>
      <c r="VCH394" s="119"/>
      <c r="VCI394" s="104"/>
      <c r="VCJ394" s="455"/>
      <c r="VCK394" s="104"/>
      <c r="VCL394" s="104"/>
      <c r="VCM394" s="109"/>
      <c r="VCN394" s="104"/>
      <c r="VCO394" s="104"/>
      <c r="VCP394" s="119"/>
      <c r="VCQ394" s="104"/>
      <c r="VCR394" s="455"/>
      <c r="VCS394" s="104"/>
      <c r="VCT394" s="104"/>
      <c r="VCU394" s="109"/>
      <c r="VCV394" s="104"/>
      <c r="VCW394" s="104"/>
      <c r="VCX394" s="119"/>
      <c r="VCY394" s="104"/>
      <c r="VCZ394" s="455"/>
      <c r="VDA394" s="104"/>
      <c r="VDB394" s="104"/>
      <c r="VDC394" s="109"/>
      <c r="VDD394" s="104"/>
      <c r="VDE394" s="104"/>
      <c r="VDF394" s="119"/>
      <c r="VDG394" s="104"/>
      <c r="VDH394" s="455"/>
      <c r="VDI394" s="104"/>
      <c r="VDJ394" s="104"/>
      <c r="VDK394" s="109"/>
      <c r="VDL394" s="104"/>
      <c r="VDM394" s="104"/>
      <c r="VDN394" s="119"/>
      <c r="VDO394" s="104"/>
      <c r="VDP394" s="455"/>
      <c r="VDQ394" s="104"/>
      <c r="VDR394" s="104"/>
      <c r="VDS394" s="109"/>
      <c r="VDT394" s="104"/>
      <c r="VDU394" s="104"/>
      <c r="VDV394" s="119"/>
      <c r="VDW394" s="104"/>
      <c r="VDX394" s="455"/>
      <c r="VDY394" s="104"/>
      <c r="VDZ394" s="104"/>
      <c r="VEA394" s="109"/>
      <c r="VEB394" s="104"/>
      <c r="VEC394" s="104"/>
      <c r="VED394" s="119"/>
      <c r="VEE394" s="104"/>
      <c r="VEF394" s="455"/>
      <c r="VEG394" s="104"/>
      <c r="VEH394" s="104"/>
      <c r="VEI394" s="109"/>
      <c r="VEJ394" s="104"/>
      <c r="VEK394" s="104"/>
      <c r="VEL394" s="119"/>
      <c r="VEM394" s="104"/>
      <c r="VEN394" s="455"/>
      <c r="VEO394" s="104"/>
      <c r="VEP394" s="104"/>
      <c r="VEQ394" s="109"/>
      <c r="VER394" s="104"/>
      <c r="VES394" s="104"/>
      <c r="VET394" s="119"/>
      <c r="VEU394" s="104"/>
      <c r="VEV394" s="455"/>
      <c r="VEW394" s="104"/>
      <c r="VEX394" s="104"/>
      <c r="VEY394" s="109"/>
      <c r="VEZ394" s="104"/>
      <c r="VFA394" s="104"/>
      <c r="VFB394" s="119"/>
      <c r="VFC394" s="104"/>
      <c r="VFD394" s="455"/>
      <c r="VFE394" s="104"/>
      <c r="VFF394" s="104"/>
      <c r="VFG394" s="109"/>
      <c r="VFH394" s="104"/>
      <c r="VFI394" s="104"/>
      <c r="VFJ394" s="119"/>
      <c r="VFK394" s="104"/>
      <c r="VFL394" s="455"/>
      <c r="VFM394" s="104"/>
      <c r="VFN394" s="104"/>
      <c r="VFO394" s="109"/>
      <c r="VFP394" s="104"/>
      <c r="VFQ394" s="104"/>
      <c r="VFR394" s="119"/>
      <c r="VFS394" s="104"/>
      <c r="VFT394" s="455"/>
      <c r="VFU394" s="104"/>
      <c r="VFV394" s="104"/>
      <c r="VFW394" s="109"/>
      <c r="VFX394" s="104"/>
      <c r="VFY394" s="104"/>
      <c r="VFZ394" s="119"/>
      <c r="VGA394" s="104"/>
      <c r="VGB394" s="455"/>
      <c r="VGC394" s="104"/>
      <c r="VGD394" s="104"/>
      <c r="VGE394" s="109"/>
      <c r="VGF394" s="104"/>
      <c r="VGG394" s="104"/>
      <c r="VGH394" s="119"/>
      <c r="VGI394" s="104"/>
      <c r="VGJ394" s="455"/>
      <c r="VGK394" s="104"/>
      <c r="VGL394" s="104"/>
      <c r="VGM394" s="109"/>
      <c r="VGN394" s="104"/>
      <c r="VGO394" s="104"/>
      <c r="VGP394" s="119"/>
      <c r="VGQ394" s="104"/>
      <c r="VGR394" s="455"/>
      <c r="VGS394" s="104"/>
      <c r="VGT394" s="104"/>
      <c r="VGU394" s="109"/>
      <c r="VGV394" s="104"/>
      <c r="VGW394" s="104"/>
      <c r="VGX394" s="119"/>
      <c r="VGY394" s="104"/>
      <c r="VGZ394" s="455"/>
      <c r="VHA394" s="104"/>
      <c r="VHB394" s="104"/>
      <c r="VHC394" s="109"/>
      <c r="VHD394" s="104"/>
      <c r="VHE394" s="104"/>
      <c r="VHF394" s="119"/>
      <c r="VHG394" s="104"/>
      <c r="VHH394" s="455"/>
      <c r="VHI394" s="104"/>
      <c r="VHJ394" s="104"/>
      <c r="VHK394" s="109"/>
      <c r="VHL394" s="104"/>
      <c r="VHM394" s="104"/>
      <c r="VHN394" s="119"/>
      <c r="VHO394" s="104"/>
      <c r="VHP394" s="455"/>
      <c r="VHQ394" s="104"/>
      <c r="VHR394" s="104"/>
      <c r="VHS394" s="109"/>
      <c r="VHT394" s="104"/>
      <c r="VHU394" s="104"/>
      <c r="VHV394" s="119"/>
      <c r="VHW394" s="104"/>
      <c r="VHX394" s="455"/>
      <c r="VHY394" s="104"/>
      <c r="VHZ394" s="104"/>
      <c r="VIA394" s="109"/>
      <c r="VIB394" s="104"/>
      <c r="VIC394" s="104"/>
      <c r="VID394" s="119"/>
      <c r="VIE394" s="104"/>
      <c r="VIF394" s="455"/>
      <c r="VIG394" s="104"/>
      <c r="VIH394" s="104"/>
      <c r="VII394" s="109"/>
      <c r="VIJ394" s="104"/>
      <c r="VIK394" s="104"/>
      <c r="VIL394" s="119"/>
      <c r="VIM394" s="104"/>
      <c r="VIN394" s="455"/>
      <c r="VIO394" s="104"/>
      <c r="VIP394" s="104"/>
      <c r="VIQ394" s="109"/>
      <c r="VIR394" s="104"/>
      <c r="VIS394" s="104"/>
      <c r="VIT394" s="119"/>
      <c r="VIU394" s="104"/>
      <c r="VIV394" s="455"/>
      <c r="VIW394" s="104"/>
      <c r="VIX394" s="104"/>
      <c r="VIY394" s="109"/>
      <c r="VIZ394" s="104"/>
      <c r="VJA394" s="104"/>
      <c r="VJB394" s="119"/>
      <c r="VJC394" s="104"/>
      <c r="VJD394" s="455"/>
      <c r="VJE394" s="104"/>
      <c r="VJF394" s="104"/>
      <c r="VJG394" s="109"/>
      <c r="VJH394" s="104"/>
      <c r="VJI394" s="104"/>
      <c r="VJJ394" s="119"/>
      <c r="VJK394" s="104"/>
      <c r="VJL394" s="455"/>
      <c r="VJM394" s="104"/>
      <c r="VJN394" s="104"/>
      <c r="VJO394" s="109"/>
      <c r="VJP394" s="104"/>
      <c r="VJQ394" s="104"/>
      <c r="VJR394" s="119"/>
      <c r="VJS394" s="104"/>
      <c r="VJT394" s="455"/>
      <c r="VJU394" s="104"/>
      <c r="VJV394" s="104"/>
      <c r="VJW394" s="109"/>
      <c r="VJX394" s="104"/>
      <c r="VJY394" s="104"/>
      <c r="VJZ394" s="119"/>
      <c r="VKA394" s="104"/>
      <c r="VKB394" s="455"/>
      <c r="VKC394" s="104"/>
      <c r="VKD394" s="104"/>
      <c r="VKE394" s="109"/>
      <c r="VKF394" s="104"/>
      <c r="VKG394" s="104"/>
      <c r="VKH394" s="119"/>
      <c r="VKI394" s="104"/>
      <c r="VKJ394" s="455"/>
      <c r="VKK394" s="104"/>
      <c r="VKL394" s="104"/>
      <c r="VKM394" s="109"/>
      <c r="VKN394" s="104"/>
      <c r="VKO394" s="104"/>
      <c r="VKP394" s="119"/>
      <c r="VKQ394" s="104"/>
      <c r="VKR394" s="455"/>
      <c r="VKS394" s="104"/>
      <c r="VKT394" s="104"/>
      <c r="VKU394" s="109"/>
      <c r="VKV394" s="104"/>
      <c r="VKW394" s="104"/>
      <c r="VKX394" s="119"/>
      <c r="VKY394" s="104"/>
      <c r="VKZ394" s="455"/>
      <c r="VLA394" s="104"/>
      <c r="VLB394" s="104"/>
      <c r="VLC394" s="109"/>
      <c r="VLD394" s="104"/>
      <c r="VLE394" s="104"/>
      <c r="VLF394" s="119"/>
      <c r="VLG394" s="104"/>
      <c r="VLH394" s="455"/>
      <c r="VLI394" s="104"/>
      <c r="VLJ394" s="104"/>
      <c r="VLK394" s="109"/>
      <c r="VLL394" s="104"/>
      <c r="VLM394" s="104"/>
      <c r="VLN394" s="119"/>
      <c r="VLO394" s="104"/>
      <c r="VLP394" s="455"/>
      <c r="VLQ394" s="104"/>
      <c r="VLR394" s="104"/>
      <c r="VLS394" s="109"/>
      <c r="VLT394" s="104"/>
      <c r="VLU394" s="104"/>
      <c r="VLV394" s="119"/>
      <c r="VLW394" s="104"/>
      <c r="VLX394" s="455"/>
      <c r="VLY394" s="104"/>
      <c r="VLZ394" s="104"/>
      <c r="VMA394" s="109"/>
      <c r="VMB394" s="104"/>
      <c r="VMC394" s="104"/>
      <c r="VMD394" s="119"/>
      <c r="VME394" s="104"/>
      <c r="VMF394" s="455"/>
      <c r="VMG394" s="104"/>
      <c r="VMH394" s="104"/>
      <c r="VMI394" s="109"/>
      <c r="VMJ394" s="104"/>
      <c r="VMK394" s="104"/>
      <c r="VML394" s="119"/>
      <c r="VMM394" s="104"/>
      <c r="VMN394" s="455"/>
      <c r="VMO394" s="104"/>
      <c r="VMP394" s="104"/>
      <c r="VMQ394" s="109"/>
      <c r="VMR394" s="104"/>
      <c r="VMS394" s="104"/>
      <c r="VMT394" s="119"/>
      <c r="VMU394" s="104"/>
      <c r="VMV394" s="455"/>
      <c r="VMW394" s="104"/>
      <c r="VMX394" s="104"/>
      <c r="VMY394" s="109"/>
      <c r="VMZ394" s="104"/>
      <c r="VNA394" s="104"/>
      <c r="VNB394" s="119"/>
      <c r="VNC394" s="104"/>
      <c r="VND394" s="455"/>
      <c r="VNE394" s="104"/>
      <c r="VNF394" s="104"/>
      <c r="VNG394" s="109"/>
      <c r="VNH394" s="104"/>
      <c r="VNI394" s="104"/>
      <c r="VNJ394" s="119"/>
      <c r="VNK394" s="104"/>
      <c r="VNL394" s="455"/>
      <c r="VNM394" s="104"/>
      <c r="VNN394" s="104"/>
      <c r="VNO394" s="109"/>
      <c r="VNP394" s="104"/>
      <c r="VNQ394" s="104"/>
      <c r="VNR394" s="119"/>
      <c r="VNS394" s="104"/>
      <c r="VNT394" s="455"/>
      <c r="VNU394" s="104"/>
      <c r="VNV394" s="104"/>
      <c r="VNW394" s="109"/>
      <c r="VNX394" s="104"/>
      <c r="VNY394" s="104"/>
      <c r="VNZ394" s="119"/>
      <c r="VOA394" s="104"/>
      <c r="VOB394" s="455"/>
      <c r="VOC394" s="104"/>
      <c r="VOD394" s="104"/>
      <c r="VOE394" s="109"/>
      <c r="VOF394" s="104"/>
      <c r="VOG394" s="104"/>
      <c r="VOH394" s="119"/>
      <c r="VOI394" s="104"/>
      <c r="VOJ394" s="455"/>
      <c r="VOK394" s="104"/>
      <c r="VOL394" s="104"/>
      <c r="VOM394" s="109"/>
      <c r="VON394" s="104"/>
      <c r="VOO394" s="104"/>
      <c r="VOP394" s="119"/>
      <c r="VOQ394" s="104"/>
      <c r="VOR394" s="455"/>
      <c r="VOS394" s="104"/>
      <c r="VOT394" s="104"/>
      <c r="VOU394" s="109"/>
      <c r="VOV394" s="104"/>
      <c r="VOW394" s="104"/>
      <c r="VOX394" s="119"/>
      <c r="VOY394" s="104"/>
      <c r="VOZ394" s="455"/>
      <c r="VPA394" s="104"/>
      <c r="VPB394" s="104"/>
      <c r="VPC394" s="109"/>
      <c r="VPD394" s="104"/>
      <c r="VPE394" s="104"/>
      <c r="VPF394" s="119"/>
      <c r="VPG394" s="104"/>
      <c r="VPH394" s="455"/>
      <c r="VPI394" s="104"/>
      <c r="VPJ394" s="104"/>
      <c r="VPK394" s="109"/>
      <c r="VPL394" s="104"/>
      <c r="VPM394" s="104"/>
      <c r="VPN394" s="119"/>
      <c r="VPO394" s="104"/>
      <c r="VPP394" s="455"/>
      <c r="VPQ394" s="104"/>
      <c r="VPR394" s="104"/>
      <c r="VPS394" s="109"/>
      <c r="VPT394" s="104"/>
      <c r="VPU394" s="104"/>
      <c r="VPV394" s="119"/>
      <c r="VPW394" s="104"/>
      <c r="VPX394" s="455"/>
      <c r="VPY394" s="104"/>
      <c r="VPZ394" s="104"/>
      <c r="VQA394" s="109"/>
      <c r="VQB394" s="104"/>
      <c r="VQC394" s="104"/>
      <c r="VQD394" s="119"/>
      <c r="VQE394" s="104"/>
      <c r="VQF394" s="455"/>
      <c r="VQG394" s="104"/>
      <c r="VQH394" s="104"/>
      <c r="VQI394" s="109"/>
      <c r="VQJ394" s="104"/>
      <c r="VQK394" s="104"/>
      <c r="VQL394" s="119"/>
      <c r="VQM394" s="104"/>
      <c r="VQN394" s="455"/>
      <c r="VQO394" s="104"/>
      <c r="VQP394" s="104"/>
      <c r="VQQ394" s="109"/>
      <c r="VQR394" s="104"/>
      <c r="VQS394" s="104"/>
      <c r="VQT394" s="119"/>
      <c r="VQU394" s="104"/>
      <c r="VQV394" s="455"/>
      <c r="VQW394" s="104"/>
      <c r="VQX394" s="104"/>
      <c r="VQY394" s="109"/>
      <c r="VQZ394" s="104"/>
      <c r="VRA394" s="104"/>
      <c r="VRB394" s="119"/>
      <c r="VRC394" s="104"/>
      <c r="VRD394" s="455"/>
      <c r="VRE394" s="104"/>
      <c r="VRF394" s="104"/>
      <c r="VRG394" s="109"/>
      <c r="VRH394" s="104"/>
      <c r="VRI394" s="104"/>
      <c r="VRJ394" s="119"/>
      <c r="VRK394" s="104"/>
      <c r="VRL394" s="455"/>
      <c r="VRM394" s="104"/>
      <c r="VRN394" s="104"/>
      <c r="VRO394" s="109"/>
      <c r="VRP394" s="104"/>
      <c r="VRQ394" s="104"/>
      <c r="VRR394" s="119"/>
      <c r="VRS394" s="104"/>
      <c r="VRT394" s="455"/>
      <c r="VRU394" s="104"/>
      <c r="VRV394" s="104"/>
      <c r="VRW394" s="109"/>
      <c r="VRX394" s="104"/>
      <c r="VRY394" s="104"/>
      <c r="VRZ394" s="119"/>
      <c r="VSA394" s="104"/>
      <c r="VSB394" s="455"/>
      <c r="VSC394" s="104"/>
      <c r="VSD394" s="104"/>
      <c r="VSE394" s="109"/>
      <c r="VSF394" s="104"/>
      <c r="VSG394" s="104"/>
      <c r="VSH394" s="119"/>
      <c r="VSI394" s="104"/>
      <c r="VSJ394" s="455"/>
      <c r="VSK394" s="104"/>
      <c r="VSL394" s="104"/>
      <c r="VSM394" s="109"/>
      <c r="VSN394" s="104"/>
      <c r="VSO394" s="104"/>
      <c r="VSP394" s="119"/>
      <c r="VSQ394" s="104"/>
      <c r="VSR394" s="455"/>
      <c r="VSS394" s="104"/>
      <c r="VST394" s="104"/>
      <c r="VSU394" s="109"/>
      <c r="VSV394" s="104"/>
      <c r="VSW394" s="104"/>
      <c r="VSX394" s="119"/>
      <c r="VSY394" s="104"/>
      <c r="VSZ394" s="455"/>
      <c r="VTA394" s="104"/>
      <c r="VTB394" s="104"/>
      <c r="VTC394" s="109"/>
      <c r="VTD394" s="104"/>
      <c r="VTE394" s="104"/>
      <c r="VTF394" s="119"/>
      <c r="VTG394" s="104"/>
      <c r="VTH394" s="455"/>
      <c r="VTI394" s="104"/>
      <c r="VTJ394" s="104"/>
      <c r="VTK394" s="109"/>
      <c r="VTL394" s="104"/>
      <c r="VTM394" s="104"/>
      <c r="VTN394" s="119"/>
      <c r="VTO394" s="104"/>
      <c r="VTP394" s="455"/>
      <c r="VTQ394" s="104"/>
      <c r="VTR394" s="104"/>
      <c r="VTS394" s="109"/>
      <c r="VTT394" s="104"/>
      <c r="VTU394" s="104"/>
      <c r="VTV394" s="119"/>
      <c r="VTW394" s="104"/>
      <c r="VTX394" s="455"/>
      <c r="VTY394" s="104"/>
      <c r="VTZ394" s="104"/>
      <c r="VUA394" s="109"/>
      <c r="VUB394" s="104"/>
      <c r="VUC394" s="104"/>
      <c r="VUD394" s="119"/>
      <c r="VUE394" s="104"/>
      <c r="VUF394" s="455"/>
      <c r="VUG394" s="104"/>
      <c r="VUH394" s="104"/>
      <c r="VUI394" s="109"/>
      <c r="VUJ394" s="104"/>
      <c r="VUK394" s="104"/>
      <c r="VUL394" s="119"/>
      <c r="VUM394" s="104"/>
      <c r="VUN394" s="455"/>
      <c r="VUO394" s="104"/>
      <c r="VUP394" s="104"/>
      <c r="VUQ394" s="109"/>
      <c r="VUR394" s="104"/>
      <c r="VUS394" s="104"/>
      <c r="VUT394" s="119"/>
      <c r="VUU394" s="104"/>
      <c r="VUV394" s="455"/>
      <c r="VUW394" s="104"/>
      <c r="VUX394" s="104"/>
      <c r="VUY394" s="109"/>
      <c r="VUZ394" s="104"/>
      <c r="VVA394" s="104"/>
      <c r="VVB394" s="119"/>
      <c r="VVC394" s="104"/>
      <c r="VVD394" s="455"/>
      <c r="VVE394" s="104"/>
      <c r="VVF394" s="104"/>
      <c r="VVG394" s="109"/>
      <c r="VVH394" s="104"/>
      <c r="VVI394" s="104"/>
      <c r="VVJ394" s="119"/>
      <c r="VVK394" s="104"/>
      <c r="VVL394" s="455"/>
      <c r="VVM394" s="104"/>
      <c r="VVN394" s="104"/>
      <c r="VVO394" s="109"/>
      <c r="VVP394" s="104"/>
      <c r="VVQ394" s="104"/>
      <c r="VVR394" s="119"/>
      <c r="VVS394" s="104"/>
      <c r="VVT394" s="455"/>
      <c r="VVU394" s="104"/>
      <c r="VVV394" s="104"/>
      <c r="VVW394" s="109"/>
      <c r="VVX394" s="104"/>
      <c r="VVY394" s="104"/>
      <c r="VVZ394" s="119"/>
      <c r="VWA394" s="104"/>
      <c r="VWB394" s="455"/>
      <c r="VWC394" s="104"/>
      <c r="VWD394" s="104"/>
      <c r="VWE394" s="109"/>
      <c r="VWF394" s="104"/>
      <c r="VWG394" s="104"/>
      <c r="VWH394" s="119"/>
      <c r="VWI394" s="104"/>
      <c r="VWJ394" s="455"/>
      <c r="VWK394" s="104"/>
      <c r="VWL394" s="104"/>
      <c r="VWM394" s="109"/>
      <c r="VWN394" s="104"/>
      <c r="VWO394" s="104"/>
      <c r="VWP394" s="119"/>
      <c r="VWQ394" s="104"/>
      <c r="VWR394" s="455"/>
      <c r="VWS394" s="104"/>
      <c r="VWT394" s="104"/>
      <c r="VWU394" s="109"/>
      <c r="VWV394" s="104"/>
      <c r="VWW394" s="104"/>
      <c r="VWX394" s="119"/>
      <c r="VWY394" s="104"/>
      <c r="VWZ394" s="455"/>
      <c r="VXA394" s="104"/>
      <c r="VXB394" s="104"/>
      <c r="VXC394" s="109"/>
      <c r="VXD394" s="104"/>
      <c r="VXE394" s="104"/>
      <c r="VXF394" s="119"/>
      <c r="VXG394" s="104"/>
      <c r="VXH394" s="455"/>
      <c r="VXI394" s="104"/>
      <c r="VXJ394" s="104"/>
      <c r="VXK394" s="109"/>
      <c r="VXL394" s="104"/>
      <c r="VXM394" s="104"/>
      <c r="VXN394" s="119"/>
      <c r="VXO394" s="104"/>
      <c r="VXP394" s="455"/>
      <c r="VXQ394" s="104"/>
      <c r="VXR394" s="104"/>
      <c r="VXS394" s="109"/>
      <c r="VXT394" s="104"/>
      <c r="VXU394" s="104"/>
      <c r="VXV394" s="119"/>
      <c r="VXW394" s="104"/>
      <c r="VXX394" s="455"/>
      <c r="VXY394" s="104"/>
      <c r="VXZ394" s="104"/>
      <c r="VYA394" s="109"/>
      <c r="VYB394" s="104"/>
      <c r="VYC394" s="104"/>
      <c r="VYD394" s="119"/>
      <c r="VYE394" s="104"/>
      <c r="VYF394" s="455"/>
      <c r="VYG394" s="104"/>
      <c r="VYH394" s="104"/>
      <c r="VYI394" s="109"/>
      <c r="VYJ394" s="104"/>
      <c r="VYK394" s="104"/>
      <c r="VYL394" s="119"/>
      <c r="VYM394" s="104"/>
      <c r="VYN394" s="455"/>
      <c r="VYO394" s="104"/>
      <c r="VYP394" s="104"/>
      <c r="VYQ394" s="109"/>
      <c r="VYR394" s="104"/>
      <c r="VYS394" s="104"/>
      <c r="VYT394" s="119"/>
      <c r="VYU394" s="104"/>
      <c r="VYV394" s="455"/>
      <c r="VYW394" s="104"/>
      <c r="VYX394" s="104"/>
      <c r="VYY394" s="109"/>
      <c r="VYZ394" s="104"/>
      <c r="VZA394" s="104"/>
      <c r="VZB394" s="119"/>
      <c r="VZC394" s="104"/>
      <c r="VZD394" s="455"/>
      <c r="VZE394" s="104"/>
      <c r="VZF394" s="104"/>
      <c r="VZG394" s="109"/>
      <c r="VZH394" s="104"/>
      <c r="VZI394" s="104"/>
      <c r="VZJ394" s="119"/>
      <c r="VZK394" s="104"/>
      <c r="VZL394" s="455"/>
      <c r="VZM394" s="104"/>
      <c r="VZN394" s="104"/>
      <c r="VZO394" s="109"/>
      <c r="VZP394" s="104"/>
      <c r="VZQ394" s="104"/>
      <c r="VZR394" s="119"/>
      <c r="VZS394" s="104"/>
      <c r="VZT394" s="455"/>
      <c r="VZU394" s="104"/>
      <c r="VZV394" s="104"/>
      <c r="VZW394" s="109"/>
      <c r="VZX394" s="104"/>
      <c r="VZY394" s="104"/>
      <c r="VZZ394" s="119"/>
      <c r="WAA394" s="104"/>
      <c r="WAB394" s="455"/>
      <c r="WAC394" s="104"/>
      <c r="WAD394" s="104"/>
      <c r="WAE394" s="109"/>
      <c r="WAF394" s="104"/>
      <c r="WAG394" s="104"/>
      <c r="WAH394" s="119"/>
      <c r="WAI394" s="104"/>
      <c r="WAJ394" s="455"/>
      <c r="WAK394" s="104"/>
      <c r="WAL394" s="104"/>
      <c r="WAM394" s="109"/>
      <c r="WAN394" s="104"/>
      <c r="WAO394" s="104"/>
      <c r="WAP394" s="119"/>
      <c r="WAQ394" s="104"/>
      <c r="WAR394" s="455"/>
      <c r="WAS394" s="104"/>
      <c r="WAT394" s="104"/>
      <c r="WAU394" s="109"/>
      <c r="WAV394" s="104"/>
      <c r="WAW394" s="104"/>
      <c r="WAX394" s="119"/>
      <c r="WAY394" s="104"/>
      <c r="WAZ394" s="455"/>
      <c r="WBA394" s="104"/>
      <c r="WBB394" s="104"/>
      <c r="WBC394" s="109"/>
      <c r="WBD394" s="104"/>
      <c r="WBE394" s="104"/>
      <c r="WBF394" s="119"/>
      <c r="WBG394" s="104"/>
      <c r="WBH394" s="455"/>
      <c r="WBI394" s="104"/>
      <c r="WBJ394" s="104"/>
      <c r="WBK394" s="109"/>
      <c r="WBL394" s="104"/>
      <c r="WBM394" s="104"/>
      <c r="WBN394" s="119"/>
      <c r="WBO394" s="104"/>
      <c r="WBP394" s="455"/>
      <c r="WBQ394" s="104"/>
      <c r="WBR394" s="104"/>
      <c r="WBS394" s="109"/>
      <c r="WBT394" s="104"/>
      <c r="WBU394" s="104"/>
      <c r="WBV394" s="119"/>
      <c r="WBW394" s="104"/>
      <c r="WBX394" s="455"/>
      <c r="WBY394" s="104"/>
      <c r="WBZ394" s="104"/>
      <c r="WCA394" s="109"/>
      <c r="WCB394" s="104"/>
      <c r="WCC394" s="104"/>
      <c r="WCD394" s="119"/>
      <c r="WCE394" s="104"/>
      <c r="WCF394" s="455"/>
      <c r="WCG394" s="104"/>
      <c r="WCH394" s="104"/>
      <c r="WCI394" s="109"/>
      <c r="WCJ394" s="104"/>
      <c r="WCK394" s="104"/>
      <c r="WCL394" s="119"/>
      <c r="WCM394" s="104"/>
      <c r="WCN394" s="455"/>
      <c r="WCO394" s="104"/>
      <c r="WCP394" s="104"/>
      <c r="WCQ394" s="109"/>
      <c r="WCR394" s="104"/>
      <c r="WCS394" s="104"/>
      <c r="WCT394" s="119"/>
      <c r="WCU394" s="104"/>
      <c r="WCV394" s="455"/>
      <c r="WCW394" s="104"/>
      <c r="WCX394" s="104"/>
      <c r="WCY394" s="109"/>
      <c r="WCZ394" s="104"/>
      <c r="WDA394" s="104"/>
      <c r="WDB394" s="119"/>
      <c r="WDC394" s="104"/>
      <c r="WDD394" s="455"/>
      <c r="WDE394" s="104"/>
      <c r="WDF394" s="104"/>
      <c r="WDG394" s="109"/>
      <c r="WDH394" s="104"/>
      <c r="WDI394" s="104"/>
      <c r="WDJ394" s="119"/>
      <c r="WDK394" s="104"/>
      <c r="WDL394" s="455"/>
      <c r="WDM394" s="104"/>
      <c r="WDN394" s="104"/>
      <c r="WDO394" s="109"/>
      <c r="WDP394" s="104"/>
      <c r="WDQ394" s="104"/>
      <c r="WDR394" s="119"/>
      <c r="WDS394" s="104"/>
      <c r="WDT394" s="455"/>
      <c r="WDU394" s="104"/>
      <c r="WDV394" s="104"/>
      <c r="WDW394" s="109"/>
      <c r="WDX394" s="104"/>
      <c r="WDY394" s="104"/>
      <c r="WDZ394" s="119"/>
      <c r="WEA394" s="104"/>
      <c r="WEB394" s="455"/>
      <c r="WEC394" s="104"/>
      <c r="WED394" s="104"/>
      <c r="WEE394" s="109"/>
      <c r="WEF394" s="104"/>
      <c r="WEG394" s="104"/>
      <c r="WEH394" s="119"/>
      <c r="WEI394" s="104"/>
      <c r="WEJ394" s="455"/>
      <c r="WEK394" s="104"/>
      <c r="WEL394" s="104"/>
      <c r="WEM394" s="109"/>
      <c r="WEN394" s="104"/>
      <c r="WEO394" s="104"/>
      <c r="WEP394" s="119"/>
      <c r="WEQ394" s="104"/>
      <c r="WER394" s="455"/>
      <c r="WES394" s="104"/>
      <c r="WET394" s="104"/>
      <c r="WEU394" s="109"/>
      <c r="WEV394" s="104"/>
      <c r="WEW394" s="104"/>
      <c r="WEX394" s="119"/>
      <c r="WEY394" s="104"/>
      <c r="WEZ394" s="455"/>
      <c r="WFA394" s="104"/>
      <c r="WFB394" s="104"/>
      <c r="WFC394" s="109"/>
      <c r="WFD394" s="104"/>
      <c r="WFE394" s="104"/>
      <c r="WFF394" s="119"/>
      <c r="WFG394" s="104"/>
      <c r="WFH394" s="455"/>
      <c r="WFI394" s="104"/>
      <c r="WFJ394" s="104"/>
      <c r="WFK394" s="109"/>
      <c r="WFL394" s="104"/>
      <c r="WFM394" s="104"/>
      <c r="WFN394" s="119"/>
      <c r="WFO394" s="104"/>
      <c r="WFP394" s="455"/>
      <c r="WFQ394" s="104"/>
      <c r="WFR394" s="104"/>
      <c r="WFS394" s="109"/>
      <c r="WFT394" s="104"/>
      <c r="WFU394" s="104"/>
      <c r="WFV394" s="119"/>
      <c r="WFW394" s="104"/>
      <c r="WFX394" s="455"/>
      <c r="WFY394" s="104"/>
      <c r="WFZ394" s="104"/>
      <c r="WGA394" s="109"/>
      <c r="WGB394" s="104"/>
      <c r="WGC394" s="104"/>
      <c r="WGD394" s="119"/>
      <c r="WGE394" s="104"/>
      <c r="WGF394" s="455"/>
      <c r="WGG394" s="104"/>
      <c r="WGH394" s="104"/>
      <c r="WGI394" s="109"/>
      <c r="WGJ394" s="104"/>
      <c r="WGK394" s="104"/>
      <c r="WGL394" s="119"/>
      <c r="WGM394" s="104"/>
      <c r="WGN394" s="455"/>
      <c r="WGO394" s="104"/>
      <c r="WGP394" s="104"/>
      <c r="WGQ394" s="109"/>
      <c r="WGR394" s="104"/>
      <c r="WGS394" s="104"/>
      <c r="WGT394" s="119"/>
      <c r="WGU394" s="104"/>
      <c r="WGV394" s="455"/>
      <c r="WGW394" s="104"/>
      <c r="WGX394" s="104"/>
      <c r="WGY394" s="109"/>
      <c r="WGZ394" s="104"/>
      <c r="WHA394" s="104"/>
      <c r="WHB394" s="119"/>
      <c r="WHC394" s="104"/>
      <c r="WHD394" s="455"/>
      <c r="WHE394" s="104"/>
      <c r="WHF394" s="104"/>
      <c r="WHG394" s="109"/>
      <c r="WHH394" s="104"/>
      <c r="WHI394" s="104"/>
      <c r="WHJ394" s="119"/>
      <c r="WHK394" s="104"/>
      <c r="WHL394" s="455"/>
      <c r="WHM394" s="104"/>
      <c r="WHN394" s="104"/>
      <c r="WHO394" s="109"/>
      <c r="WHP394" s="104"/>
      <c r="WHQ394" s="104"/>
      <c r="WHR394" s="119"/>
      <c r="WHS394" s="104"/>
      <c r="WHT394" s="455"/>
      <c r="WHU394" s="104"/>
      <c r="WHV394" s="104"/>
      <c r="WHW394" s="109"/>
      <c r="WHX394" s="104"/>
      <c r="WHY394" s="104"/>
      <c r="WHZ394" s="119"/>
      <c r="WIA394" s="104"/>
      <c r="WIB394" s="455"/>
      <c r="WIC394" s="104"/>
      <c r="WID394" s="104"/>
      <c r="WIE394" s="109"/>
      <c r="WIF394" s="104"/>
      <c r="WIG394" s="104"/>
      <c r="WIH394" s="119"/>
      <c r="WII394" s="104"/>
      <c r="WIJ394" s="455"/>
      <c r="WIK394" s="104"/>
      <c r="WIL394" s="104"/>
      <c r="WIM394" s="109"/>
      <c r="WIN394" s="104"/>
      <c r="WIO394" s="104"/>
      <c r="WIP394" s="119"/>
      <c r="WIQ394" s="104"/>
      <c r="WIR394" s="455"/>
      <c r="WIS394" s="104"/>
      <c r="WIT394" s="104"/>
      <c r="WIU394" s="109"/>
      <c r="WIV394" s="104"/>
      <c r="WIW394" s="104"/>
      <c r="WIX394" s="119"/>
      <c r="WIY394" s="104"/>
      <c r="WIZ394" s="455"/>
      <c r="WJA394" s="104"/>
      <c r="WJB394" s="104"/>
      <c r="WJC394" s="109"/>
      <c r="WJD394" s="104"/>
      <c r="WJE394" s="104"/>
      <c r="WJF394" s="119"/>
      <c r="WJG394" s="104"/>
      <c r="WJH394" s="455"/>
      <c r="WJI394" s="104"/>
      <c r="WJJ394" s="104"/>
      <c r="WJK394" s="109"/>
      <c r="WJL394" s="104"/>
      <c r="WJM394" s="104"/>
      <c r="WJN394" s="119"/>
      <c r="WJO394" s="104"/>
      <c r="WJP394" s="455"/>
      <c r="WJQ394" s="104"/>
      <c r="WJR394" s="104"/>
      <c r="WJS394" s="109"/>
      <c r="WJT394" s="104"/>
      <c r="WJU394" s="104"/>
      <c r="WJV394" s="119"/>
      <c r="WJW394" s="104"/>
      <c r="WJX394" s="455"/>
      <c r="WJY394" s="104"/>
      <c r="WJZ394" s="104"/>
      <c r="WKA394" s="109"/>
      <c r="WKB394" s="104"/>
      <c r="WKC394" s="104"/>
      <c r="WKD394" s="119"/>
      <c r="WKE394" s="104"/>
      <c r="WKF394" s="455"/>
      <c r="WKG394" s="104"/>
      <c r="WKH394" s="104"/>
      <c r="WKI394" s="109"/>
      <c r="WKJ394" s="104"/>
      <c r="WKK394" s="104"/>
      <c r="WKL394" s="119"/>
      <c r="WKM394" s="104"/>
      <c r="WKN394" s="455"/>
      <c r="WKO394" s="104"/>
      <c r="WKP394" s="104"/>
      <c r="WKQ394" s="109"/>
      <c r="WKR394" s="104"/>
      <c r="WKS394" s="104"/>
      <c r="WKT394" s="119"/>
      <c r="WKU394" s="104"/>
      <c r="WKV394" s="455"/>
      <c r="WKW394" s="104"/>
      <c r="WKX394" s="104"/>
      <c r="WKY394" s="109"/>
      <c r="WKZ394" s="104"/>
      <c r="WLA394" s="104"/>
      <c r="WLB394" s="119"/>
      <c r="WLC394" s="104"/>
      <c r="WLD394" s="455"/>
      <c r="WLE394" s="104"/>
      <c r="WLF394" s="104"/>
      <c r="WLG394" s="109"/>
      <c r="WLH394" s="104"/>
      <c r="WLI394" s="104"/>
      <c r="WLJ394" s="119"/>
      <c r="WLK394" s="104"/>
      <c r="WLL394" s="455"/>
      <c r="WLM394" s="104"/>
      <c r="WLN394" s="104"/>
      <c r="WLO394" s="109"/>
      <c r="WLP394" s="104"/>
      <c r="WLQ394" s="104"/>
      <c r="WLR394" s="119"/>
      <c r="WLS394" s="104"/>
      <c r="WLT394" s="455"/>
      <c r="WLU394" s="104"/>
      <c r="WLV394" s="104"/>
      <c r="WLW394" s="109"/>
      <c r="WLX394" s="104"/>
      <c r="WLY394" s="104"/>
      <c r="WLZ394" s="119"/>
      <c r="WMA394" s="104"/>
      <c r="WMB394" s="455"/>
      <c r="WMC394" s="104"/>
      <c r="WMD394" s="104"/>
      <c r="WME394" s="109"/>
      <c r="WMF394" s="104"/>
      <c r="WMG394" s="104"/>
      <c r="WMH394" s="119"/>
      <c r="WMI394" s="104"/>
      <c r="WMJ394" s="455"/>
      <c r="WMK394" s="104"/>
      <c r="WML394" s="104"/>
      <c r="WMM394" s="109"/>
      <c r="WMN394" s="104"/>
      <c r="WMO394" s="104"/>
      <c r="WMP394" s="119"/>
      <c r="WMQ394" s="104"/>
      <c r="WMR394" s="455"/>
      <c r="WMS394" s="104"/>
      <c r="WMT394" s="104"/>
      <c r="WMU394" s="109"/>
      <c r="WMV394" s="104"/>
      <c r="WMW394" s="104"/>
      <c r="WMX394" s="119"/>
      <c r="WMY394" s="104"/>
      <c r="WMZ394" s="455"/>
      <c r="WNA394" s="104"/>
      <c r="WNB394" s="104"/>
      <c r="WNC394" s="109"/>
      <c r="WND394" s="104"/>
      <c r="WNE394" s="104"/>
      <c r="WNF394" s="119"/>
      <c r="WNG394" s="104"/>
      <c r="WNH394" s="455"/>
      <c r="WNI394" s="104"/>
      <c r="WNJ394" s="104"/>
      <c r="WNK394" s="109"/>
      <c r="WNL394" s="104"/>
      <c r="WNM394" s="104"/>
      <c r="WNN394" s="119"/>
      <c r="WNO394" s="104"/>
      <c r="WNP394" s="455"/>
      <c r="WNQ394" s="104"/>
      <c r="WNR394" s="104"/>
      <c r="WNS394" s="109"/>
      <c r="WNT394" s="104"/>
      <c r="WNU394" s="104"/>
      <c r="WNV394" s="119"/>
      <c r="WNW394" s="104"/>
      <c r="WNX394" s="455"/>
      <c r="WNY394" s="104"/>
      <c r="WNZ394" s="104"/>
      <c r="WOA394" s="109"/>
      <c r="WOB394" s="104"/>
      <c r="WOC394" s="104"/>
      <c r="WOD394" s="119"/>
      <c r="WOE394" s="104"/>
      <c r="WOF394" s="455"/>
      <c r="WOG394" s="104"/>
      <c r="WOH394" s="104"/>
      <c r="WOI394" s="109"/>
      <c r="WOJ394" s="104"/>
      <c r="WOK394" s="104"/>
      <c r="WOL394" s="119"/>
      <c r="WOM394" s="104"/>
      <c r="WON394" s="455"/>
      <c r="WOO394" s="104"/>
      <c r="WOP394" s="104"/>
      <c r="WOQ394" s="109"/>
      <c r="WOR394" s="104"/>
      <c r="WOS394" s="104"/>
      <c r="WOT394" s="119"/>
      <c r="WOU394" s="104"/>
      <c r="WOV394" s="455"/>
      <c r="WOW394" s="104"/>
      <c r="WOX394" s="104"/>
      <c r="WOY394" s="109"/>
      <c r="WOZ394" s="104"/>
      <c r="WPA394" s="104"/>
      <c r="WPB394" s="119"/>
      <c r="WPC394" s="104"/>
      <c r="WPD394" s="455"/>
      <c r="WPE394" s="104"/>
      <c r="WPF394" s="104"/>
      <c r="WPG394" s="109"/>
      <c r="WPH394" s="104"/>
      <c r="WPI394" s="104"/>
      <c r="WPJ394" s="119"/>
      <c r="WPK394" s="104"/>
      <c r="WPL394" s="455"/>
      <c r="WPM394" s="104"/>
      <c r="WPN394" s="104"/>
      <c r="WPO394" s="109"/>
      <c r="WPP394" s="104"/>
      <c r="WPQ394" s="104"/>
      <c r="WPR394" s="119"/>
      <c r="WPS394" s="104"/>
      <c r="WPT394" s="455"/>
      <c r="WPU394" s="104"/>
      <c r="WPV394" s="104"/>
      <c r="WPW394" s="109"/>
      <c r="WPX394" s="104"/>
      <c r="WPY394" s="104"/>
      <c r="WPZ394" s="119"/>
      <c r="WQA394" s="104"/>
      <c r="WQB394" s="455"/>
      <c r="WQC394" s="104"/>
      <c r="WQD394" s="104"/>
      <c r="WQE394" s="109"/>
      <c r="WQF394" s="104"/>
      <c r="WQG394" s="104"/>
      <c r="WQH394" s="119"/>
      <c r="WQI394" s="104"/>
      <c r="WQJ394" s="455"/>
      <c r="WQK394" s="104"/>
      <c r="WQL394" s="104"/>
      <c r="WQM394" s="109"/>
      <c r="WQN394" s="104"/>
      <c r="WQO394" s="104"/>
      <c r="WQP394" s="119"/>
      <c r="WQQ394" s="104"/>
      <c r="WQR394" s="455"/>
      <c r="WQS394" s="104"/>
      <c r="WQT394" s="104"/>
      <c r="WQU394" s="109"/>
      <c r="WQV394" s="104"/>
      <c r="WQW394" s="104"/>
      <c r="WQX394" s="119"/>
      <c r="WQY394" s="104"/>
      <c r="WQZ394" s="455"/>
      <c r="WRA394" s="104"/>
      <c r="WRB394" s="104"/>
      <c r="WRC394" s="109"/>
      <c r="WRD394" s="104"/>
      <c r="WRE394" s="104"/>
      <c r="WRF394" s="119"/>
      <c r="WRG394" s="104"/>
      <c r="WRH394" s="455"/>
      <c r="WRI394" s="104"/>
      <c r="WRJ394" s="104"/>
      <c r="WRK394" s="109"/>
      <c r="WRL394" s="104"/>
      <c r="WRM394" s="104"/>
      <c r="WRN394" s="119"/>
      <c r="WRO394" s="104"/>
      <c r="WRP394" s="455"/>
      <c r="WRQ394" s="104"/>
      <c r="WRR394" s="104"/>
      <c r="WRS394" s="109"/>
      <c r="WRT394" s="104"/>
      <c r="WRU394" s="104"/>
      <c r="WRV394" s="119"/>
      <c r="WRW394" s="104"/>
      <c r="WRX394" s="455"/>
      <c r="WRY394" s="104"/>
      <c r="WRZ394" s="104"/>
      <c r="WSA394" s="109"/>
      <c r="WSB394" s="104"/>
      <c r="WSC394" s="104"/>
      <c r="WSD394" s="119"/>
      <c r="WSE394" s="104"/>
      <c r="WSF394" s="455"/>
      <c r="WSG394" s="104"/>
      <c r="WSH394" s="104"/>
      <c r="WSI394" s="109"/>
      <c r="WSJ394" s="104"/>
      <c r="WSK394" s="104"/>
      <c r="WSL394" s="119"/>
      <c r="WSM394" s="104"/>
      <c r="WSN394" s="455"/>
      <c r="WSO394" s="104"/>
      <c r="WSP394" s="104"/>
      <c r="WSQ394" s="109"/>
      <c r="WSR394" s="104"/>
      <c r="WSS394" s="104"/>
      <c r="WST394" s="119"/>
      <c r="WSU394" s="104"/>
      <c r="WSV394" s="455"/>
      <c r="WSW394" s="104"/>
      <c r="WSX394" s="104"/>
      <c r="WSY394" s="109"/>
      <c r="WSZ394" s="104"/>
      <c r="WTA394" s="104"/>
      <c r="WTB394" s="119"/>
      <c r="WTC394" s="104"/>
      <c r="WTD394" s="455"/>
      <c r="WTE394" s="104"/>
      <c r="WTF394" s="104"/>
      <c r="WTG394" s="109"/>
      <c r="WTH394" s="104"/>
      <c r="WTI394" s="104"/>
      <c r="WTJ394" s="119"/>
      <c r="WTK394" s="104"/>
      <c r="WTL394" s="455"/>
      <c r="WTM394" s="104"/>
      <c r="WTN394" s="104"/>
      <c r="WTO394" s="109"/>
      <c r="WTP394" s="104"/>
      <c r="WTQ394" s="104"/>
      <c r="WTR394" s="119"/>
      <c r="WTS394" s="104"/>
      <c r="WTT394" s="455"/>
      <c r="WTU394" s="104"/>
      <c r="WTV394" s="104"/>
      <c r="WTW394" s="109"/>
      <c r="WTX394" s="104"/>
      <c r="WTY394" s="104"/>
      <c r="WTZ394" s="119"/>
      <c r="WUA394" s="104"/>
      <c r="WUB394" s="455"/>
      <c r="WUC394" s="104"/>
      <c r="WUD394" s="104"/>
      <c r="WUE394" s="109"/>
      <c r="WUF394" s="104"/>
      <c r="WUG394" s="104"/>
      <c r="WUH394" s="119"/>
      <c r="WUI394" s="104"/>
      <c r="WUJ394" s="455"/>
      <c r="WUK394" s="104"/>
      <c r="WUL394" s="104"/>
      <c r="WUM394" s="109"/>
      <c r="WUN394" s="104"/>
      <c r="WUO394" s="104"/>
      <c r="WUP394" s="119"/>
      <c r="WUQ394" s="104"/>
      <c r="WUR394" s="455"/>
      <c r="WUS394" s="104"/>
      <c r="WUT394" s="104"/>
      <c r="WUU394" s="109"/>
      <c r="WUV394" s="104"/>
      <c r="WUW394" s="104"/>
      <c r="WUX394" s="119"/>
      <c r="WUY394" s="104"/>
      <c r="WUZ394" s="455"/>
      <c r="WVA394" s="104"/>
      <c r="WVB394" s="104"/>
      <c r="WVC394" s="109"/>
      <c r="WVD394" s="104"/>
      <c r="WVE394" s="104"/>
      <c r="WVF394" s="119"/>
      <c r="WVG394" s="104"/>
      <c r="WVH394" s="455"/>
      <c r="WVI394" s="104"/>
      <c r="WVJ394" s="104"/>
      <c r="WVK394" s="109"/>
      <c r="WVL394" s="104"/>
      <c r="WVM394" s="104"/>
      <c r="WVN394" s="119"/>
      <c r="WVO394" s="104"/>
      <c r="WVP394" s="455"/>
      <c r="WVQ394" s="104"/>
      <c r="WVR394" s="104"/>
      <c r="WVS394" s="109"/>
      <c r="WVT394" s="104"/>
      <c r="WVU394" s="104"/>
      <c r="WVV394" s="119"/>
      <c r="WVW394" s="104"/>
      <c r="WVX394" s="455"/>
      <c r="WVY394" s="104"/>
      <c r="WVZ394" s="104"/>
      <c r="WWA394" s="109"/>
      <c r="WWB394" s="104"/>
      <c r="WWC394" s="104"/>
      <c r="WWD394" s="119"/>
      <c r="WWE394" s="104"/>
      <c r="WWF394" s="455"/>
      <c r="WWG394" s="104"/>
      <c r="WWH394" s="104"/>
      <c r="WWI394" s="109"/>
      <c r="WWJ394" s="104"/>
      <c r="WWK394" s="104"/>
      <c r="WWL394" s="119"/>
      <c r="WWM394" s="104"/>
      <c r="WWN394" s="455"/>
      <c r="WWO394" s="104"/>
      <c r="WWP394" s="104"/>
      <c r="WWQ394" s="109"/>
      <c r="WWR394" s="104"/>
      <c r="WWS394" s="104"/>
      <c r="WWT394" s="119"/>
      <c r="WWU394" s="104"/>
      <c r="WWV394" s="455"/>
      <c r="WWW394" s="104"/>
      <c r="WWX394" s="104"/>
      <c r="WWY394" s="109"/>
      <c r="WWZ394" s="104"/>
      <c r="WXA394" s="104"/>
      <c r="WXB394" s="119"/>
      <c r="WXC394" s="104"/>
      <c r="WXD394" s="455"/>
      <c r="WXE394" s="104"/>
      <c r="WXF394" s="104"/>
      <c r="WXG394" s="109"/>
      <c r="WXH394" s="104"/>
      <c r="WXI394" s="104"/>
      <c r="WXJ394" s="119"/>
      <c r="WXK394" s="104"/>
      <c r="WXL394" s="455"/>
      <c r="WXM394" s="104"/>
      <c r="WXN394" s="104"/>
      <c r="WXO394" s="109"/>
      <c r="WXP394" s="104"/>
      <c r="WXQ394" s="104"/>
      <c r="WXR394" s="119"/>
      <c r="WXS394" s="104"/>
      <c r="WXT394" s="455"/>
      <c r="WXU394" s="104"/>
      <c r="WXV394" s="104"/>
      <c r="WXW394" s="109"/>
      <c r="WXX394" s="104"/>
      <c r="WXY394" s="104"/>
      <c r="WXZ394" s="119"/>
      <c r="WYA394" s="104"/>
      <c r="WYB394" s="455"/>
      <c r="WYC394" s="104"/>
      <c r="WYD394" s="104"/>
      <c r="WYE394" s="109"/>
      <c r="WYF394" s="104"/>
      <c r="WYG394" s="104"/>
      <c r="WYH394" s="119"/>
      <c r="WYI394" s="104"/>
      <c r="WYJ394" s="455"/>
      <c r="WYK394" s="104"/>
      <c r="WYL394" s="104"/>
      <c r="WYM394" s="109"/>
      <c r="WYN394" s="104"/>
      <c r="WYO394" s="104"/>
      <c r="WYP394" s="119"/>
      <c r="WYQ394" s="104"/>
      <c r="WYR394" s="455"/>
      <c r="WYS394" s="104"/>
      <c r="WYT394" s="104"/>
      <c r="WYU394" s="109"/>
      <c r="WYV394" s="104"/>
      <c r="WYW394" s="104"/>
      <c r="WYX394" s="119"/>
      <c r="WYY394" s="104"/>
      <c r="WYZ394" s="455"/>
      <c r="WZA394" s="104"/>
      <c r="WZB394" s="104"/>
      <c r="WZC394" s="109"/>
      <c r="WZD394" s="104"/>
      <c r="WZE394" s="104"/>
      <c r="WZF394" s="119"/>
      <c r="WZG394" s="104"/>
      <c r="WZH394" s="455"/>
      <c r="WZI394" s="104"/>
      <c r="WZJ394" s="104"/>
      <c r="WZK394" s="109"/>
      <c r="WZL394" s="104"/>
      <c r="WZM394" s="104"/>
      <c r="WZN394" s="119"/>
      <c r="WZO394" s="104"/>
      <c r="WZP394" s="455"/>
      <c r="WZQ394" s="104"/>
      <c r="WZR394" s="104"/>
      <c r="WZS394" s="109"/>
      <c r="WZT394" s="104"/>
      <c r="WZU394" s="104"/>
      <c r="WZV394" s="119"/>
      <c r="WZW394" s="104"/>
      <c r="WZX394" s="455"/>
      <c r="WZY394" s="104"/>
      <c r="WZZ394" s="104"/>
      <c r="XAA394" s="109"/>
      <c r="XAB394" s="104"/>
      <c r="XAC394" s="104"/>
      <c r="XAD394" s="119"/>
      <c r="XAE394" s="104"/>
      <c r="XAF394" s="455"/>
      <c r="XAG394" s="104"/>
      <c r="XAH394" s="104"/>
      <c r="XAI394" s="109"/>
      <c r="XAJ394" s="104"/>
      <c r="XAK394" s="104"/>
      <c r="XAL394" s="119"/>
      <c r="XAM394" s="104"/>
      <c r="XAN394" s="455"/>
      <c r="XAO394" s="104"/>
      <c r="XAP394" s="104"/>
      <c r="XAQ394" s="109"/>
      <c r="XAR394" s="104"/>
      <c r="XAS394" s="104"/>
      <c r="XAT394" s="119"/>
      <c r="XAU394" s="104"/>
      <c r="XAV394" s="455"/>
      <c r="XAW394" s="104"/>
      <c r="XAX394" s="104"/>
      <c r="XAY394" s="109"/>
      <c r="XAZ394" s="104"/>
      <c r="XBA394" s="104"/>
      <c r="XBB394" s="119"/>
      <c r="XBC394" s="104"/>
      <c r="XBD394" s="455"/>
      <c r="XBE394" s="104"/>
      <c r="XBF394" s="104"/>
      <c r="XBG394" s="109"/>
      <c r="XBH394" s="104"/>
      <c r="XBI394" s="104"/>
      <c r="XBJ394" s="119"/>
      <c r="XBK394" s="104"/>
      <c r="XBL394" s="455"/>
      <c r="XBM394" s="104"/>
      <c r="XBN394" s="104"/>
      <c r="XBO394" s="109"/>
      <c r="XBP394" s="104"/>
      <c r="XBQ394" s="104"/>
      <c r="XBR394" s="119"/>
      <c r="XBS394" s="104"/>
      <c r="XBT394" s="455"/>
      <c r="XBU394" s="104"/>
      <c r="XBV394" s="104"/>
      <c r="XBW394" s="109"/>
      <c r="XBX394" s="104"/>
      <c r="XBY394" s="104"/>
      <c r="XBZ394" s="119"/>
      <c r="XCA394" s="104"/>
      <c r="XCB394" s="455"/>
      <c r="XCC394" s="104"/>
      <c r="XCD394" s="104"/>
      <c r="XCE394" s="109"/>
      <c r="XCF394" s="104"/>
      <c r="XCG394" s="104"/>
      <c r="XCH394" s="119"/>
      <c r="XCI394" s="104"/>
      <c r="XCJ394" s="455"/>
      <c r="XCK394" s="104"/>
      <c r="XCL394" s="104"/>
      <c r="XCM394" s="109"/>
      <c r="XCN394" s="104"/>
      <c r="XCO394" s="104"/>
      <c r="XCP394" s="119"/>
      <c r="XCQ394" s="104"/>
      <c r="XCR394" s="455"/>
      <c r="XCS394" s="104"/>
      <c r="XCT394" s="104"/>
      <c r="XCU394" s="109"/>
      <c r="XCV394" s="104"/>
      <c r="XCW394" s="104"/>
      <c r="XCX394" s="119"/>
      <c r="XCY394" s="104"/>
      <c r="XCZ394" s="455"/>
      <c r="XDA394" s="104"/>
      <c r="XDB394" s="104"/>
      <c r="XDC394" s="109"/>
      <c r="XDD394" s="104"/>
      <c r="XDE394" s="104"/>
      <c r="XDF394" s="119"/>
      <c r="XDG394" s="104"/>
      <c r="XDH394" s="455"/>
      <c r="XDI394" s="104"/>
      <c r="XDJ394" s="104"/>
      <c r="XDK394" s="109"/>
      <c r="XDL394" s="104"/>
      <c r="XDM394" s="104"/>
      <c r="XDN394" s="119"/>
      <c r="XDO394" s="104"/>
      <c r="XDP394" s="455"/>
      <c r="XDQ394" s="104"/>
      <c r="XDR394" s="104"/>
      <c r="XDS394" s="109"/>
      <c r="XDT394" s="104"/>
      <c r="XDU394" s="104"/>
      <c r="XDV394" s="119"/>
      <c r="XDW394" s="104"/>
      <c r="XDX394" s="455"/>
      <c r="XDY394" s="104"/>
      <c r="XDZ394" s="104"/>
      <c r="XEA394" s="109"/>
      <c r="XEB394" s="104"/>
      <c r="XEC394" s="104"/>
      <c r="XED394" s="119"/>
      <c r="XEE394" s="104"/>
      <c r="XEF394" s="455"/>
      <c r="XEG394" s="104"/>
      <c r="XEH394" s="104"/>
      <c r="XEI394" s="109"/>
      <c r="XEJ394" s="104"/>
      <c r="XEK394" s="104"/>
      <c r="XEL394" s="119"/>
      <c r="XEM394" s="104"/>
      <c r="XEN394" s="455"/>
      <c r="XEO394" s="104"/>
      <c r="XEP394" s="104"/>
      <c r="XEQ394" s="109"/>
      <c r="XER394" s="104"/>
      <c r="XES394" s="104"/>
      <c r="XET394" s="119"/>
      <c r="XEU394" s="104"/>
      <c r="XEV394" s="455"/>
      <c r="XEW394" s="104"/>
      <c r="XEX394" s="104"/>
      <c r="XEY394" s="109"/>
      <c r="XEZ394" s="104"/>
      <c r="XFA394" s="104"/>
      <c r="XFB394" s="119"/>
      <c r="XFC394" s="104"/>
      <c r="XFD394" s="455"/>
    </row>
    <row r="395" spans="1:16384" s="352" customFormat="1">
      <c r="A395" s="117" t="s">
        <v>140</v>
      </c>
      <c r="B395" s="117" t="str">
        <v>DIFFERENTIAL EQUATIONS</v>
      </c>
      <c r="C395" s="137" t="str">
        <v>Eghan Rhydal Esi</v>
      </c>
      <c r="D395" s="117" t="s">
        <v>1468</v>
      </c>
      <c r="E395" s="117">
        <v>95</v>
      </c>
      <c r="F395" s="456"/>
      <c r="G395" s="117">
        <v>118</v>
      </c>
      <c r="H395" s="353"/>
      <c r="I395" s="104" t="str">
        <f>_xlfn.CONCAT(A395,",",D395)</f>
        <v>MATH 251,ED2-PE</v>
      </c>
      <c r="J395" s="104"/>
      <c r="K395" s="109"/>
      <c r="L395" s="104"/>
      <c r="M395" s="104"/>
      <c r="N395" s="119"/>
      <c r="O395" s="104"/>
      <c r="P395" s="455"/>
      <c r="Q395" s="104"/>
      <c r="R395" s="104"/>
      <c r="S395" s="109"/>
      <c r="T395" s="104"/>
      <c r="U395" s="104"/>
      <c r="V395" s="119"/>
      <c r="W395" s="104"/>
      <c r="X395" s="455"/>
      <c r="Y395" s="104"/>
      <c r="Z395" s="104"/>
      <c r="AA395" s="109"/>
      <c r="AB395" s="104"/>
      <c r="AC395" s="104"/>
      <c r="AD395" s="119"/>
      <c r="AE395" s="104"/>
      <c r="AF395" s="455"/>
      <c r="AG395" s="104"/>
      <c r="AH395" s="104"/>
      <c r="AI395" s="109"/>
      <c r="AJ395" s="104"/>
      <c r="AK395" s="104"/>
      <c r="AL395" s="119"/>
      <c r="AM395" s="104"/>
      <c r="AN395" s="455"/>
      <c r="AO395" s="104"/>
      <c r="AP395" s="104"/>
      <c r="AQ395" s="109"/>
      <c r="AR395" s="104"/>
      <c r="AS395" s="104"/>
      <c r="AT395" s="119"/>
      <c r="AU395" s="104"/>
      <c r="AV395" s="455"/>
      <c r="AW395" s="104"/>
      <c r="AX395" s="104"/>
      <c r="AY395" s="109"/>
      <c r="AZ395" s="104"/>
      <c r="BA395" s="104"/>
      <c r="BB395" s="119"/>
      <c r="BC395" s="104"/>
      <c r="BD395" s="455"/>
      <c r="BE395" s="104"/>
      <c r="BF395" s="104"/>
      <c r="BG395" s="109"/>
      <c r="BH395" s="104"/>
      <c r="BI395" s="104"/>
      <c r="BJ395" s="119"/>
      <c r="BK395" s="104"/>
      <c r="BL395" s="455"/>
      <c r="BM395" s="104"/>
      <c r="BN395" s="104"/>
      <c r="BO395" s="109"/>
      <c r="BP395" s="104"/>
      <c r="BQ395" s="104"/>
      <c r="BR395" s="119"/>
      <c r="BS395" s="104"/>
      <c r="BT395" s="455"/>
      <c r="BU395" s="104"/>
      <c r="BV395" s="104"/>
      <c r="BW395" s="109"/>
      <c r="BX395" s="104"/>
      <c r="BY395" s="104"/>
      <c r="BZ395" s="119"/>
      <c r="CA395" s="104"/>
      <c r="CB395" s="455"/>
      <c r="CC395" s="104"/>
      <c r="CD395" s="104"/>
      <c r="CE395" s="109"/>
      <c r="CF395" s="104"/>
      <c r="CG395" s="104"/>
      <c r="CH395" s="119"/>
      <c r="CI395" s="104"/>
      <c r="CJ395" s="455"/>
      <c r="CK395" s="104"/>
      <c r="CL395" s="104"/>
      <c r="CM395" s="109"/>
      <c r="CN395" s="104"/>
      <c r="CO395" s="104"/>
      <c r="CP395" s="119"/>
      <c r="CQ395" s="104"/>
      <c r="CR395" s="455"/>
      <c r="CS395" s="104"/>
      <c r="CT395" s="104"/>
      <c r="CU395" s="109"/>
      <c r="CV395" s="104"/>
      <c r="CW395" s="104"/>
      <c r="CX395" s="119"/>
      <c r="CY395" s="104"/>
      <c r="CZ395" s="455"/>
      <c r="DA395" s="104"/>
      <c r="DB395" s="104"/>
      <c r="DC395" s="109"/>
      <c r="DD395" s="104"/>
      <c r="DE395" s="104"/>
      <c r="DF395" s="119"/>
      <c r="DG395" s="104"/>
      <c r="DH395" s="455"/>
      <c r="DI395" s="104"/>
      <c r="DJ395" s="104"/>
      <c r="DK395" s="109"/>
      <c r="DL395" s="104"/>
      <c r="DM395" s="104"/>
      <c r="DN395" s="119"/>
      <c r="DO395" s="104"/>
      <c r="DP395" s="455"/>
      <c r="DQ395" s="104"/>
      <c r="DR395" s="104"/>
      <c r="DS395" s="109"/>
      <c r="DT395" s="104"/>
      <c r="DU395" s="104"/>
      <c r="DV395" s="119"/>
      <c r="DW395" s="104"/>
      <c r="DX395" s="455"/>
      <c r="DY395" s="104"/>
      <c r="DZ395" s="104"/>
      <c r="EA395" s="109"/>
      <c r="EB395" s="104"/>
      <c r="EC395" s="104"/>
      <c r="ED395" s="119"/>
      <c r="EE395" s="104"/>
      <c r="EF395" s="455"/>
      <c r="EG395" s="104"/>
      <c r="EH395" s="104"/>
      <c r="EI395" s="109"/>
      <c r="EJ395" s="104"/>
      <c r="EK395" s="104"/>
      <c r="EL395" s="119"/>
      <c r="EM395" s="104"/>
      <c r="EN395" s="455"/>
      <c r="EO395" s="104"/>
      <c r="EP395" s="104"/>
      <c r="EQ395" s="109"/>
      <c r="ER395" s="104"/>
      <c r="ES395" s="104"/>
      <c r="ET395" s="119"/>
      <c r="EU395" s="104"/>
      <c r="EV395" s="455"/>
      <c r="EW395" s="104"/>
      <c r="EX395" s="104"/>
      <c r="EY395" s="109"/>
      <c r="EZ395" s="104"/>
      <c r="FA395" s="104"/>
      <c r="FB395" s="119"/>
      <c r="FC395" s="104"/>
      <c r="FD395" s="455"/>
      <c r="FE395" s="104"/>
      <c r="FF395" s="104"/>
      <c r="FG395" s="109"/>
      <c r="FH395" s="104"/>
      <c r="FI395" s="104"/>
      <c r="FJ395" s="119"/>
      <c r="FK395" s="104"/>
      <c r="FL395" s="455"/>
      <c r="FM395" s="104"/>
      <c r="FN395" s="104"/>
      <c r="FO395" s="109"/>
      <c r="FP395" s="104"/>
      <c r="FQ395" s="104"/>
      <c r="FR395" s="119"/>
      <c r="FS395" s="104"/>
      <c r="FT395" s="455"/>
      <c r="FU395" s="104"/>
      <c r="FV395" s="104"/>
      <c r="FW395" s="109"/>
      <c r="FX395" s="104"/>
      <c r="FY395" s="104"/>
      <c r="FZ395" s="119"/>
      <c r="GA395" s="104"/>
      <c r="GB395" s="455"/>
      <c r="GC395" s="104"/>
      <c r="GD395" s="104"/>
      <c r="GE395" s="109"/>
      <c r="GF395" s="104"/>
      <c r="GG395" s="104"/>
      <c r="GH395" s="119"/>
      <c r="GI395" s="104"/>
      <c r="GJ395" s="455"/>
      <c r="GK395" s="104"/>
      <c r="GL395" s="104"/>
      <c r="GM395" s="109"/>
      <c r="GN395" s="104"/>
      <c r="GO395" s="104"/>
      <c r="GP395" s="119"/>
      <c r="GQ395" s="104"/>
      <c r="GR395" s="455"/>
      <c r="GS395" s="104"/>
      <c r="GT395" s="104"/>
      <c r="GU395" s="109"/>
      <c r="GV395" s="104"/>
      <c r="GW395" s="104"/>
      <c r="GX395" s="119"/>
      <c r="GY395" s="104"/>
      <c r="GZ395" s="455"/>
      <c r="HA395" s="104"/>
      <c r="HB395" s="104"/>
      <c r="HC395" s="109"/>
      <c r="HD395" s="104"/>
      <c r="HE395" s="104"/>
      <c r="HF395" s="119"/>
      <c r="HG395" s="104"/>
      <c r="HH395" s="455"/>
      <c r="HI395" s="104"/>
      <c r="HJ395" s="104"/>
      <c r="HK395" s="109"/>
      <c r="HL395" s="104"/>
      <c r="HM395" s="104"/>
      <c r="HN395" s="119"/>
      <c r="HO395" s="104"/>
      <c r="HP395" s="455"/>
      <c r="HQ395" s="104"/>
      <c r="HR395" s="104"/>
      <c r="HS395" s="109"/>
      <c r="HT395" s="104"/>
      <c r="HU395" s="104"/>
      <c r="HV395" s="119"/>
      <c r="HW395" s="104"/>
      <c r="HX395" s="455"/>
      <c r="HY395" s="104"/>
      <c r="HZ395" s="104"/>
      <c r="IA395" s="109"/>
      <c r="IB395" s="104"/>
      <c r="IC395" s="104"/>
      <c r="ID395" s="119"/>
      <c r="IE395" s="104"/>
      <c r="IF395" s="455"/>
      <c r="IG395" s="104"/>
      <c r="IH395" s="104"/>
      <c r="II395" s="109"/>
      <c r="IJ395" s="104"/>
      <c r="IK395" s="104"/>
      <c r="IL395" s="119"/>
      <c r="IM395" s="104"/>
      <c r="IN395" s="455"/>
      <c r="IO395" s="104"/>
      <c r="IP395" s="104"/>
      <c r="IQ395" s="109"/>
      <c r="IR395" s="104"/>
      <c r="IS395" s="104"/>
      <c r="IT395" s="119"/>
      <c r="IU395" s="104"/>
      <c r="IV395" s="455"/>
      <c r="IW395" s="104"/>
      <c r="IX395" s="104"/>
      <c r="IY395" s="109"/>
      <c r="IZ395" s="104"/>
      <c r="JA395" s="104"/>
      <c r="JB395" s="119"/>
      <c r="JC395" s="104"/>
      <c r="JD395" s="455"/>
      <c r="JE395" s="104"/>
      <c r="JF395" s="104"/>
      <c r="JG395" s="109"/>
      <c r="JH395" s="104"/>
      <c r="JI395" s="104"/>
      <c r="JJ395" s="119"/>
      <c r="JK395" s="104"/>
      <c r="JL395" s="455"/>
      <c r="JM395" s="104"/>
      <c r="JN395" s="104"/>
      <c r="JO395" s="109"/>
      <c r="JP395" s="104"/>
      <c r="JQ395" s="104"/>
      <c r="JR395" s="119"/>
      <c r="JS395" s="104"/>
      <c r="JT395" s="455"/>
      <c r="JU395" s="104"/>
      <c r="JV395" s="104"/>
      <c r="JW395" s="109"/>
      <c r="JX395" s="104"/>
      <c r="JY395" s="104"/>
      <c r="JZ395" s="119"/>
      <c r="KA395" s="104"/>
      <c r="KB395" s="455"/>
      <c r="KC395" s="104"/>
      <c r="KD395" s="104"/>
      <c r="KE395" s="109"/>
      <c r="KF395" s="104"/>
      <c r="KG395" s="104"/>
      <c r="KH395" s="119"/>
      <c r="KI395" s="104"/>
      <c r="KJ395" s="455"/>
      <c r="KK395" s="104"/>
      <c r="KL395" s="104"/>
      <c r="KM395" s="109"/>
      <c r="KN395" s="104"/>
      <c r="KO395" s="104"/>
      <c r="KP395" s="119"/>
      <c r="KQ395" s="104"/>
      <c r="KR395" s="455"/>
      <c r="KS395" s="104"/>
      <c r="KT395" s="104"/>
      <c r="KU395" s="109"/>
      <c r="KV395" s="104"/>
      <c r="KW395" s="104"/>
      <c r="KX395" s="119"/>
      <c r="KY395" s="104"/>
      <c r="KZ395" s="455"/>
      <c r="LA395" s="104"/>
      <c r="LB395" s="104"/>
      <c r="LC395" s="109"/>
      <c r="LD395" s="104"/>
      <c r="LE395" s="104"/>
      <c r="LF395" s="119"/>
      <c r="LG395" s="104"/>
      <c r="LH395" s="455"/>
      <c r="LI395" s="104"/>
      <c r="LJ395" s="104"/>
      <c r="LK395" s="109"/>
      <c r="LL395" s="104"/>
      <c r="LM395" s="104"/>
      <c r="LN395" s="119"/>
      <c r="LO395" s="104"/>
      <c r="LP395" s="455"/>
      <c r="LQ395" s="104"/>
      <c r="LR395" s="104"/>
      <c r="LS395" s="109"/>
      <c r="LT395" s="104"/>
      <c r="LU395" s="104"/>
      <c r="LV395" s="119"/>
      <c r="LW395" s="104"/>
      <c r="LX395" s="455"/>
      <c r="LY395" s="104"/>
      <c r="LZ395" s="104"/>
      <c r="MA395" s="109"/>
      <c r="MB395" s="104"/>
      <c r="MC395" s="104"/>
      <c r="MD395" s="119"/>
      <c r="ME395" s="104"/>
      <c r="MF395" s="455"/>
      <c r="MG395" s="104"/>
      <c r="MH395" s="104"/>
      <c r="MI395" s="109"/>
      <c r="MJ395" s="104"/>
      <c r="MK395" s="104"/>
      <c r="ML395" s="119"/>
      <c r="MM395" s="104"/>
      <c r="MN395" s="455"/>
      <c r="MO395" s="104"/>
      <c r="MP395" s="104"/>
      <c r="MQ395" s="109"/>
      <c r="MR395" s="104"/>
      <c r="MS395" s="104"/>
      <c r="MT395" s="119"/>
      <c r="MU395" s="104"/>
      <c r="MV395" s="455"/>
      <c r="MW395" s="104"/>
      <c r="MX395" s="104"/>
      <c r="MY395" s="109"/>
      <c r="MZ395" s="104"/>
      <c r="NA395" s="104"/>
      <c r="NB395" s="119"/>
      <c r="NC395" s="104"/>
      <c r="ND395" s="455"/>
      <c r="NE395" s="104"/>
      <c r="NF395" s="104"/>
      <c r="NG395" s="109"/>
      <c r="NH395" s="104"/>
      <c r="NI395" s="104"/>
      <c r="NJ395" s="119"/>
      <c r="NK395" s="104"/>
      <c r="NL395" s="455"/>
      <c r="NM395" s="104"/>
      <c r="NN395" s="104"/>
      <c r="NO395" s="109"/>
      <c r="NP395" s="104"/>
      <c r="NQ395" s="104"/>
      <c r="NR395" s="119"/>
      <c r="NS395" s="104"/>
      <c r="NT395" s="455"/>
      <c r="NU395" s="104"/>
      <c r="NV395" s="104"/>
      <c r="NW395" s="109"/>
      <c r="NX395" s="104"/>
      <c r="NY395" s="104"/>
      <c r="NZ395" s="119"/>
      <c r="OA395" s="104"/>
      <c r="OB395" s="455"/>
      <c r="OC395" s="104"/>
      <c r="OD395" s="104"/>
      <c r="OE395" s="109"/>
      <c r="OF395" s="104"/>
      <c r="OG395" s="104"/>
      <c r="OH395" s="119"/>
      <c r="OI395" s="104"/>
      <c r="OJ395" s="455"/>
      <c r="OK395" s="104"/>
      <c r="OL395" s="104"/>
      <c r="OM395" s="109"/>
      <c r="ON395" s="104"/>
      <c r="OO395" s="104"/>
      <c r="OP395" s="119"/>
      <c r="OQ395" s="104"/>
      <c r="OR395" s="455"/>
      <c r="OS395" s="104"/>
      <c r="OT395" s="104"/>
      <c r="OU395" s="109"/>
      <c r="OV395" s="104"/>
      <c r="OW395" s="104"/>
      <c r="OX395" s="119"/>
      <c r="OY395" s="104"/>
      <c r="OZ395" s="455"/>
      <c r="PA395" s="104"/>
      <c r="PB395" s="104"/>
      <c r="PC395" s="109"/>
      <c r="PD395" s="104"/>
      <c r="PE395" s="104"/>
      <c r="PF395" s="119"/>
      <c r="PG395" s="104"/>
      <c r="PH395" s="455"/>
      <c r="PI395" s="104"/>
      <c r="PJ395" s="104"/>
      <c r="PK395" s="109"/>
      <c r="PL395" s="104"/>
      <c r="PM395" s="104"/>
      <c r="PN395" s="119"/>
      <c r="PO395" s="104"/>
      <c r="PP395" s="455"/>
      <c r="PQ395" s="104"/>
      <c r="PR395" s="104"/>
      <c r="PS395" s="109"/>
      <c r="PT395" s="104"/>
      <c r="PU395" s="104"/>
      <c r="PV395" s="119"/>
      <c r="PW395" s="104"/>
      <c r="PX395" s="455"/>
      <c r="PY395" s="104"/>
      <c r="PZ395" s="104"/>
      <c r="QA395" s="109"/>
      <c r="QB395" s="104"/>
      <c r="QC395" s="104"/>
      <c r="QD395" s="119"/>
      <c r="QE395" s="104"/>
      <c r="QF395" s="455"/>
      <c r="QG395" s="104"/>
      <c r="QH395" s="104"/>
      <c r="QI395" s="109"/>
      <c r="QJ395" s="104"/>
      <c r="QK395" s="104"/>
      <c r="QL395" s="119"/>
      <c r="QM395" s="104"/>
      <c r="QN395" s="455"/>
      <c r="QO395" s="104"/>
      <c r="QP395" s="104"/>
      <c r="QQ395" s="109"/>
      <c r="QR395" s="104"/>
      <c r="QS395" s="104"/>
      <c r="QT395" s="119"/>
      <c r="QU395" s="104"/>
      <c r="QV395" s="455"/>
      <c r="QW395" s="104"/>
      <c r="QX395" s="104"/>
      <c r="QY395" s="109"/>
      <c r="QZ395" s="104"/>
      <c r="RA395" s="104"/>
      <c r="RB395" s="119"/>
      <c r="RC395" s="104"/>
      <c r="RD395" s="455"/>
      <c r="RE395" s="104"/>
      <c r="RF395" s="104"/>
      <c r="RG395" s="109"/>
      <c r="RH395" s="104"/>
      <c r="RI395" s="104"/>
      <c r="RJ395" s="119"/>
      <c r="RK395" s="104"/>
      <c r="RL395" s="455"/>
      <c r="RM395" s="104"/>
      <c r="RN395" s="104"/>
      <c r="RO395" s="109"/>
      <c r="RP395" s="104"/>
      <c r="RQ395" s="104"/>
      <c r="RR395" s="119"/>
      <c r="RS395" s="104"/>
      <c r="RT395" s="455"/>
      <c r="RU395" s="104"/>
      <c r="RV395" s="104"/>
      <c r="RW395" s="109"/>
      <c r="RX395" s="104"/>
      <c r="RY395" s="104"/>
      <c r="RZ395" s="119"/>
      <c r="SA395" s="104"/>
      <c r="SB395" s="455"/>
      <c r="SC395" s="104"/>
      <c r="SD395" s="104"/>
      <c r="SE395" s="109"/>
      <c r="SF395" s="104"/>
      <c r="SG395" s="104"/>
      <c r="SH395" s="119"/>
      <c r="SI395" s="104"/>
      <c r="SJ395" s="455"/>
      <c r="SK395" s="104"/>
      <c r="SL395" s="104"/>
      <c r="SM395" s="109"/>
      <c r="SN395" s="104"/>
      <c r="SO395" s="104"/>
      <c r="SP395" s="119"/>
      <c r="SQ395" s="104"/>
      <c r="SR395" s="455"/>
      <c r="SS395" s="104"/>
      <c r="ST395" s="104"/>
      <c r="SU395" s="109"/>
      <c r="SV395" s="104"/>
      <c r="SW395" s="104"/>
      <c r="SX395" s="119"/>
      <c r="SY395" s="104"/>
      <c r="SZ395" s="455"/>
      <c r="TA395" s="104"/>
      <c r="TB395" s="104"/>
      <c r="TC395" s="109"/>
      <c r="TD395" s="104"/>
      <c r="TE395" s="104"/>
      <c r="TF395" s="119"/>
      <c r="TG395" s="104"/>
      <c r="TH395" s="455"/>
      <c r="TI395" s="104"/>
      <c r="TJ395" s="104"/>
      <c r="TK395" s="109"/>
      <c r="TL395" s="104"/>
      <c r="TM395" s="104"/>
      <c r="TN395" s="119"/>
      <c r="TO395" s="104"/>
      <c r="TP395" s="455"/>
      <c r="TQ395" s="104"/>
      <c r="TR395" s="104"/>
      <c r="TS395" s="109"/>
      <c r="TT395" s="104"/>
      <c r="TU395" s="104"/>
      <c r="TV395" s="119"/>
      <c r="TW395" s="104"/>
      <c r="TX395" s="455"/>
      <c r="TY395" s="104"/>
      <c r="TZ395" s="104"/>
      <c r="UA395" s="109"/>
      <c r="UB395" s="104"/>
      <c r="UC395" s="104"/>
      <c r="UD395" s="119"/>
      <c r="UE395" s="104"/>
      <c r="UF395" s="455"/>
      <c r="UG395" s="104"/>
      <c r="UH395" s="104"/>
      <c r="UI395" s="109"/>
      <c r="UJ395" s="104"/>
      <c r="UK395" s="104"/>
      <c r="UL395" s="119"/>
      <c r="UM395" s="104"/>
      <c r="UN395" s="455"/>
      <c r="UO395" s="104"/>
      <c r="UP395" s="104"/>
      <c r="UQ395" s="109"/>
      <c r="UR395" s="104"/>
      <c r="US395" s="104"/>
      <c r="UT395" s="119"/>
      <c r="UU395" s="104"/>
      <c r="UV395" s="455"/>
      <c r="UW395" s="104"/>
      <c r="UX395" s="104"/>
      <c r="UY395" s="109"/>
      <c r="UZ395" s="104"/>
      <c r="VA395" s="104"/>
      <c r="VB395" s="119"/>
      <c r="VC395" s="104"/>
      <c r="VD395" s="455"/>
      <c r="VE395" s="104"/>
      <c r="VF395" s="104"/>
      <c r="VG395" s="109"/>
      <c r="VH395" s="104"/>
      <c r="VI395" s="104"/>
      <c r="VJ395" s="119"/>
      <c r="VK395" s="104"/>
      <c r="VL395" s="455"/>
      <c r="VM395" s="104"/>
      <c r="VN395" s="104"/>
      <c r="VO395" s="109"/>
      <c r="VP395" s="104"/>
      <c r="VQ395" s="104"/>
      <c r="VR395" s="119"/>
      <c r="VS395" s="104"/>
      <c r="VT395" s="455"/>
      <c r="VU395" s="104"/>
      <c r="VV395" s="104"/>
      <c r="VW395" s="109"/>
      <c r="VX395" s="104"/>
      <c r="VY395" s="104"/>
      <c r="VZ395" s="119"/>
      <c r="WA395" s="104"/>
      <c r="WB395" s="455"/>
      <c r="WC395" s="104"/>
      <c r="WD395" s="104"/>
      <c r="WE395" s="109"/>
      <c r="WF395" s="104"/>
      <c r="WG395" s="104"/>
      <c r="WH395" s="119"/>
      <c r="WI395" s="104"/>
      <c r="WJ395" s="455"/>
      <c r="WK395" s="104"/>
      <c r="WL395" s="104"/>
      <c r="WM395" s="109"/>
      <c r="WN395" s="104"/>
      <c r="WO395" s="104"/>
      <c r="WP395" s="119"/>
      <c r="WQ395" s="104"/>
      <c r="WR395" s="455"/>
      <c r="WS395" s="104"/>
      <c r="WT395" s="104"/>
      <c r="WU395" s="109"/>
      <c r="WV395" s="104"/>
      <c r="WW395" s="104"/>
      <c r="WX395" s="119"/>
      <c r="WY395" s="104"/>
      <c r="WZ395" s="455"/>
      <c r="XA395" s="104"/>
      <c r="XB395" s="104"/>
      <c r="XC395" s="109"/>
      <c r="XD395" s="104"/>
      <c r="XE395" s="104"/>
      <c r="XF395" s="119"/>
      <c r="XG395" s="104"/>
      <c r="XH395" s="455"/>
      <c r="XI395" s="104"/>
      <c r="XJ395" s="104"/>
      <c r="XK395" s="109"/>
      <c r="XL395" s="104"/>
      <c r="XM395" s="104"/>
      <c r="XN395" s="119"/>
      <c r="XO395" s="104"/>
      <c r="XP395" s="455"/>
      <c r="XQ395" s="104"/>
      <c r="XR395" s="104"/>
      <c r="XS395" s="109"/>
      <c r="XT395" s="104"/>
      <c r="XU395" s="104"/>
      <c r="XV395" s="119"/>
      <c r="XW395" s="104"/>
      <c r="XX395" s="455"/>
      <c r="XY395" s="104"/>
      <c r="XZ395" s="104"/>
      <c r="YA395" s="109"/>
      <c r="YB395" s="104"/>
      <c r="YC395" s="104"/>
      <c r="YD395" s="119"/>
      <c r="YE395" s="104"/>
      <c r="YF395" s="455"/>
      <c r="YG395" s="104"/>
      <c r="YH395" s="104"/>
      <c r="YI395" s="109"/>
      <c r="YJ395" s="104"/>
      <c r="YK395" s="104"/>
      <c r="YL395" s="119"/>
      <c r="YM395" s="104"/>
      <c r="YN395" s="455"/>
      <c r="YO395" s="104"/>
      <c r="YP395" s="104"/>
      <c r="YQ395" s="109"/>
      <c r="YR395" s="104"/>
      <c r="YS395" s="104"/>
      <c r="YT395" s="119"/>
      <c r="YU395" s="104"/>
      <c r="YV395" s="455"/>
      <c r="YW395" s="104"/>
      <c r="YX395" s="104"/>
      <c r="YY395" s="109"/>
      <c r="YZ395" s="104"/>
      <c r="ZA395" s="104"/>
      <c r="ZB395" s="119"/>
      <c r="ZC395" s="104"/>
      <c r="ZD395" s="455"/>
      <c r="ZE395" s="104"/>
      <c r="ZF395" s="104"/>
      <c r="ZG395" s="109"/>
      <c r="ZH395" s="104"/>
      <c r="ZI395" s="104"/>
      <c r="ZJ395" s="119"/>
      <c r="ZK395" s="104"/>
      <c r="ZL395" s="455"/>
      <c r="ZM395" s="104"/>
      <c r="ZN395" s="104"/>
      <c r="ZO395" s="109"/>
      <c r="ZP395" s="104"/>
      <c r="ZQ395" s="104"/>
      <c r="ZR395" s="119"/>
      <c r="ZS395" s="104"/>
      <c r="ZT395" s="455"/>
      <c r="ZU395" s="104"/>
      <c r="ZV395" s="104"/>
      <c r="ZW395" s="109"/>
      <c r="ZX395" s="104"/>
      <c r="ZY395" s="104"/>
      <c r="ZZ395" s="119"/>
      <c r="AAA395" s="104"/>
      <c r="AAB395" s="455"/>
      <c r="AAC395" s="104"/>
      <c r="AAD395" s="104"/>
      <c r="AAE395" s="109"/>
      <c r="AAF395" s="104"/>
      <c r="AAG395" s="104"/>
      <c r="AAH395" s="119"/>
      <c r="AAI395" s="104"/>
      <c r="AAJ395" s="455"/>
      <c r="AAK395" s="104"/>
      <c r="AAL395" s="104"/>
      <c r="AAM395" s="109"/>
      <c r="AAN395" s="104"/>
      <c r="AAO395" s="104"/>
      <c r="AAP395" s="119"/>
      <c r="AAQ395" s="104"/>
      <c r="AAR395" s="455"/>
      <c r="AAS395" s="104"/>
      <c r="AAT395" s="104"/>
      <c r="AAU395" s="109"/>
      <c r="AAV395" s="104"/>
      <c r="AAW395" s="104"/>
      <c r="AAX395" s="119"/>
      <c r="AAY395" s="104"/>
      <c r="AAZ395" s="455"/>
      <c r="ABA395" s="104"/>
      <c r="ABB395" s="104"/>
      <c r="ABC395" s="109"/>
      <c r="ABD395" s="104"/>
      <c r="ABE395" s="104"/>
      <c r="ABF395" s="119"/>
      <c r="ABG395" s="104"/>
      <c r="ABH395" s="455"/>
      <c r="ABI395" s="104"/>
      <c r="ABJ395" s="104"/>
      <c r="ABK395" s="109"/>
      <c r="ABL395" s="104"/>
      <c r="ABM395" s="104"/>
      <c r="ABN395" s="119"/>
      <c r="ABO395" s="104"/>
      <c r="ABP395" s="455"/>
      <c r="ABQ395" s="104"/>
      <c r="ABR395" s="104"/>
      <c r="ABS395" s="109"/>
      <c r="ABT395" s="104"/>
      <c r="ABU395" s="104"/>
      <c r="ABV395" s="119"/>
      <c r="ABW395" s="104"/>
      <c r="ABX395" s="455"/>
      <c r="ABY395" s="104"/>
      <c r="ABZ395" s="104"/>
      <c r="ACA395" s="109"/>
      <c r="ACB395" s="104"/>
      <c r="ACC395" s="104"/>
      <c r="ACD395" s="119"/>
      <c r="ACE395" s="104"/>
      <c r="ACF395" s="455"/>
      <c r="ACG395" s="104"/>
      <c r="ACH395" s="104"/>
      <c r="ACI395" s="109"/>
      <c r="ACJ395" s="104"/>
      <c r="ACK395" s="104"/>
      <c r="ACL395" s="119"/>
      <c r="ACM395" s="104"/>
      <c r="ACN395" s="455"/>
      <c r="ACO395" s="104"/>
      <c r="ACP395" s="104"/>
      <c r="ACQ395" s="109"/>
      <c r="ACR395" s="104"/>
      <c r="ACS395" s="104"/>
      <c r="ACT395" s="119"/>
      <c r="ACU395" s="104"/>
      <c r="ACV395" s="455"/>
      <c r="ACW395" s="104"/>
      <c r="ACX395" s="104"/>
      <c r="ACY395" s="109"/>
      <c r="ACZ395" s="104"/>
      <c r="ADA395" s="104"/>
      <c r="ADB395" s="119"/>
      <c r="ADC395" s="104"/>
      <c r="ADD395" s="455"/>
      <c r="ADE395" s="104"/>
      <c r="ADF395" s="104"/>
      <c r="ADG395" s="109"/>
      <c r="ADH395" s="104"/>
      <c r="ADI395" s="104"/>
      <c r="ADJ395" s="119"/>
      <c r="ADK395" s="104"/>
      <c r="ADL395" s="455"/>
      <c r="ADM395" s="104"/>
      <c r="ADN395" s="104"/>
      <c r="ADO395" s="109"/>
      <c r="ADP395" s="104"/>
      <c r="ADQ395" s="104"/>
      <c r="ADR395" s="119"/>
      <c r="ADS395" s="104"/>
      <c r="ADT395" s="455"/>
      <c r="ADU395" s="104"/>
      <c r="ADV395" s="104"/>
      <c r="ADW395" s="109"/>
      <c r="ADX395" s="104"/>
      <c r="ADY395" s="104"/>
      <c r="ADZ395" s="119"/>
      <c r="AEA395" s="104"/>
      <c r="AEB395" s="455"/>
      <c r="AEC395" s="104"/>
      <c r="AED395" s="104"/>
      <c r="AEE395" s="109"/>
      <c r="AEF395" s="104"/>
      <c r="AEG395" s="104"/>
      <c r="AEH395" s="119"/>
      <c r="AEI395" s="104"/>
      <c r="AEJ395" s="455"/>
      <c r="AEK395" s="104"/>
      <c r="AEL395" s="104"/>
      <c r="AEM395" s="109"/>
      <c r="AEN395" s="104"/>
      <c r="AEO395" s="104"/>
      <c r="AEP395" s="119"/>
      <c r="AEQ395" s="104"/>
      <c r="AER395" s="455"/>
      <c r="AES395" s="104"/>
      <c r="AET395" s="104"/>
      <c r="AEU395" s="109"/>
      <c r="AEV395" s="104"/>
      <c r="AEW395" s="104"/>
      <c r="AEX395" s="119"/>
      <c r="AEY395" s="104"/>
      <c r="AEZ395" s="455"/>
      <c r="AFA395" s="104"/>
      <c r="AFB395" s="104"/>
      <c r="AFC395" s="109"/>
      <c r="AFD395" s="104"/>
      <c r="AFE395" s="104"/>
      <c r="AFF395" s="119"/>
      <c r="AFG395" s="104"/>
      <c r="AFH395" s="455"/>
      <c r="AFI395" s="104"/>
      <c r="AFJ395" s="104"/>
      <c r="AFK395" s="109"/>
      <c r="AFL395" s="104"/>
      <c r="AFM395" s="104"/>
      <c r="AFN395" s="119"/>
      <c r="AFO395" s="104"/>
      <c r="AFP395" s="455"/>
      <c r="AFQ395" s="104"/>
      <c r="AFR395" s="104"/>
      <c r="AFS395" s="109"/>
      <c r="AFT395" s="104"/>
      <c r="AFU395" s="104"/>
      <c r="AFV395" s="119"/>
      <c r="AFW395" s="104"/>
      <c r="AFX395" s="455"/>
      <c r="AFY395" s="104"/>
      <c r="AFZ395" s="104"/>
      <c r="AGA395" s="109"/>
      <c r="AGB395" s="104"/>
      <c r="AGC395" s="104"/>
      <c r="AGD395" s="119"/>
      <c r="AGE395" s="104"/>
      <c r="AGF395" s="455"/>
      <c r="AGG395" s="104"/>
      <c r="AGH395" s="104"/>
      <c r="AGI395" s="109"/>
      <c r="AGJ395" s="104"/>
      <c r="AGK395" s="104"/>
      <c r="AGL395" s="119"/>
      <c r="AGM395" s="104"/>
      <c r="AGN395" s="455"/>
      <c r="AGO395" s="104"/>
      <c r="AGP395" s="104"/>
      <c r="AGQ395" s="109"/>
      <c r="AGR395" s="104"/>
      <c r="AGS395" s="104"/>
      <c r="AGT395" s="119"/>
      <c r="AGU395" s="104"/>
      <c r="AGV395" s="455"/>
      <c r="AGW395" s="104"/>
      <c r="AGX395" s="104"/>
      <c r="AGY395" s="109"/>
      <c r="AGZ395" s="104"/>
      <c r="AHA395" s="104"/>
      <c r="AHB395" s="119"/>
      <c r="AHC395" s="104"/>
      <c r="AHD395" s="455"/>
      <c r="AHE395" s="104"/>
      <c r="AHF395" s="104"/>
      <c r="AHG395" s="109"/>
      <c r="AHH395" s="104"/>
      <c r="AHI395" s="104"/>
      <c r="AHJ395" s="119"/>
      <c r="AHK395" s="104"/>
      <c r="AHL395" s="455"/>
      <c r="AHM395" s="104"/>
      <c r="AHN395" s="104"/>
      <c r="AHO395" s="109"/>
      <c r="AHP395" s="104"/>
      <c r="AHQ395" s="104"/>
      <c r="AHR395" s="119"/>
      <c r="AHS395" s="104"/>
      <c r="AHT395" s="455"/>
      <c r="AHU395" s="104"/>
      <c r="AHV395" s="104"/>
      <c r="AHW395" s="109"/>
      <c r="AHX395" s="104"/>
      <c r="AHY395" s="104"/>
      <c r="AHZ395" s="119"/>
      <c r="AIA395" s="104"/>
      <c r="AIB395" s="455"/>
      <c r="AIC395" s="104"/>
      <c r="AID395" s="104"/>
      <c r="AIE395" s="109"/>
      <c r="AIF395" s="104"/>
      <c r="AIG395" s="104"/>
      <c r="AIH395" s="119"/>
      <c r="AII395" s="104"/>
      <c r="AIJ395" s="455"/>
      <c r="AIK395" s="104"/>
      <c r="AIL395" s="104"/>
      <c r="AIM395" s="109"/>
      <c r="AIN395" s="104"/>
      <c r="AIO395" s="104"/>
      <c r="AIP395" s="119"/>
      <c r="AIQ395" s="104"/>
      <c r="AIR395" s="455"/>
      <c r="AIS395" s="104"/>
      <c r="AIT395" s="104"/>
      <c r="AIU395" s="109"/>
      <c r="AIV395" s="104"/>
      <c r="AIW395" s="104"/>
      <c r="AIX395" s="119"/>
      <c r="AIY395" s="104"/>
      <c r="AIZ395" s="455"/>
      <c r="AJA395" s="104"/>
      <c r="AJB395" s="104"/>
      <c r="AJC395" s="109"/>
      <c r="AJD395" s="104"/>
      <c r="AJE395" s="104"/>
      <c r="AJF395" s="119"/>
      <c r="AJG395" s="104"/>
      <c r="AJH395" s="455"/>
      <c r="AJI395" s="104"/>
      <c r="AJJ395" s="104"/>
      <c r="AJK395" s="109"/>
      <c r="AJL395" s="104"/>
      <c r="AJM395" s="104"/>
      <c r="AJN395" s="119"/>
      <c r="AJO395" s="104"/>
      <c r="AJP395" s="455"/>
      <c r="AJQ395" s="104"/>
      <c r="AJR395" s="104"/>
      <c r="AJS395" s="109"/>
      <c r="AJT395" s="104"/>
      <c r="AJU395" s="104"/>
      <c r="AJV395" s="119"/>
      <c r="AJW395" s="104"/>
      <c r="AJX395" s="455"/>
      <c r="AJY395" s="104"/>
      <c r="AJZ395" s="104"/>
      <c r="AKA395" s="109"/>
      <c r="AKB395" s="104"/>
      <c r="AKC395" s="104"/>
      <c r="AKD395" s="119"/>
      <c r="AKE395" s="104"/>
      <c r="AKF395" s="455"/>
      <c r="AKG395" s="104"/>
      <c r="AKH395" s="104"/>
      <c r="AKI395" s="109"/>
      <c r="AKJ395" s="104"/>
      <c r="AKK395" s="104"/>
      <c r="AKL395" s="119"/>
      <c r="AKM395" s="104"/>
      <c r="AKN395" s="455"/>
      <c r="AKO395" s="104"/>
      <c r="AKP395" s="104"/>
      <c r="AKQ395" s="109"/>
      <c r="AKR395" s="104"/>
      <c r="AKS395" s="104"/>
      <c r="AKT395" s="119"/>
      <c r="AKU395" s="104"/>
      <c r="AKV395" s="455"/>
      <c r="AKW395" s="104"/>
      <c r="AKX395" s="104"/>
      <c r="AKY395" s="109"/>
      <c r="AKZ395" s="104"/>
      <c r="ALA395" s="104"/>
      <c r="ALB395" s="119"/>
      <c r="ALC395" s="104"/>
      <c r="ALD395" s="455"/>
      <c r="ALE395" s="104"/>
      <c r="ALF395" s="104"/>
      <c r="ALG395" s="109"/>
      <c r="ALH395" s="104"/>
      <c r="ALI395" s="104"/>
      <c r="ALJ395" s="119"/>
      <c r="ALK395" s="104"/>
      <c r="ALL395" s="455"/>
      <c r="ALM395" s="104"/>
      <c r="ALN395" s="104"/>
      <c r="ALO395" s="109"/>
      <c r="ALP395" s="104"/>
      <c r="ALQ395" s="104"/>
      <c r="ALR395" s="119"/>
      <c r="ALS395" s="104"/>
      <c r="ALT395" s="455"/>
      <c r="ALU395" s="104"/>
      <c r="ALV395" s="104"/>
      <c r="ALW395" s="109"/>
      <c r="ALX395" s="104"/>
      <c r="ALY395" s="104"/>
      <c r="ALZ395" s="119"/>
      <c r="AMA395" s="104"/>
      <c r="AMB395" s="455"/>
      <c r="AMC395" s="104"/>
      <c r="AMD395" s="104"/>
      <c r="AME395" s="109"/>
      <c r="AMF395" s="104"/>
      <c r="AMG395" s="104"/>
      <c r="AMH395" s="119"/>
      <c r="AMI395" s="104"/>
      <c r="AMJ395" s="455"/>
      <c r="AMK395" s="104"/>
      <c r="AML395" s="104"/>
      <c r="AMM395" s="109"/>
      <c r="AMN395" s="104"/>
      <c r="AMO395" s="104"/>
      <c r="AMP395" s="119"/>
      <c r="AMQ395" s="104"/>
      <c r="AMR395" s="455"/>
      <c r="AMS395" s="104"/>
      <c r="AMT395" s="104"/>
      <c r="AMU395" s="109"/>
      <c r="AMV395" s="104"/>
      <c r="AMW395" s="104"/>
      <c r="AMX395" s="119"/>
      <c r="AMY395" s="104"/>
      <c r="AMZ395" s="455"/>
      <c r="ANA395" s="104"/>
      <c r="ANB395" s="104"/>
      <c r="ANC395" s="109"/>
      <c r="AND395" s="104"/>
      <c r="ANE395" s="104"/>
      <c r="ANF395" s="119"/>
      <c r="ANG395" s="104"/>
      <c r="ANH395" s="455"/>
      <c r="ANI395" s="104"/>
      <c r="ANJ395" s="104"/>
      <c r="ANK395" s="109"/>
      <c r="ANL395" s="104"/>
      <c r="ANM395" s="104"/>
      <c r="ANN395" s="119"/>
      <c r="ANO395" s="104"/>
      <c r="ANP395" s="455"/>
      <c r="ANQ395" s="104"/>
      <c r="ANR395" s="104"/>
      <c r="ANS395" s="109"/>
      <c r="ANT395" s="104"/>
      <c r="ANU395" s="104"/>
      <c r="ANV395" s="119"/>
      <c r="ANW395" s="104"/>
      <c r="ANX395" s="455"/>
      <c r="ANY395" s="104"/>
      <c r="ANZ395" s="104"/>
      <c r="AOA395" s="109"/>
      <c r="AOB395" s="104"/>
      <c r="AOC395" s="104"/>
      <c r="AOD395" s="119"/>
      <c r="AOE395" s="104"/>
      <c r="AOF395" s="455"/>
      <c r="AOG395" s="104"/>
      <c r="AOH395" s="104"/>
      <c r="AOI395" s="109"/>
      <c r="AOJ395" s="104"/>
      <c r="AOK395" s="104"/>
      <c r="AOL395" s="119"/>
      <c r="AOM395" s="104"/>
      <c r="AON395" s="455"/>
      <c r="AOO395" s="104"/>
      <c r="AOP395" s="104"/>
      <c r="AOQ395" s="109"/>
      <c r="AOR395" s="104"/>
      <c r="AOS395" s="104"/>
      <c r="AOT395" s="119"/>
      <c r="AOU395" s="104"/>
      <c r="AOV395" s="455"/>
      <c r="AOW395" s="104"/>
      <c r="AOX395" s="104"/>
      <c r="AOY395" s="109"/>
      <c r="AOZ395" s="104"/>
      <c r="APA395" s="104"/>
      <c r="APB395" s="119"/>
      <c r="APC395" s="104"/>
      <c r="APD395" s="455"/>
      <c r="APE395" s="104"/>
      <c r="APF395" s="104"/>
      <c r="APG395" s="109"/>
      <c r="APH395" s="104"/>
      <c r="API395" s="104"/>
      <c r="APJ395" s="119"/>
      <c r="APK395" s="104"/>
      <c r="APL395" s="455"/>
      <c r="APM395" s="104"/>
      <c r="APN395" s="104"/>
      <c r="APO395" s="109"/>
      <c r="APP395" s="104"/>
      <c r="APQ395" s="104"/>
      <c r="APR395" s="119"/>
      <c r="APS395" s="104"/>
      <c r="APT395" s="455"/>
      <c r="APU395" s="104"/>
      <c r="APV395" s="104"/>
      <c r="APW395" s="109"/>
      <c r="APX395" s="104"/>
      <c r="APY395" s="104"/>
      <c r="APZ395" s="119"/>
      <c r="AQA395" s="104"/>
      <c r="AQB395" s="455"/>
      <c r="AQC395" s="104"/>
      <c r="AQD395" s="104"/>
      <c r="AQE395" s="109"/>
      <c r="AQF395" s="104"/>
      <c r="AQG395" s="104"/>
      <c r="AQH395" s="119"/>
      <c r="AQI395" s="104"/>
      <c r="AQJ395" s="455"/>
      <c r="AQK395" s="104"/>
      <c r="AQL395" s="104"/>
      <c r="AQM395" s="109"/>
      <c r="AQN395" s="104"/>
      <c r="AQO395" s="104"/>
      <c r="AQP395" s="119"/>
      <c r="AQQ395" s="104"/>
      <c r="AQR395" s="455"/>
      <c r="AQS395" s="104"/>
      <c r="AQT395" s="104"/>
      <c r="AQU395" s="109"/>
      <c r="AQV395" s="104"/>
      <c r="AQW395" s="104"/>
      <c r="AQX395" s="119"/>
      <c r="AQY395" s="104"/>
      <c r="AQZ395" s="455"/>
      <c r="ARA395" s="104"/>
      <c r="ARB395" s="104"/>
      <c r="ARC395" s="109"/>
      <c r="ARD395" s="104"/>
      <c r="ARE395" s="104"/>
      <c r="ARF395" s="119"/>
      <c r="ARG395" s="104"/>
      <c r="ARH395" s="455"/>
      <c r="ARI395" s="104"/>
      <c r="ARJ395" s="104"/>
      <c r="ARK395" s="109"/>
      <c r="ARL395" s="104"/>
      <c r="ARM395" s="104"/>
      <c r="ARN395" s="119"/>
      <c r="ARO395" s="104"/>
      <c r="ARP395" s="455"/>
      <c r="ARQ395" s="104"/>
      <c r="ARR395" s="104"/>
      <c r="ARS395" s="109"/>
      <c r="ART395" s="104"/>
      <c r="ARU395" s="104"/>
      <c r="ARV395" s="119"/>
      <c r="ARW395" s="104"/>
      <c r="ARX395" s="455"/>
      <c r="ARY395" s="104"/>
      <c r="ARZ395" s="104"/>
      <c r="ASA395" s="109"/>
      <c r="ASB395" s="104"/>
      <c r="ASC395" s="104"/>
      <c r="ASD395" s="119"/>
      <c r="ASE395" s="104"/>
      <c r="ASF395" s="455"/>
      <c r="ASG395" s="104"/>
      <c r="ASH395" s="104"/>
      <c r="ASI395" s="109"/>
      <c r="ASJ395" s="104"/>
      <c r="ASK395" s="104"/>
      <c r="ASL395" s="119"/>
      <c r="ASM395" s="104"/>
      <c r="ASN395" s="455"/>
      <c r="ASO395" s="104"/>
      <c r="ASP395" s="104"/>
      <c r="ASQ395" s="109"/>
      <c r="ASR395" s="104"/>
      <c r="ASS395" s="104"/>
      <c r="AST395" s="119"/>
      <c r="ASU395" s="104"/>
      <c r="ASV395" s="455"/>
      <c r="ASW395" s="104"/>
      <c r="ASX395" s="104"/>
      <c r="ASY395" s="109"/>
      <c r="ASZ395" s="104"/>
      <c r="ATA395" s="104"/>
      <c r="ATB395" s="119"/>
      <c r="ATC395" s="104"/>
      <c r="ATD395" s="455"/>
      <c r="ATE395" s="104"/>
      <c r="ATF395" s="104"/>
      <c r="ATG395" s="109"/>
      <c r="ATH395" s="104"/>
      <c r="ATI395" s="104"/>
      <c r="ATJ395" s="119"/>
      <c r="ATK395" s="104"/>
      <c r="ATL395" s="455"/>
      <c r="ATM395" s="104"/>
      <c r="ATN395" s="104"/>
      <c r="ATO395" s="109"/>
      <c r="ATP395" s="104"/>
      <c r="ATQ395" s="104"/>
      <c r="ATR395" s="119"/>
      <c r="ATS395" s="104"/>
      <c r="ATT395" s="455"/>
      <c r="ATU395" s="104"/>
      <c r="ATV395" s="104"/>
      <c r="ATW395" s="109"/>
      <c r="ATX395" s="104"/>
      <c r="ATY395" s="104"/>
      <c r="ATZ395" s="119"/>
      <c r="AUA395" s="104"/>
      <c r="AUB395" s="455"/>
      <c r="AUC395" s="104"/>
      <c r="AUD395" s="104"/>
      <c r="AUE395" s="109"/>
      <c r="AUF395" s="104"/>
      <c r="AUG395" s="104"/>
      <c r="AUH395" s="119"/>
      <c r="AUI395" s="104"/>
      <c r="AUJ395" s="455"/>
      <c r="AUK395" s="104"/>
      <c r="AUL395" s="104"/>
      <c r="AUM395" s="109"/>
      <c r="AUN395" s="104"/>
      <c r="AUO395" s="104"/>
      <c r="AUP395" s="119"/>
      <c r="AUQ395" s="104"/>
      <c r="AUR395" s="455"/>
      <c r="AUS395" s="104"/>
      <c r="AUT395" s="104"/>
      <c r="AUU395" s="109"/>
      <c r="AUV395" s="104"/>
      <c r="AUW395" s="104"/>
      <c r="AUX395" s="119"/>
      <c r="AUY395" s="104"/>
      <c r="AUZ395" s="455"/>
      <c r="AVA395" s="104"/>
      <c r="AVB395" s="104"/>
      <c r="AVC395" s="109"/>
      <c r="AVD395" s="104"/>
      <c r="AVE395" s="104"/>
      <c r="AVF395" s="119"/>
      <c r="AVG395" s="104"/>
      <c r="AVH395" s="455"/>
      <c r="AVI395" s="104"/>
      <c r="AVJ395" s="104"/>
      <c r="AVK395" s="109"/>
      <c r="AVL395" s="104"/>
      <c r="AVM395" s="104"/>
      <c r="AVN395" s="119"/>
      <c r="AVO395" s="104"/>
      <c r="AVP395" s="455"/>
      <c r="AVQ395" s="104"/>
      <c r="AVR395" s="104"/>
      <c r="AVS395" s="109"/>
      <c r="AVT395" s="104"/>
      <c r="AVU395" s="104"/>
      <c r="AVV395" s="119"/>
      <c r="AVW395" s="104"/>
      <c r="AVX395" s="455"/>
      <c r="AVY395" s="104"/>
      <c r="AVZ395" s="104"/>
      <c r="AWA395" s="109"/>
      <c r="AWB395" s="104"/>
      <c r="AWC395" s="104"/>
      <c r="AWD395" s="119"/>
      <c r="AWE395" s="104"/>
      <c r="AWF395" s="455"/>
      <c r="AWG395" s="104"/>
      <c r="AWH395" s="104"/>
      <c r="AWI395" s="109"/>
      <c r="AWJ395" s="104"/>
      <c r="AWK395" s="104"/>
      <c r="AWL395" s="119"/>
      <c r="AWM395" s="104"/>
      <c r="AWN395" s="455"/>
      <c r="AWO395" s="104"/>
      <c r="AWP395" s="104"/>
      <c r="AWQ395" s="109"/>
      <c r="AWR395" s="104"/>
      <c r="AWS395" s="104"/>
      <c r="AWT395" s="119"/>
      <c r="AWU395" s="104"/>
      <c r="AWV395" s="455"/>
      <c r="AWW395" s="104"/>
      <c r="AWX395" s="104"/>
      <c r="AWY395" s="109"/>
      <c r="AWZ395" s="104"/>
      <c r="AXA395" s="104"/>
      <c r="AXB395" s="119"/>
      <c r="AXC395" s="104"/>
      <c r="AXD395" s="455"/>
      <c r="AXE395" s="104"/>
      <c r="AXF395" s="104"/>
      <c r="AXG395" s="109"/>
      <c r="AXH395" s="104"/>
      <c r="AXI395" s="104"/>
      <c r="AXJ395" s="119"/>
      <c r="AXK395" s="104"/>
      <c r="AXL395" s="455"/>
      <c r="AXM395" s="104"/>
      <c r="AXN395" s="104"/>
      <c r="AXO395" s="109"/>
      <c r="AXP395" s="104"/>
      <c r="AXQ395" s="104"/>
      <c r="AXR395" s="119"/>
      <c r="AXS395" s="104"/>
      <c r="AXT395" s="455"/>
      <c r="AXU395" s="104"/>
      <c r="AXV395" s="104"/>
      <c r="AXW395" s="109"/>
      <c r="AXX395" s="104"/>
      <c r="AXY395" s="104"/>
      <c r="AXZ395" s="119"/>
      <c r="AYA395" s="104"/>
      <c r="AYB395" s="455"/>
      <c r="AYC395" s="104"/>
      <c r="AYD395" s="104"/>
      <c r="AYE395" s="109"/>
      <c r="AYF395" s="104"/>
      <c r="AYG395" s="104"/>
      <c r="AYH395" s="119"/>
      <c r="AYI395" s="104"/>
      <c r="AYJ395" s="455"/>
      <c r="AYK395" s="104"/>
      <c r="AYL395" s="104"/>
      <c r="AYM395" s="109"/>
      <c r="AYN395" s="104"/>
      <c r="AYO395" s="104"/>
      <c r="AYP395" s="119"/>
      <c r="AYQ395" s="104"/>
      <c r="AYR395" s="455"/>
      <c r="AYS395" s="104"/>
      <c r="AYT395" s="104"/>
      <c r="AYU395" s="109"/>
      <c r="AYV395" s="104"/>
      <c r="AYW395" s="104"/>
      <c r="AYX395" s="119"/>
      <c r="AYY395" s="104"/>
      <c r="AYZ395" s="455"/>
      <c r="AZA395" s="104"/>
      <c r="AZB395" s="104"/>
      <c r="AZC395" s="109"/>
      <c r="AZD395" s="104"/>
      <c r="AZE395" s="104"/>
      <c r="AZF395" s="119"/>
      <c r="AZG395" s="104"/>
      <c r="AZH395" s="455"/>
      <c r="AZI395" s="104"/>
      <c r="AZJ395" s="104"/>
      <c r="AZK395" s="109"/>
      <c r="AZL395" s="104"/>
      <c r="AZM395" s="104"/>
      <c r="AZN395" s="119"/>
      <c r="AZO395" s="104"/>
      <c r="AZP395" s="455"/>
      <c r="AZQ395" s="104"/>
      <c r="AZR395" s="104"/>
      <c r="AZS395" s="109"/>
      <c r="AZT395" s="104"/>
      <c r="AZU395" s="104"/>
      <c r="AZV395" s="119"/>
      <c r="AZW395" s="104"/>
      <c r="AZX395" s="455"/>
      <c r="AZY395" s="104"/>
      <c r="AZZ395" s="104"/>
      <c r="BAA395" s="109"/>
      <c r="BAB395" s="104"/>
      <c r="BAC395" s="104"/>
      <c r="BAD395" s="119"/>
      <c r="BAE395" s="104"/>
      <c r="BAF395" s="455"/>
      <c r="BAG395" s="104"/>
      <c r="BAH395" s="104"/>
      <c r="BAI395" s="109"/>
      <c r="BAJ395" s="104"/>
      <c r="BAK395" s="104"/>
      <c r="BAL395" s="119"/>
      <c r="BAM395" s="104"/>
      <c r="BAN395" s="455"/>
      <c r="BAO395" s="104"/>
      <c r="BAP395" s="104"/>
      <c r="BAQ395" s="109"/>
      <c r="BAR395" s="104"/>
      <c r="BAS395" s="104"/>
      <c r="BAT395" s="119"/>
      <c r="BAU395" s="104"/>
      <c r="BAV395" s="455"/>
      <c r="BAW395" s="104"/>
      <c r="BAX395" s="104"/>
      <c r="BAY395" s="109"/>
      <c r="BAZ395" s="104"/>
      <c r="BBA395" s="104"/>
      <c r="BBB395" s="119"/>
      <c r="BBC395" s="104"/>
      <c r="BBD395" s="455"/>
      <c r="BBE395" s="104"/>
      <c r="BBF395" s="104"/>
      <c r="BBG395" s="109"/>
      <c r="BBH395" s="104"/>
      <c r="BBI395" s="104"/>
      <c r="BBJ395" s="119"/>
      <c r="BBK395" s="104"/>
      <c r="BBL395" s="455"/>
      <c r="BBM395" s="104"/>
      <c r="BBN395" s="104"/>
      <c r="BBO395" s="109"/>
      <c r="BBP395" s="104"/>
      <c r="BBQ395" s="104"/>
      <c r="BBR395" s="119"/>
      <c r="BBS395" s="104"/>
      <c r="BBT395" s="455"/>
      <c r="BBU395" s="104"/>
      <c r="BBV395" s="104"/>
      <c r="BBW395" s="109"/>
      <c r="BBX395" s="104"/>
      <c r="BBY395" s="104"/>
      <c r="BBZ395" s="119"/>
      <c r="BCA395" s="104"/>
      <c r="BCB395" s="455"/>
      <c r="BCC395" s="104"/>
      <c r="BCD395" s="104"/>
      <c r="BCE395" s="109"/>
      <c r="BCF395" s="104"/>
      <c r="BCG395" s="104"/>
      <c r="BCH395" s="119"/>
      <c r="BCI395" s="104"/>
      <c r="BCJ395" s="455"/>
      <c r="BCK395" s="104"/>
      <c r="BCL395" s="104"/>
      <c r="BCM395" s="109"/>
      <c r="BCN395" s="104"/>
      <c r="BCO395" s="104"/>
      <c r="BCP395" s="119"/>
      <c r="BCQ395" s="104"/>
      <c r="BCR395" s="455"/>
      <c r="BCS395" s="104"/>
      <c r="BCT395" s="104"/>
      <c r="BCU395" s="109"/>
      <c r="BCV395" s="104"/>
      <c r="BCW395" s="104"/>
      <c r="BCX395" s="119"/>
      <c r="BCY395" s="104"/>
      <c r="BCZ395" s="455"/>
      <c r="BDA395" s="104"/>
      <c r="BDB395" s="104"/>
      <c r="BDC395" s="109"/>
      <c r="BDD395" s="104"/>
      <c r="BDE395" s="104"/>
      <c r="BDF395" s="119"/>
      <c r="BDG395" s="104"/>
      <c r="BDH395" s="455"/>
      <c r="BDI395" s="104"/>
      <c r="BDJ395" s="104"/>
      <c r="BDK395" s="109"/>
      <c r="BDL395" s="104"/>
      <c r="BDM395" s="104"/>
      <c r="BDN395" s="119"/>
      <c r="BDO395" s="104"/>
      <c r="BDP395" s="455"/>
      <c r="BDQ395" s="104"/>
      <c r="BDR395" s="104"/>
      <c r="BDS395" s="109"/>
      <c r="BDT395" s="104"/>
      <c r="BDU395" s="104"/>
      <c r="BDV395" s="119"/>
      <c r="BDW395" s="104"/>
      <c r="BDX395" s="455"/>
      <c r="BDY395" s="104"/>
      <c r="BDZ395" s="104"/>
      <c r="BEA395" s="109"/>
      <c r="BEB395" s="104"/>
      <c r="BEC395" s="104"/>
      <c r="BED395" s="119"/>
      <c r="BEE395" s="104"/>
      <c r="BEF395" s="455"/>
      <c r="BEG395" s="104"/>
      <c r="BEH395" s="104"/>
      <c r="BEI395" s="109"/>
      <c r="BEJ395" s="104"/>
      <c r="BEK395" s="104"/>
      <c r="BEL395" s="119"/>
      <c r="BEM395" s="104"/>
      <c r="BEN395" s="455"/>
      <c r="BEO395" s="104"/>
      <c r="BEP395" s="104"/>
      <c r="BEQ395" s="109"/>
      <c r="BER395" s="104"/>
      <c r="BES395" s="104"/>
      <c r="BET395" s="119"/>
      <c r="BEU395" s="104"/>
      <c r="BEV395" s="455"/>
      <c r="BEW395" s="104"/>
      <c r="BEX395" s="104"/>
      <c r="BEY395" s="109"/>
      <c r="BEZ395" s="104"/>
      <c r="BFA395" s="104"/>
      <c r="BFB395" s="119"/>
      <c r="BFC395" s="104"/>
      <c r="BFD395" s="455"/>
      <c r="BFE395" s="104"/>
      <c r="BFF395" s="104"/>
      <c r="BFG395" s="109"/>
      <c r="BFH395" s="104"/>
      <c r="BFI395" s="104"/>
      <c r="BFJ395" s="119"/>
      <c r="BFK395" s="104"/>
      <c r="BFL395" s="455"/>
      <c r="BFM395" s="104"/>
      <c r="BFN395" s="104"/>
      <c r="BFO395" s="109"/>
      <c r="BFP395" s="104"/>
      <c r="BFQ395" s="104"/>
      <c r="BFR395" s="119"/>
      <c r="BFS395" s="104"/>
      <c r="BFT395" s="455"/>
      <c r="BFU395" s="104"/>
      <c r="BFV395" s="104"/>
      <c r="BFW395" s="109"/>
      <c r="BFX395" s="104"/>
      <c r="BFY395" s="104"/>
      <c r="BFZ395" s="119"/>
      <c r="BGA395" s="104"/>
      <c r="BGB395" s="455"/>
      <c r="BGC395" s="104"/>
      <c r="BGD395" s="104"/>
      <c r="BGE395" s="109"/>
      <c r="BGF395" s="104"/>
      <c r="BGG395" s="104"/>
      <c r="BGH395" s="119"/>
      <c r="BGI395" s="104"/>
      <c r="BGJ395" s="455"/>
      <c r="BGK395" s="104"/>
      <c r="BGL395" s="104"/>
      <c r="BGM395" s="109"/>
      <c r="BGN395" s="104"/>
      <c r="BGO395" s="104"/>
      <c r="BGP395" s="119"/>
      <c r="BGQ395" s="104"/>
      <c r="BGR395" s="455"/>
      <c r="BGS395" s="104"/>
      <c r="BGT395" s="104"/>
      <c r="BGU395" s="109"/>
      <c r="BGV395" s="104"/>
      <c r="BGW395" s="104"/>
      <c r="BGX395" s="119"/>
      <c r="BGY395" s="104"/>
      <c r="BGZ395" s="455"/>
      <c r="BHA395" s="104"/>
      <c r="BHB395" s="104"/>
      <c r="BHC395" s="109"/>
      <c r="BHD395" s="104"/>
      <c r="BHE395" s="104"/>
      <c r="BHF395" s="119"/>
      <c r="BHG395" s="104"/>
      <c r="BHH395" s="455"/>
      <c r="BHI395" s="104"/>
      <c r="BHJ395" s="104"/>
      <c r="BHK395" s="109"/>
      <c r="BHL395" s="104"/>
      <c r="BHM395" s="104"/>
      <c r="BHN395" s="119"/>
      <c r="BHO395" s="104"/>
      <c r="BHP395" s="455"/>
      <c r="BHQ395" s="104"/>
      <c r="BHR395" s="104"/>
      <c r="BHS395" s="109"/>
      <c r="BHT395" s="104"/>
      <c r="BHU395" s="104"/>
      <c r="BHV395" s="119"/>
      <c r="BHW395" s="104"/>
      <c r="BHX395" s="455"/>
      <c r="BHY395" s="104"/>
      <c r="BHZ395" s="104"/>
      <c r="BIA395" s="109"/>
      <c r="BIB395" s="104"/>
      <c r="BIC395" s="104"/>
      <c r="BID395" s="119"/>
      <c r="BIE395" s="104"/>
      <c r="BIF395" s="455"/>
      <c r="BIG395" s="104"/>
      <c r="BIH395" s="104"/>
      <c r="BII395" s="109"/>
      <c r="BIJ395" s="104"/>
      <c r="BIK395" s="104"/>
      <c r="BIL395" s="119"/>
      <c r="BIM395" s="104"/>
      <c r="BIN395" s="455"/>
      <c r="BIO395" s="104"/>
      <c r="BIP395" s="104"/>
      <c r="BIQ395" s="109"/>
      <c r="BIR395" s="104"/>
      <c r="BIS395" s="104"/>
      <c r="BIT395" s="119"/>
      <c r="BIU395" s="104"/>
      <c r="BIV395" s="455"/>
      <c r="BIW395" s="104"/>
      <c r="BIX395" s="104"/>
      <c r="BIY395" s="109"/>
      <c r="BIZ395" s="104"/>
      <c r="BJA395" s="104"/>
      <c r="BJB395" s="119"/>
      <c r="BJC395" s="104"/>
      <c r="BJD395" s="455"/>
      <c r="BJE395" s="104"/>
      <c r="BJF395" s="104"/>
      <c r="BJG395" s="109"/>
      <c r="BJH395" s="104"/>
      <c r="BJI395" s="104"/>
      <c r="BJJ395" s="119"/>
      <c r="BJK395" s="104"/>
      <c r="BJL395" s="455"/>
      <c r="BJM395" s="104"/>
      <c r="BJN395" s="104"/>
      <c r="BJO395" s="109"/>
      <c r="BJP395" s="104"/>
      <c r="BJQ395" s="104"/>
      <c r="BJR395" s="119"/>
      <c r="BJS395" s="104"/>
      <c r="BJT395" s="455"/>
      <c r="BJU395" s="104"/>
      <c r="BJV395" s="104"/>
      <c r="BJW395" s="109"/>
      <c r="BJX395" s="104"/>
      <c r="BJY395" s="104"/>
      <c r="BJZ395" s="119"/>
      <c r="BKA395" s="104"/>
      <c r="BKB395" s="455"/>
      <c r="BKC395" s="104"/>
      <c r="BKD395" s="104"/>
      <c r="BKE395" s="109"/>
      <c r="BKF395" s="104"/>
      <c r="BKG395" s="104"/>
      <c r="BKH395" s="119"/>
      <c r="BKI395" s="104"/>
      <c r="BKJ395" s="455"/>
      <c r="BKK395" s="104"/>
      <c r="BKL395" s="104"/>
      <c r="BKM395" s="109"/>
      <c r="BKN395" s="104"/>
      <c r="BKO395" s="104"/>
      <c r="BKP395" s="119"/>
      <c r="BKQ395" s="104"/>
      <c r="BKR395" s="455"/>
      <c r="BKS395" s="104"/>
      <c r="BKT395" s="104"/>
      <c r="BKU395" s="109"/>
      <c r="BKV395" s="104"/>
      <c r="BKW395" s="104"/>
      <c r="BKX395" s="119"/>
      <c r="BKY395" s="104"/>
      <c r="BKZ395" s="455"/>
      <c r="BLA395" s="104"/>
      <c r="BLB395" s="104"/>
      <c r="BLC395" s="109"/>
      <c r="BLD395" s="104"/>
      <c r="BLE395" s="104"/>
      <c r="BLF395" s="119"/>
      <c r="BLG395" s="104"/>
      <c r="BLH395" s="455"/>
      <c r="BLI395" s="104"/>
      <c r="BLJ395" s="104"/>
      <c r="BLK395" s="109"/>
      <c r="BLL395" s="104"/>
      <c r="BLM395" s="104"/>
      <c r="BLN395" s="119"/>
      <c r="BLO395" s="104"/>
      <c r="BLP395" s="455"/>
      <c r="BLQ395" s="104"/>
      <c r="BLR395" s="104"/>
      <c r="BLS395" s="109"/>
      <c r="BLT395" s="104"/>
      <c r="BLU395" s="104"/>
      <c r="BLV395" s="119"/>
      <c r="BLW395" s="104"/>
      <c r="BLX395" s="455"/>
      <c r="BLY395" s="104"/>
      <c r="BLZ395" s="104"/>
      <c r="BMA395" s="109"/>
      <c r="BMB395" s="104"/>
      <c r="BMC395" s="104"/>
      <c r="BMD395" s="119"/>
      <c r="BME395" s="104"/>
      <c r="BMF395" s="455"/>
      <c r="BMG395" s="104"/>
      <c r="BMH395" s="104"/>
      <c r="BMI395" s="109"/>
      <c r="BMJ395" s="104"/>
      <c r="BMK395" s="104"/>
      <c r="BML395" s="119"/>
      <c r="BMM395" s="104"/>
      <c r="BMN395" s="455"/>
      <c r="BMO395" s="104"/>
      <c r="BMP395" s="104"/>
      <c r="BMQ395" s="109"/>
      <c r="BMR395" s="104"/>
      <c r="BMS395" s="104"/>
      <c r="BMT395" s="119"/>
      <c r="BMU395" s="104"/>
      <c r="BMV395" s="455"/>
      <c r="BMW395" s="104"/>
      <c r="BMX395" s="104"/>
      <c r="BMY395" s="109"/>
      <c r="BMZ395" s="104"/>
      <c r="BNA395" s="104"/>
      <c r="BNB395" s="119"/>
      <c r="BNC395" s="104"/>
      <c r="BND395" s="455"/>
      <c r="BNE395" s="104"/>
      <c r="BNF395" s="104"/>
      <c r="BNG395" s="109"/>
      <c r="BNH395" s="104"/>
      <c r="BNI395" s="104"/>
      <c r="BNJ395" s="119"/>
      <c r="BNK395" s="104"/>
      <c r="BNL395" s="455"/>
      <c r="BNM395" s="104"/>
      <c r="BNN395" s="104"/>
      <c r="BNO395" s="109"/>
      <c r="BNP395" s="104"/>
      <c r="BNQ395" s="104"/>
      <c r="BNR395" s="119"/>
      <c r="BNS395" s="104"/>
      <c r="BNT395" s="455"/>
      <c r="BNU395" s="104"/>
      <c r="BNV395" s="104"/>
      <c r="BNW395" s="109"/>
      <c r="BNX395" s="104"/>
      <c r="BNY395" s="104"/>
      <c r="BNZ395" s="119"/>
      <c r="BOA395" s="104"/>
      <c r="BOB395" s="455"/>
      <c r="BOC395" s="104"/>
      <c r="BOD395" s="104"/>
      <c r="BOE395" s="109"/>
      <c r="BOF395" s="104"/>
      <c r="BOG395" s="104"/>
      <c r="BOH395" s="119"/>
      <c r="BOI395" s="104"/>
      <c r="BOJ395" s="455"/>
      <c r="BOK395" s="104"/>
      <c r="BOL395" s="104"/>
      <c r="BOM395" s="109"/>
      <c r="BON395" s="104"/>
      <c r="BOO395" s="104"/>
      <c r="BOP395" s="119"/>
      <c r="BOQ395" s="104"/>
      <c r="BOR395" s="455"/>
      <c r="BOS395" s="104"/>
      <c r="BOT395" s="104"/>
      <c r="BOU395" s="109"/>
      <c r="BOV395" s="104"/>
      <c r="BOW395" s="104"/>
      <c r="BOX395" s="119"/>
      <c r="BOY395" s="104"/>
      <c r="BOZ395" s="455"/>
      <c r="BPA395" s="104"/>
      <c r="BPB395" s="104"/>
      <c r="BPC395" s="109"/>
      <c r="BPD395" s="104"/>
      <c r="BPE395" s="104"/>
      <c r="BPF395" s="119"/>
      <c r="BPG395" s="104"/>
      <c r="BPH395" s="455"/>
      <c r="BPI395" s="104"/>
      <c r="BPJ395" s="104"/>
      <c r="BPK395" s="109"/>
      <c r="BPL395" s="104"/>
      <c r="BPM395" s="104"/>
      <c r="BPN395" s="119"/>
      <c r="BPO395" s="104"/>
      <c r="BPP395" s="455"/>
      <c r="BPQ395" s="104"/>
      <c r="BPR395" s="104"/>
      <c r="BPS395" s="109"/>
      <c r="BPT395" s="104"/>
      <c r="BPU395" s="104"/>
      <c r="BPV395" s="119"/>
      <c r="BPW395" s="104"/>
      <c r="BPX395" s="455"/>
      <c r="BPY395" s="104"/>
      <c r="BPZ395" s="104"/>
      <c r="BQA395" s="109"/>
      <c r="BQB395" s="104"/>
      <c r="BQC395" s="104"/>
      <c r="BQD395" s="119"/>
      <c r="BQE395" s="104"/>
      <c r="BQF395" s="455"/>
      <c r="BQG395" s="104"/>
      <c r="BQH395" s="104"/>
      <c r="BQI395" s="109"/>
      <c r="BQJ395" s="104"/>
      <c r="BQK395" s="104"/>
      <c r="BQL395" s="119"/>
      <c r="BQM395" s="104"/>
      <c r="BQN395" s="455"/>
      <c r="BQO395" s="104"/>
      <c r="BQP395" s="104"/>
      <c r="BQQ395" s="109"/>
      <c r="BQR395" s="104"/>
      <c r="BQS395" s="104"/>
      <c r="BQT395" s="119"/>
      <c r="BQU395" s="104"/>
      <c r="BQV395" s="455"/>
      <c r="BQW395" s="104"/>
      <c r="BQX395" s="104"/>
      <c r="BQY395" s="109"/>
      <c r="BQZ395" s="104"/>
      <c r="BRA395" s="104"/>
      <c r="BRB395" s="119"/>
      <c r="BRC395" s="104"/>
      <c r="BRD395" s="455"/>
      <c r="BRE395" s="104"/>
      <c r="BRF395" s="104"/>
      <c r="BRG395" s="109"/>
      <c r="BRH395" s="104"/>
      <c r="BRI395" s="104"/>
      <c r="BRJ395" s="119"/>
      <c r="BRK395" s="104"/>
      <c r="BRL395" s="455"/>
      <c r="BRM395" s="104"/>
      <c r="BRN395" s="104"/>
      <c r="BRO395" s="109"/>
      <c r="BRP395" s="104"/>
      <c r="BRQ395" s="104"/>
      <c r="BRR395" s="119"/>
      <c r="BRS395" s="104"/>
      <c r="BRT395" s="455"/>
      <c r="BRU395" s="104"/>
      <c r="BRV395" s="104"/>
      <c r="BRW395" s="109"/>
      <c r="BRX395" s="104"/>
      <c r="BRY395" s="104"/>
      <c r="BRZ395" s="119"/>
      <c r="BSA395" s="104"/>
      <c r="BSB395" s="455"/>
      <c r="BSC395" s="104"/>
      <c r="BSD395" s="104"/>
      <c r="BSE395" s="109"/>
      <c r="BSF395" s="104"/>
      <c r="BSG395" s="104"/>
      <c r="BSH395" s="119"/>
      <c r="BSI395" s="104"/>
      <c r="BSJ395" s="455"/>
      <c r="BSK395" s="104"/>
      <c r="BSL395" s="104"/>
      <c r="BSM395" s="109"/>
      <c r="BSN395" s="104"/>
      <c r="BSO395" s="104"/>
      <c r="BSP395" s="119"/>
      <c r="BSQ395" s="104"/>
      <c r="BSR395" s="455"/>
      <c r="BSS395" s="104"/>
      <c r="BST395" s="104"/>
      <c r="BSU395" s="109"/>
      <c r="BSV395" s="104"/>
      <c r="BSW395" s="104"/>
      <c r="BSX395" s="119"/>
      <c r="BSY395" s="104"/>
      <c r="BSZ395" s="455"/>
      <c r="BTA395" s="104"/>
      <c r="BTB395" s="104"/>
      <c r="BTC395" s="109"/>
      <c r="BTD395" s="104"/>
      <c r="BTE395" s="104"/>
      <c r="BTF395" s="119"/>
      <c r="BTG395" s="104"/>
      <c r="BTH395" s="455"/>
      <c r="BTI395" s="104"/>
      <c r="BTJ395" s="104"/>
      <c r="BTK395" s="109"/>
      <c r="BTL395" s="104"/>
      <c r="BTM395" s="104"/>
      <c r="BTN395" s="119"/>
      <c r="BTO395" s="104"/>
      <c r="BTP395" s="455"/>
      <c r="BTQ395" s="104"/>
      <c r="BTR395" s="104"/>
      <c r="BTS395" s="109"/>
      <c r="BTT395" s="104"/>
      <c r="BTU395" s="104"/>
      <c r="BTV395" s="119"/>
      <c r="BTW395" s="104"/>
      <c r="BTX395" s="455"/>
      <c r="BTY395" s="104"/>
      <c r="BTZ395" s="104"/>
      <c r="BUA395" s="109"/>
      <c r="BUB395" s="104"/>
      <c r="BUC395" s="104"/>
      <c r="BUD395" s="119"/>
      <c r="BUE395" s="104"/>
      <c r="BUF395" s="455"/>
      <c r="BUG395" s="104"/>
      <c r="BUH395" s="104"/>
      <c r="BUI395" s="109"/>
      <c r="BUJ395" s="104"/>
      <c r="BUK395" s="104"/>
      <c r="BUL395" s="119"/>
      <c r="BUM395" s="104"/>
      <c r="BUN395" s="455"/>
      <c r="BUO395" s="104"/>
      <c r="BUP395" s="104"/>
      <c r="BUQ395" s="109"/>
      <c r="BUR395" s="104"/>
      <c r="BUS395" s="104"/>
      <c r="BUT395" s="119"/>
      <c r="BUU395" s="104"/>
      <c r="BUV395" s="455"/>
      <c r="BUW395" s="104"/>
      <c r="BUX395" s="104"/>
      <c r="BUY395" s="109"/>
      <c r="BUZ395" s="104"/>
      <c r="BVA395" s="104"/>
      <c r="BVB395" s="119"/>
      <c r="BVC395" s="104"/>
      <c r="BVD395" s="455"/>
      <c r="BVE395" s="104"/>
      <c r="BVF395" s="104"/>
      <c r="BVG395" s="109"/>
      <c r="BVH395" s="104"/>
      <c r="BVI395" s="104"/>
      <c r="BVJ395" s="119"/>
      <c r="BVK395" s="104"/>
      <c r="BVL395" s="455"/>
      <c r="BVM395" s="104"/>
      <c r="BVN395" s="104"/>
      <c r="BVO395" s="109"/>
      <c r="BVP395" s="104"/>
      <c r="BVQ395" s="104"/>
      <c r="BVR395" s="119"/>
      <c r="BVS395" s="104"/>
      <c r="BVT395" s="455"/>
      <c r="BVU395" s="104"/>
      <c r="BVV395" s="104"/>
      <c r="BVW395" s="109"/>
      <c r="BVX395" s="104"/>
      <c r="BVY395" s="104"/>
      <c r="BVZ395" s="119"/>
      <c r="BWA395" s="104"/>
      <c r="BWB395" s="455"/>
      <c r="BWC395" s="104"/>
      <c r="BWD395" s="104"/>
      <c r="BWE395" s="109"/>
      <c r="BWF395" s="104"/>
      <c r="BWG395" s="104"/>
      <c r="BWH395" s="119"/>
      <c r="BWI395" s="104"/>
      <c r="BWJ395" s="455"/>
      <c r="BWK395" s="104"/>
      <c r="BWL395" s="104"/>
      <c r="BWM395" s="109"/>
      <c r="BWN395" s="104"/>
      <c r="BWO395" s="104"/>
      <c r="BWP395" s="119"/>
      <c r="BWQ395" s="104"/>
      <c r="BWR395" s="455"/>
      <c r="BWS395" s="104"/>
      <c r="BWT395" s="104"/>
      <c r="BWU395" s="109"/>
      <c r="BWV395" s="104"/>
      <c r="BWW395" s="104"/>
      <c r="BWX395" s="119"/>
      <c r="BWY395" s="104"/>
      <c r="BWZ395" s="455"/>
      <c r="BXA395" s="104"/>
      <c r="BXB395" s="104"/>
      <c r="BXC395" s="109"/>
      <c r="BXD395" s="104"/>
      <c r="BXE395" s="104"/>
      <c r="BXF395" s="119"/>
      <c r="BXG395" s="104"/>
      <c r="BXH395" s="455"/>
      <c r="BXI395" s="104"/>
      <c r="BXJ395" s="104"/>
      <c r="BXK395" s="109"/>
      <c r="BXL395" s="104"/>
      <c r="BXM395" s="104"/>
      <c r="BXN395" s="119"/>
      <c r="BXO395" s="104"/>
      <c r="BXP395" s="455"/>
      <c r="BXQ395" s="104"/>
      <c r="BXR395" s="104"/>
      <c r="BXS395" s="109"/>
      <c r="BXT395" s="104"/>
      <c r="BXU395" s="104"/>
      <c r="BXV395" s="119"/>
      <c r="BXW395" s="104"/>
      <c r="BXX395" s="455"/>
      <c r="BXY395" s="104"/>
      <c r="BXZ395" s="104"/>
      <c r="BYA395" s="109"/>
      <c r="BYB395" s="104"/>
      <c r="BYC395" s="104"/>
      <c r="BYD395" s="119"/>
      <c r="BYE395" s="104"/>
      <c r="BYF395" s="455"/>
      <c r="BYG395" s="104"/>
      <c r="BYH395" s="104"/>
      <c r="BYI395" s="109"/>
      <c r="BYJ395" s="104"/>
      <c r="BYK395" s="104"/>
      <c r="BYL395" s="119"/>
      <c r="BYM395" s="104"/>
      <c r="BYN395" s="455"/>
      <c r="BYO395" s="104"/>
      <c r="BYP395" s="104"/>
      <c r="BYQ395" s="109"/>
      <c r="BYR395" s="104"/>
      <c r="BYS395" s="104"/>
      <c r="BYT395" s="119"/>
      <c r="BYU395" s="104"/>
      <c r="BYV395" s="455"/>
      <c r="BYW395" s="104"/>
      <c r="BYX395" s="104"/>
      <c r="BYY395" s="109"/>
      <c r="BYZ395" s="104"/>
      <c r="BZA395" s="104"/>
      <c r="BZB395" s="119"/>
      <c r="BZC395" s="104"/>
      <c r="BZD395" s="455"/>
      <c r="BZE395" s="104"/>
      <c r="BZF395" s="104"/>
      <c r="BZG395" s="109"/>
      <c r="BZH395" s="104"/>
      <c r="BZI395" s="104"/>
      <c r="BZJ395" s="119"/>
      <c r="BZK395" s="104"/>
      <c r="BZL395" s="455"/>
      <c r="BZM395" s="104"/>
      <c r="BZN395" s="104"/>
      <c r="BZO395" s="109"/>
      <c r="BZP395" s="104"/>
      <c r="BZQ395" s="104"/>
      <c r="BZR395" s="119"/>
      <c r="BZS395" s="104"/>
      <c r="BZT395" s="455"/>
      <c r="BZU395" s="104"/>
      <c r="BZV395" s="104"/>
      <c r="BZW395" s="109"/>
      <c r="BZX395" s="104"/>
      <c r="BZY395" s="104"/>
      <c r="BZZ395" s="119"/>
      <c r="CAA395" s="104"/>
      <c r="CAB395" s="455"/>
      <c r="CAC395" s="104"/>
      <c r="CAD395" s="104"/>
      <c r="CAE395" s="109"/>
      <c r="CAF395" s="104"/>
      <c r="CAG395" s="104"/>
      <c r="CAH395" s="119"/>
      <c r="CAI395" s="104"/>
      <c r="CAJ395" s="455"/>
      <c r="CAK395" s="104"/>
      <c r="CAL395" s="104"/>
      <c r="CAM395" s="109"/>
      <c r="CAN395" s="104"/>
      <c r="CAO395" s="104"/>
      <c r="CAP395" s="119"/>
      <c r="CAQ395" s="104"/>
      <c r="CAR395" s="455"/>
      <c r="CAS395" s="104"/>
      <c r="CAT395" s="104"/>
      <c r="CAU395" s="109"/>
      <c r="CAV395" s="104"/>
      <c r="CAW395" s="104"/>
      <c r="CAX395" s="119"/>
      <c r="CAY395" s="104"/>
      <c r="CAZ395" s="455"/>
      <c r="CBA395" s="104"/>
      <c r="CBB395" s="104"/>
      <c r="CBC395" s="109"/>
      <c r="CBD395" s="104"/>
      <c r="CBE395" s="104"/>
      <c r="CBF395" s="119"/>
      <c r="CBG395" s="104"/>
      <c r="CBH395" s="455"/>
      <c r="CBI395" s="104"/>
      <c r="CBJ395" s="104"/>
      <c r="CBK395" s="109"/>
      <c r="CBL395" s="104"/>
      <c r="CBM395" s="104"/>
      <c r="CBN395" s="119"/>
      <c r="CBO395" s="104"/>
      <c r="CBP395" s="455"/>
      <c r="CBQ395" s="104"/>
      <c r="CBR395" s="104"/>
      <c r="CBS395" s="109"/>
      <c r="CBT395" s="104"/>
      <c r="CBU395" s="104"/>
      <c r="CBV395" s="119"/>
      <c r="CBW395" s="104"/>
      <c r="CBX395" s="455"/>
      <c r="CBY395" s="104"/>
      <c r="CBZ395" s="104"/>
      <c r="CCA395" s="109"/>
      <c r="CCB395" s="104"/>
      <c r="CCC395" s="104"/>
      <c r="CCD395" s="119"/>
      <c r="CCE395" s="104"/>
      <c r="CCF395" s="455"/>
      <c r="CCG395" s="104"/>
      <c r="CCH395" s="104"/>
      <c r="CCI395" s="109"/>
      <c r="CCJ395" s="104"/>
      <c r="CCK395" s="104"/>
      <c r="CCL395" s="119"/>
      <c r="CCM395" s="104"/>
      <c r="CCN395" s="455"/>
      <c r="CCO395" s="104"/>
      <c r="CCP395" s="104"/>
      <c r="CCQ395" s="109"/>
      <c r="CCR395" s="104"/>
      <c r="CCS395" s="104"/>
      <c r="CCT395" s="119"/>
      <c r="CCU395" s="104"/>
      <c r="CCV395" s="455"/>
      <c r="CCW395" s="104"/>
      <c r="CCX395" s="104"/>
      <c r="CCY395" s="109"/>
      <c r="CCZ395" s="104"/>
      <c r="CDA395" s="104"/>
      <c r="CDB395" s="119"/>
      <c r="CDC395" s="104"/>
      <c r="CDD395" s="455"/>
      <c r="CDE395" s="104"/>
      <c r="CDF395" s="104"/>
      <c r="CDG395" s="109"/>
      <c r="CDH395" s="104"/>
      <c r="CDI395" s="104"/>
      <c r="CDJ395" s="119"/>
      <c r="CDK395" s="104"/>
      <c r="CDL395" s="455"/>
      <c r="CDM395" s="104"/>
      <c r="CDN395" s="104"/>
      <c r="CDO395" s="109"/>
      <c r="CDP395" s="104"/>
      <c r="CDQ395" s="104"/>
      <c r="CDR395" s="119"/>
      <c r="CDS395" s="104"/>
      <c r="CDT395" s="455"/>
      <c r="CDU395" s="104"/>
      <c r="CDV395" s="104"/>
      <c r="CDW395" s="109"/>
      <c r="CDX395" s="104"/>
      <c r="CDY395" s="104"/>
      <c r="CDZ395" s="119"/>
      <c r="CEA395" s="104"/>
      <c r="CEB395" s="455"/>
      <c r="CEC395" s="104"/>
      <c r="CED395" s="104"/>
      <c r="CEE395" s="109"/>
      <c r="CEF395" s="104"/>
      <c r="CEG395" s="104"/>
      <c r="CEH395" s="119"/>
      <c r="CEI395" s="104"/>
      <c r="CEJ395" s="455"/>
      <c r="CEK395" s="104"/>
      <c r="CEL395" s="104"/>
      <c r="CEM395" s="109"/>
      <c r="CEN395" s="104"/>
      <c r="CEO395" s="104"/>
      <c r="CEP395" s="119"/>
      <c r="CEQ395" s="104"/>
      <c r="CER395" s="455"/>
      <c r="CES395" s="104"/>
      <c r="CET395" s="104"/>
      <c r="CEU395" s="109"/>
      <c r="CEV395" s="104"/>
      <c r="CEW395" s="104"/>
      <c r="CEX395" s="119"/>
      <c r="CEY395" s="104"/>
      <c r="CEZ395" s="455"/>
      <c r="CFA395" s="104"/>
      <c r="CFB395" s="104"/>
      <c r="CFC395" s="109"/>
      <c r="CFD395" s="104"/>
      <c r="CFE395" s="104"/>
      <c r="CFF395" s="119"/>
      <c r="CFG395" s="104"/>
      <c r="CFH395" s="455"/>
      <c r="CFI395" s="104"/>
      <c r="CFJ395" s="104"/>
      <c r="CFK395" s="109"/>
      <c r="CFL395" s="104"/>
      <c r="CFM395" s="104"/>
      <c r="CFN395" s="119"/>
      <c r="CFO395" s="104"/>
      <c r="CFP395" s="455"/>
      <c r="CFQ395" s="104"/>
      <c r="CFR395" s="104"/>
      <c r="CFS395" s="109"/>
      <c r="CFT395" s="104"/>
      <c r="CFU395" s="104"/>
      <c r="CFV395" s="119"/>
      <c r="CFW395" s="104"/>
      <c r="CFX395" s="455"/>
      <c r="CFY395" s="104"/>
      <c r="CFZ395" s="104"/>
      <c r="CGA395" s="109"/>
      <c r="CGB395" s="104"/>
      <c r="CGC395" s="104"/>
      <c r="CGD395" s="119"/>
      <c r="CGE395" s="104"/>
      <c r="CGF395" s="455"/>
      <c r="CGG395" s="104"/>
      <c r="CGH395" s="104"/>
      <c r="CGI395" s="109"/>
      <c r="CGJ395" s="104"/>
      <c r="CGK395" s="104"/>
      <c r="CGL395" s="119"/>
      <c r="CGM395" s="104"/>
      <c r="CGN395" s="455"/>
      <c r="CGO395" s="104"/>
      <c r="CGP395" s="104"/>
      <c r="CGQ395" s="109"/>
      <c r="CGR395" s="104"/>
      <c r="CGS395" s="104"/>
      <c r="CGT395" s="119"/>
      <c r="CGU395" s="104"/>
      <c r="CGV395" s="455"/>
      <c r="CGW395" s="104"/>
      <c r="CGX395" s="104"/>
      <c r="CGY395" s="109"/>
      <c r="CGZ395" s="104"/>
      <c r="CHA395" s="104"/>
      <c r="CHB395" s="119"/>
      <c r="CHC395" s="104"/>
      <c r="CHD395" s="455"/>
      <c r="CHE395" s="104"/>
      <c r="CHF395" s="104"/>
      <c r="CHG395" s="109"/>
      <c r="CHH395" s="104"/>
      <c r="CHI395" s="104"/>
      <c r="CHJ395" s="119"/>
      <c r="CHK395" s="104"/>
      <c r="CHL395" s="455"/>
      <c r="CHM395" s="104"/>
      <c r="CHN395" s="104"/>
      <c r="CHO395" s="109"/>
      <c r="CHP395" s="104"/>
      <c r="CHQ395" s="104"/>
      <c r="CHR395" s="119"/>
      <c r="CHS395" s="104"/>
      <c r="CHT395" s="455"/>
      <c r="CHU395" s="104"/>
      <c r="CHV395" s="104"/>
      <c r="CHW395" s="109"/>
      <c r="CHX395" s="104"/>
      <c r="CHY395" s="104"/>
      <c r="CHZ395" s="119"/>
      <c r="CIA395" s="104"/>
      <c r="CIB395" s="455"/>
      <c r="CIC395" s="104"/>
      <c r="CID395" s="104"/>
      <c r="CIE395" s="109"/>
      <c r="CIF395" s="104"/>
      <c r="CIG395" s="104"/>
      <c r="CIH395" s="119"/>
      <c r="CII395" s="104"/>
      <c r="CIJ395" s="455"/>
      <c r="CIK395" s="104"/>
      <c r="CIL395" s="104"/>
      <c r="CIM395" s="109"/>
      <c r="CIN395" s="104"/>
      <c r="CIO395" s="104"/>
      <c r="CIP395" s="119"/>
      <c r="CIQ395" s="104"/>
      <c r="CIR395" s="455"/>
      <c r="CIS395" s="104"/>
      <c r="CIT395" s="104"/>
      <c r="CIU395" s="109"/>
      <c r="CIV395" s="104"/>
      <c r="CIW395" s="104"/>
      <c r="CIX395" s="119"/>
      <c r="CIY395" s="104"/>
      <c r="CIZ395" s="455"/>
      <c r="CJA395" s="104"/>
      <c r="CJB395" s="104"/>
      <c r="CJC395" s="109"/>
      <c r="CJD395" s="104"/>
      <c r="CJE395" s="104"/>
      <c r="CJF395" s="119"/>
      <c r="CJG395" s="104"/>
      <c r="CJH395" s="455"/>
      <c r="CJI395" s="104"/>
      <c r="CJJ395" s="104"/>
      <c r="CJK395" s="109"/>
      <c r="CJL395" s="104"/>
      <c r="CJM395" s="104"/>
      <c r="CJN395" s="119"/>
      <c r="CJO395" s="104"/>
      <c r="CJP395" s="455"/>
      <c r="CJQ395" s="104"/>
      <c r="CJR395" s="104"/>
      <c r="CJS395" s="109"/>
      <c r="CJT395" s="104"/>
      <c r="CJU395" s="104"/>
      <c r="CJV395" s="119"/>
      <c r="CJW395" s="104"/>
      <c r="CJX395" s="455"/>
      <c r="CJY395" s="104"/>
      <c r="CJZ395" s="104"/>
      <c r="CKA395" s="109"/>
      <c r="CKB395" s="104"/>
      <c r="CKC395" s="104"/>
      <c r="CKD395" s="119"/>
      <c r="CKE395" s="104"/>
      <c r="CKF395" s="455"/>
      <c r="CKG395" s="104"/>
      <c r="CKH395" s="104"/>
      <c r="CKI395" s="109"/>
      <c r="CKJ395" s="104"/>
      <c r="CKK395" s="104"/>
      <c r="CKL395" s="119"/>
      <c r="CKM395" s="104"/>
      <c r="CKN395" s="455"/>
      <c r="CKO395" s="104"/>
      <c r="CKP395" s="104"/>
      <c r="CKQ395" s="109"/>
      <c r="CKR395" s="104"/>
      <c r="CKS395" s="104"/>
      <c r="CKT395" s="119"/>
      <c r="CKU395" s="104"/>
      <c r="CKV395" s="455"/>
      <c r="CKW395" s="104"/>
      <c r="CKX395" s="104"/>
      <c r="CKY395" s="109"/>
      <c r="CKZ395" s="104"/>
      <c r="CLA395" s="104"/>
      <c r="CLB395" s="119"/>
      <c r="CLC395" s="104"/>
      <c r="CLD395" s="455"/>
      <c r="CLE395" s="104"/>
      <c r="CLF395" s="104"/>
      <c r="CLG395" s="109"/>
      <c r="CLH395" s="104"/>
      <c r="CLI395" s="104"/>
      <c r="CLJ395" s="119"/>
      <c r="CLK395" s="104"/>
      <c r="CLL395" s="455"/>
      <c r="CLM395" s="104"/>
      <c r="CLN395" s="104"/>
      <c r="CLO395" s="109"/>
      <c r="CLP395" s="104"/>
      <c r="CLQ395" s="104"/>
      <c r="CLR395" s="119"/>
      <c r="CLS395" s="104"/>
      <c r="CLT395" s="455"/>
      <c r="CLU395" s="104"/>
      <c r="CLV395" s="104"/>
      <c r="CLW395" s="109"/>
      <c r="CLX395" s="104"/>
      <c r="CLY395" s="104"/>
      <c r="CLZ395" s="119"/>
      <c r="CMA395" s="104"/>
      <c r="CMB395" s="455"/>
      <c r="CMC395" s="104"/>
      <c r="CMD395" s="104"/>
      <c r="CME395" s="109"/>
      <c r="CMF395" s="104"/>
      <c r="CMG395" s="104"/>
      <c r="CMH395" s="119"/>
      <c r="CMI395" s="104"/>
      <c r="CMJ395" s="455"/>
      <c r="CMK395" s="104"/>
      <c r="CML395" s="104"/>
      <c r="CMM395" s="109"/>
      <c r="CMN395" s="104"/>
      <c r="CMO395" s="104"/>
      <c r="CMP395" s="119"/>
      <c r="CMQ395" s="104"/>
      <c r="CMR395" s="455"/>
      <c r="CMS395" s="104"/>
      <c r="CMT395" s="104"/>
      <c r="CMU395" s="109"/>
      <c r="CMV395" s="104"/>
      <c r="CMW395" s="104"/>
      <c r="CMX395" s="119"/>
      <c r="CMY395" s="104"/>
      <c r="CMZ395" s="455"/>
      <c r="CNA395" s="104"/>
      <c r="CNB395" s="104"/>
      <c r="CNC395" s="109"/>
      <c r="CND395" s="104"/>
      <c r="CNE395" s="104"/>
      <c r="CNF395" s="119"/>
      <c r="CNG395" s="104"/>
      <c r="CNH395" s="455"/>
      <c r="CNI395" s="104"/>
      <c r="CNJ395" s="104"/>
      <c r="CNK395" s="109"/>
      <c r="CNL395" s="104"/>
      <c r="CNM395" s="104"/>
      <c r="CNN395" s="119"/>
      <c r="CNO395" s="104"/>
      <c r="CNP395" s="455"/>
      <c r="CNQ395" s="104"/>
      <c r="CNR395" s="104"/>
      <c r="CNS395" s="109"/>
      <c r="CNT395" s="104"/>
      <c r="CNU395" s="104"/>
      <c r="CNV395" s="119"/>
      <c r="CNW395" s="104"/>
      <c r="CNX395" s="455"/>
      <c r="CNY395" s="104"/>
      <c r="CNZ395" s="104"/>
      <c r="COA395" s="109"/>
      <c r="COB395" s="104"/>
      <c r="COC395" s="104"/>
      <c r="COD395" s="119"/>
      <c r="COE395" s="104"/>
      <c r="COF395" s="455"/>
      <c r="COG395" s="104"/>
      <c r="COH395" s="104"/>
      <c r="COI395" s="109"/>
      <c r="COJ395" s="104"/>
      <c r="COK395" s="104"/>
      <c r="COL395" s="119"/>
      <c r="COM395" s="104"/>
      <c r="CON395" s="455"/>
      <c r="COO395" s="104"/>
      <c r="COP395" s="104"/>
      <c r="COQ395" s="109"/>
      <c r="COR395" s="104"/>
      <c r="COS395" s="104"/>
      <c r="COT395" s="119"/>
      <c r="COU395" s="104"/>
      <c r="COV395" s="455"/>
      <c r="COW395" s="104"/>
      <c r="COX395" s="104"/>
      <c r="COY395" s="109"/>
      <c r="COZ395" s="104"/>
      <c r="CPA395" s="104"/>
      <c r="CPB395" s="119"/>
      <c r="CPC395" s="104"/>
      <c r="CPD395" s="455"/>
      <c r="CPE395" s="104"/>
      <c r="CPF395" s="104"/>
      <c r="CPG395" s="109"/>
      <c r="CPH395" s="104"/>
      <c r="CPI395" s="104"/>
      <c r="CPJ395" s="119"/>
      <c r="CPK395" s="104"/>
      <c r="CPL395" s="455"/>
      <c r="CPM395" s="104"/>
      <c r="CPN395" s="104"/>
      <c r="CPO395" s="109"/>
      <c r="CPP395" s="104"/>
      <c r="CPQ395" s="104"/>
      <c r="CPR395" s="119"/>
      <c r="CPS395" s="104"/>
      <c r="CPT395" s="455"/>
      <c r="CPU395" s="104"/>
      <c r="CPV395" s="104"/>
      <c r="CPW395" s="109"/>
      <c r="CPX395" s="104"/>
      <c r="CPY395" s="104"/>
      <c r="CPZ395" s="119"/>
      <c r="CQA395" s="104"/>
      <c r="CQB395" s="455"/>
      <c r="CQC395" s="104"/>
      <c r="CQD395" s="104"/>
      <c r="CQE395" s="109"/>
      <c r="CQF395" s="104"/>
      <c r="CQG395" s="104"/>
      <c r="CQH395" s="119"/>
      <c r="CQI395" s="104"/>
      <c r="CQJ395" s="455"/>
      <c r="CQK395" s="104"/>
      <c r="CQL395" s="104"/>
      <c r="CQM395" s="109"/>
      <c r="CQN395" s="104"/>
      <c r="CQO395" s="104"/>
      <c r="CQP395" s="119"/>
      <c r="CQQ395" s="104"/>
      <c r="CQR395" s="455"/>
      <c r="CQS395" s="104"/>
      <c r="CQT395" s="104"/>
      <c r="CQU395" s="109"/>
      <c r="CQV395" s="104"/>
      <c r="CQW395" s="104"/>
      <c r="CQX395" s="119"/>
      <c r="CQY395" s="104"/>
      <c r="CQZ395" s="455"/>
      <c r="CRA395" s="104"/>
      <c r="CRB395" s="104"/>
      <c r="CRC395" s="109"/>
      <c r="CRD395" s="104"/>
      <c r="CRE395" s="104"/>
      <c r="CRF395" s="119"/>
      <c r="CRG395" s="104"/>
      <c r="CRH395" s="455"/>
      <c r="CRI395" s="104"/>
      <c r="CRJ395" s="104"/>
      <c r="CRK395" s="109"/>
      <c r="CRL395" s="104"/>
      <c r="CRM395" s="104"/>
      <c r="CRN395" s="119"/>
      <c r="CRO395" s="104"/>
      <c r="CRP395" s="455"/>
      <c r="CRQ395" s="104"/>
      <c r="CRR395" s="104"/>
      <c r="CRS395" s="109"/>
      <c r="CRT395" s="104"/>
      <c r="CRU395" s="104"/>
      <c r="CRV395" s="119"/>
      <c r="CRW395" s="104"/>
      <c r="CRX395" s="455"/>
      <c r="CRY395" s="104"/>
      <c r="CRZ395" s="104"/>
      <c r="CSA395" s="109"/>
      <c r="CSB395" s="104"/>
      <c r="CSC395" s="104"/>
      <c r="CSD395" s="119"/>
      <c r="CSE395" s="104"/>
      <c r="CSF395" s="455"/>
      <c r="CSG395" s="104"/>
      <c r="CSH395" s="104"/>
      <c r="CSI395" s="109"/>
      <c r="CSJ395" s="104"/>
      <c r="CSK395" s="104"/>
      <c r="CSL395" s="119"/>
      <c r="CSM395" s="104"/>
      <c r="CSN395" s="455"/>
      <c r="CSO395" s="104"/>
      <c r="CSP395" s="104"/>
      <c r="CSQ395" s="109"/>
      <c r="CSR395" s="104"/>
      <c r="CSS395" s="104"/>
      <c r="CST395" s="119"/>
      <c r="CSU395" s="104"/>
      <c r="CSV395" s="455"/>
      <c r="CSW395" s="104"/>
      <c r="CSX395" s="104"/>
      <c r="CSY395" s="109"/>
      <c r="CSZ395" s="104"/>
      <c r="CTA395" s="104"/>
      <c r="CTB395" s="119"/>
      <c r="CTC395" s="104"/>
      <c r="CTD395" s="455"/>
      <c r="CTE395" s="104"/>
      <c r="CTF395" s="104"/>
      <c r="CTG395" s="109"/>
      <c r="CTH395" s="104"/>
      <c r="CTI395" s="104"/>
      <c r="CTJ395" s="119"/>
      <c r="CTK395" s="104"/>
      <c r="CTL395" s="455"/>
      <c r="CTM395" s="104"/>
      <c r="CTN395" s="104"/>
      <c r="CTO395" s="109"/>
      <c r="CTP395" s="104"/>
      <c r="CTQ395" s="104"/>
      <c r="CTR395" s="119"/>
      <c r="CTS395" s="104"/>
      <c r="CTT395" s="455"/>
      <c r="CTU395" s="104"/>
      <c r="CTV395" s="104"/>
      <c r="CTW395" s="109"/>
      <c r="CTX395" s="104"/>
      <c r="CTY395" s="104"/>
      <c r="CTZ395" s="119"/>
      <c r="CUA395" s="104"/>
      <c r="CUB395" s="455"/>
      <c r="CUC395" s="104"/>
      <c r="CUD395" s="104"/>
      <c r="CUE395" s="109"/>
      <c r="CUF395" s="104"/>
      <c r="CUG395" s="104"/>
      <c r="CUH395" s="119"/>
      <c r="CUI395" s="104"/>
      <c r="CUJ395" s="455"/>
      <c r="CUK395" s="104"/>
      <c r="CUL395" s="104"/>
      <c r="CUM395" s="109"/>
      <c r="CUN395" s="104"/>
      <c r="CUO395" s="104"/>
      <c r="CUP395" s="119"/>
      <c r="CUQ395" s="104"/>
      <c r="CUR395" s="455"/>
      <c r="CUS395" s="104"/>
      <c r="CUT395" s="104"/>
      <c r="CUU395" s="109"/>
      <c r="CUV395" s="104"/>
      <c r="CUW395" s="104"/>
      <c r="CUX395" s="119"/>
      <c r="CUY395" s="104"/>
      <c r="CUZ395" s="455"/>
      <c r="CVA395" s="104"/>
      <c r="CVB395" s="104"/>
      <c r="CVC395" s="109"/>
      <c r="CVD395" s="104"/>
      <c r="CVE395" s="104"/>
      <c r="CVF395" s="119"/>
      <c r="CVG395" s="104"/>
      <c r="CVH395" s="455"/>
      <c r="CVI395" s="104"/>
      <c r="CVJ395" s="104"/>
      <c r="CVK395" s="109"/>
      <c r="CVL395" s="104"/>
      <c r="CVM395" s="104"/>
      <c r="CVN395" s="119"/>
      <c r="CVO395" s="104"/>
      <c r="CVP395" s="455"/>
      <c r="CVQ395" s="104"/>
      <c r="CVR395" s="104"/>
      <c r="CVS395" s="109"/>
      <c r="CVT395" s="104"/>
      <c r="CVU395" s="104"/>
      <c r="CVV395" s="119"/>
      <c r="CVW395" s="104"/>
      <c r="CVX395" s="455"/>
      <c r="CVY395" s="104"/>
      <c r="CVZ395" s="104"/>
      <c r="CWA395" s="109"/>
      <c r="CWB395" s="104"/>
      <c r="CWC395" s="104"/>
      <c r="CWD395" s="119"/>
      <c r="CWE395" s="104"/>
      <c r="CWF395" s="455"/>
      <c r="CWG395" s="104"/>
      <c r="CWH395" s="104"/>
      <c r="CWI395" s="109"/>
      <c r="CWJ395" s="104"/>
      <c r="CWK395" s="104"/>
      <c r="CWL395" s="119"/>
      <c r="CWM395" s="104"/>
      <c r="CWN395" s="455"/>
      <c r="CWO395" s="104"/>
      <c r="CWP395" s="104"/>
      <c r="CWQ395" s="109"/>
      <c r="CWR395" s="104"/>
      <c r="CWS395" s="104"/>
      <c r="CWT395" s="119"/>
      <c r="CWU395" s="104"/>
      <c r="CWV395" s="455"/>
      <c r="CWW395" s="104"/>
      <c r="CWX395" s="104"/>
      <c r="CWY395" s="109"/>
      <c r="CWZ395" s="104"/>
      <c r="CXA395" s="104"/>
      <c r="CXB395" s="119"/>
      <c r="CXC395" s="104"/>
      <c r="CXD395" s="455"/>
      <c r="CXE395" s="104"/>
      <c r="CXF395" s="104"/>
      <c r="CXG395" s="109"/>
      <c r="CXH395" s="104"/>
      <c r="CXI395" s="104"/>
      <c r="CXJ395" s="119"/>
      <c r="CXK395" s="104"/>
      <c r="CXL395" s="455"/>
      <c r="CXM395" s="104"/>
      <c r="CXN395" s="104"/>
      <c r="CXO395" s="109"/>
      <c r="CXP395" s="104"/>
      <c r="CXQ395" s="104"/>
      <c r="CXR395" s="119"/>
      <c r="CXS395" s="104"/>
      <c r="CXT395" s="455"/>
      <c r="CXU395" s="104"/>
      <c r="CXV395" s="104"/>
      <c r="CXW395" s="109"/>
      <c r="CXX395" s="104"/>
      <c r="CXY395" s="104"/>
      <c r="CXZ395" s="119"/>
      <c r="CYA395" s="104"/>
      <c r="CYB395" s="455"/>
      <c r="CYC395" s="104"/>
      <c r="CYD395" s="104"/>
      <c r="CYE395" s="109"/>
      <c r="CYF395" s="104"/>
      <c r="CYG395" s="104"/>
      <c r="CYH395" s="119"/>
      <c r="CYI395" s="104"/>
      <c r="CYJ395" s="455"/>
      <c r="CYK395" s="104"/>
      <c r="CYL395" s="104"/>
      <c r="CYM395" s="109"/>
      <c r="CYN395" s="104"/>
      <c r="CYO395" s="104"/>
      <c r="CYP395" s="119"/>
      <c r="CYQ395" s="104"/>
      <c r="CYR395" s="455"/>
      <c r="CYS395" s="104"/>
      <c r="CYT395" s="104"/>
      <c r="CYU395" s="109"/>
      <c r="CYV395" s="104"/>
      <c r="CYW395" s="104"/>
      <c r="CYX395" s="119"/>
      <c r="CYY395" s="104"/>
      <c r="CYZ395" s="455"/>
      <c r="CZA395" s="104"/>
      <c r="CZB395" s="104"/>
      <c r="CZC395" s="109"/>
      <c r="CZD395" s="104"/>
      <c r="CZE395" s="104"/>
      <c r="CZF395" s="119"/>
      <c r="CZG395" s="104"/>
      <c r="CZH395" s="455"/>
      <c r="CZI395" s="104"/>
      <c r="CZJ395" s="104"/>
      <c r="CZK395" s="109"/>
      <c r="CZL395" s="104"/>
      <c r="CZM395" s="104"/>
      <c r="CZN395" s="119"/>
      <c r="CZO395" s="104"/>
      <c r="CZP395" s="455"/>
      <c r="CZQ395" s="104"/>
      <c r="CZR395" s="104"/>
      <c r="CZS395" s="109"/>
      <c r="CZT395" s="104"/>
      <c r="CZU395" s="104"/>
      <c r="CZV395" s="119"/>
      <c r="CZW395" s="104"/>
      <c r="CZX395" s="455"/>
      <c r="CZY395" s="104"/>
      <c r="CZZ395" s="104"/>
      <c r="DAA395" s="109"/>
      <c r="DAB395" s="104"/>
      <c r="DAC395" s="104"/>
      <c r="DAD395" s="119"/>
      <c r="DAE395" s="104"/>
      <c r="DAF395" s="455"/>
      <c r="DAG395" s="104"/>
      <c r="DAH395" s="104"/>
      <c r="DAI395" s="109"/>
      <c r="DAJ395" s="104"/>
      <c r="DAK395" s="104"/>
      <c r="DAL395" s="119"/>
      <c r="DAM395" s="104"/>
      <c r="DAN395" s="455"/>
      <c r="DAO395" s="104"/>
      <c r="DAP395" s="104"/>
      <c r="DAQ395" s="109"/>
      <c r="DAR395" s="104"/>
      <c r="DAS395" s="104"/>
      <c r="DAT395" s="119"/>
      <c r="DAU395" s="104"/>
      <c r="DAV395" s="455"/>
      <c r="DAW395" s="104"/>
      <c r="DAX395" s="104"/>
      <c r="DAY395" s="109"/>
      <c r="DAZ395" s="104"/>
      <c r="DBA395" s="104"/>
      <c r="DBB395" s="119"/>
      <c r="DBC395" s="104"/>
      <c r="DBD395" s="455"/>
      <c r="DBE395" s="104"/>
      <c r="DBF395" s="104"/>
      <c r="DBG395" s="109"/>
      <c r="DBH395" s="104"/>
      <c r="DBI395" s="104"/>
      <c r="DBJ395" s="119"/>
      <c r="DBK395" s="104"/>
      <c r="DBL395" s="455"/>
      <c r="DBM395" s="104"/>
      <c r="DBN395" s="104"/>
      <c r="DBO395" s="109"/>
      <c r="DBP395" s="104"/>
      <c r="DBQ395" s="104"/>
      <c r="DBR395" s="119"/>
      <c r="DBS395" s="104"/>
      <c r="DBT395" s="455"/>
      <c r="DBU395" s="104"/>
      <c r="DBV395" s="104"/>
      <c r="DBW395" s="109"/>
      <c r="DBX395" s="104"/>
      <c r="DBY395" s="104"/>
      <c r="DBZ395" s="119"/>
      <c r="DCA395" s="104"/>
      <c r="DCB395" s="455"/>
      <c r="DCC395" s="104"/>
      <c r="DCD395" s="104"/>
      <c r="DCE395" s="109"/>
      <c r="DCF395" s="104"/>
      <c r="DCG395" s="104"/>
      <c r="DCH395" s="119"/>
      <c r="DCI395" s="104"/>
      <c r="DCJ395" s="455"/>
      <c r="DCK395" s="104"/>
      <c r="DCL395" s="104"/>
      <c r="DCM395" s="109"/>
      <c r="DCN395" s="104"/>
      <c r="DCO395" s="104"/>
      <c r="DCP395" s="119"/>
      <c r="DCQ395" s="104"/>
      <c r="DCR395" s="455"/>
      <c r="DCS395" s="104"/>
      <c r="DCT395" s="104"/>
      <c r="DCU395" s="109"/>
      <c r="DCV395" s="104"/>
      <c r="DCW395" s="104"/>
      <c r="DCX395" s="119"/>
      <c r="DCY395" s="104"/>
      <c r="DCZ395" s="455"/>
      <c r="DDA395" s="104"/>
      <c r="DDB395" s="104"/>
      <c r="DDC395" s="109"/>
      <c r="DDD395" s="104"/>
      <c r="DDE395" s="104"/>
      <c r="DDF395" s="119"/>
      <c r="DDG395" s="104"/>
      <c r="DDH395" s="455"/>
      <c r="DDI395" s="104"/>
      <c r="DDJ395" s="104"/>
      <c r="DDK395" s="109"/>
      <c r="DDL395" s="104"/>
      <c r="DDM395" s="104"/>
      <c r="DDN395" s="119"/>
      <c r="DDO395" s="104"/>
      <c r="DDP395" s="455"/>
      <c r="DDQ395" s="104"/>
      <c r="DDR395" s="104"/>
      <c r="DDS395" s="109"/>
      <c r="DDT395" s="104"/>
      <c r="DDU395" s="104"/>
      <c r="DDV395" s="119"/>
      <c r="DDW395" s="104"/>
      <c r="DDX395" s="455"/>
      <c r="DDY395" s="104"/>
      <c r="DDZ395" s="104"/>
      <c r="DEA395" s="109"/>
      <c r="DEB395" s="104"/>
      <c r="DEC395" s="104"/>
      <c r="DED395" s="119"/>
      <c r="DEE395" s="104"/>
      <c r="DEF395" s="455"/>
      <c r="DEG395" s="104"/>
      <c r="DEH395" s="104"/>
      <c r="DEI395" s="109"/>
      <c r="DEJ395" s="104"/>
      <c r="DEK395" s="104"/>
      <c r="DEL395" s="119"/>
      <c r="DEM395" s="104"/>
      <c r="DEN395" s="455"/>
      <c r="DEO395" s="104"/>
      <c r="DEP395" s="104"/>
      <c r="DEQ395" s="109"/>
      <c r="DER395" s="104"/>
      <c r="DES395" s="104"/>
      <c r="DET395" s="119"/>
      <c r="DEU395" s="104"/>
      <c r="DEV395" s="455"/>
      <c r="DEW395" s="104"/>
      <c r="DEX395" s="104"/>
      <c r="DEY395" s="109"/>
      <c r="DEZ395" s="104"/>
      <c r="DFA395" s="104"/>
      <c r="DFB395" s="119"/>
      <c r="DFC395" s="104"/>
      <c r="DFD395" s="455"/>
      <c r="DFE395" s="104"/>
      <c r="DFF395" s="104"/>
      <c r="DFG395" s="109"/>
      <c r="DFH395" s="104"/>
      <c r="DFI395" s="104"/>
      <c r="DFJ395" s="119"/>
      <c r="DFK395" s="104"/>
      <c r="DFL395" s="455"/>
      <c r="DFM395" s="104"/>
      <c r="DFN395" s="104"/>
      <c r="DFO395" s="109"/>
      <c r="DFP395" s="104"/>
      <c r="DFQ395" s="104"/>
      <c r="DFR395" s="119"/>
      <c r="DFS395" s="104"/>
      <c r="DFT395" s="455"/>
      <c r="DFU395" s="104"/>
      <c r="DFV395" s="104"/>
      <c r="DFW395" s="109"/>
      <c r="DFX395" s="104"/>
      <c r="DFY395" s="104"/>
      <c r="DFZ395" s="119"/>
      <c r="DGA395" s="104"/>
      <c r="DGB395" s="455"/>
      <c r="DGC395" s="104"/>
      <c r="DGD395" s="104"/>
      <c r="DGE395" s="109"/>
      <c r="DGF395" s="104"/>
      <c r="DGG395" s="104"/>
      <c r="DGH395" s="119"/>
      <c r="DGI395" s="104"/>
      <c r="DGJ395" s="455"/>
      <c r="DGK395" s="104"/>
      <c r="DGL395" s="104"/>
      <c r="DGM395" s="109"/>
      <c r="DGN395" s="104"/>
      <c r="DGO395" s="104"/>
      <c r="DGP395" s="119"/>
      <c r="DGQ395" s="104"/>
      <c r="DGR395" s="455"/>
      <c r="DGS395" s="104"/>
      <c r="DGT395" s="104"/>
      <c r="DGU395" s="109"/>
      <c r="DGV395" s="104"/>
      <c r="DGW395" s="104"/>
      <c r="DGX395" s="119"/>
      <c r="DGY395" s="104"/>
      <c r="DGZ395" s="455"/>
      <c r="DHA395" s="104"/>
      <c r="DHB395" s="104"/>
      <c r="DHC395" s="109"/>
      <c r="DHD395" s="104"/>
      <c r="DHE395" s="104"/>
      <c r="DHF395" s="119"/>
      <c r="DHG395" s="104"/>
      <c r="DHH395" s="455"/>
      <c r="DHI395" s="104"/>
      <c r="DHJ395" s="104"/>
      <c r="DHK395" s="109"/>
      <c r="DHL395" s="104"/>
      <c r="DHM395" s="104"/>
      <c r="DHN395" s="119"/>
      <c r="DHO395" s="104"/>
      <c r="DHP395" s="455"/>
      <c r="DHQ395" s="104"/>
      <c r="DHR395" s="104"/>
      <c r="DHS395" s="109"/>
      <c r="DHT395" s="104"/>
      <c r="DHU395" s="104"/>
      <c r="DHV395" s="119"/>
      <c r="DHW395" s="104"/>
      <c r="DHX395" s="455"/>
      <c r="DHY395" s="104"/>
      <c r="DHZ395" s="104"/>
      <c r="DIA395" s="109"/>
      <c r="DIB395" s="104"/>
      <c r="DIC395" s="104"/>
      <c r="DID395" s="119"/>
      <c r="DIE395" s="104"/>
      <c r="DIF395" s="455"/>
      <c r="DIG395" s="104"/>
      <c r="DIH395" s="104"/>
      <c r="DII395" s="109"/>
      <c r="DIJ395" s="104"/>
      <c r="DIK395" s="104"/>
      <c r="DIL395" s="119"/>
      <c r="DIM395" s="104"/>
      <c r="DIN395" s="455"/>
      <c r="DIO395" s="104"/>
      <c r="DIP395" s="104"/>
      <c r="DIQ395" s="109"/>
      <c r="DIR395" s="104"/>
      <c r="DIS395" s="104"/>
      <c r="DIT395" s="119"/>
      <c r="DIU395" s="104"/>
      <c r="DIV395" s="455"/>
      <c r="DIW395" s="104"/>
      <c r="DIX395" s="104"/>
      <c r="DIY395" s="109"/>
      <c r="DIZ395" s="104"/>
      <c r="DJA395" s="104"/>
      <c r="DJB395" s="119"/>
      <c r="DJC395" s="104"/>
      <c r="DJD395" s="455"/>
      <c r="DJE395" s="104"/>
      <c r="DJF395" s="104"/>
      <c r="DJG395" s="109"/>
      <c r="DJH395" s="104"/>
      <c r="DJI395" s="104"/>
      <c r="DJJ395" s="119"/>
      <c r="DJK395" s="104"/>
      <c r="DJL395" s="455"/>
      <c r="DJM395" s="104"/>
      <c r="DJN395" s="104"/>
      <c r="DJO395" s="109"/>
      <c r="DJP395" s="104"/>
      <c r="DJQ395" s="104"/>
      <c r="DJR395" s="119"/>
      <c r="DJS395" s="104"/>
      <c r="DJT395" s="455"/>
      <c r="DJU395" s="104"/>
      <c r="DJV395" s="104"/>
      <c r="DJW395" s="109"/>
      <c r="DJX395" s="104"/>
      <c r="DJY395" s="104"/>
      <c r="DJZ395" s="119"/>
      <c r="DKA395" s="104"/>
      <c r="DKB395" s="455"/>
      <c r="DKC395" s="104"/>
      <c r="DKD395" s="104"/>
      <c r="DKE395" s="109"/>
      <c r="DKF395" s="104"/>
      <c r="DKG395" s="104"/>
      <c r="DKH395" s="119"/>
      <c r="DKI395" s="104"/>
      <c r="DKJ395" s="455"/>
      <c r="DKK395" s="104"/>
      <c r="DKL395" s="104"/>
      <c r="DKM395" s="109"/>
      <c r="DKN395" s="104"/>
      <c r="DKO395" s="104"/>
      <c r="DKP395" s="119"/>
      <c r="DKQ395" s="104"/>
      <c r="DKR395" s="455"/>
      <c r="DKS395" s="104"/>
      <c r="DKT395" s="104"/>
      <c r="DKU395" s="109"/>
      <c r="DKV395" s="104"/>
      <c r="DKW395" s="104"/>
      <c r="DKX395" s="119"/>
      <c r="DKY395" s="104"/>
      <c r="DKZ395" s="455"/>
      <c r="DLA395" s="104"/>
      <c r="DLB395" s="104"/>
      <c r="DLC395" s="109"/>
      <c r="DLD395" s="104"/>
      <c r="DLE395" s="104"/>
      <c r="DLF395" s="119"/>
      <c r="DLG395" s="104"/>
      <c r="DLH395" s="455"/>
      <c r="DLI395" s="104"/>
      <c r="DLJ395" s="104"/>
      <c r="DLK395" s="109"/>
      <c r="DLL395" s="104"/>
      <c r="DLM395" s="104"/>
      <c r="DLN395" s="119"/>
      <c r="DLO395" s="104"/>
      <c r="DLP395" s="455"/>
      <c r="DLQ395" s="104"/>
      <c r="DLR395" s="104"/>
      <c r="DLS395" s="109"/>
      <c r="DLT395" s="104"/>
      <c r="DLU395" s="104"/>
      <c r="DLV395" s="119"/>
      <c r="DLW395" s="104"/>
      <c r="DLX395" s="455"/>
      <c r="DLY395" s="104"/>
      <c r="DLZ395" s="104"/>
      <c r="DMA395" s="109"/>
      <c r="DMB395" s="104"/>
      <c r="DMC395" s="104"/>
      <c r="DMD395" s="119"/>
      <c r="DME395" s="104"/>
      <c r="DMF395" s="455"/>
      <c r="DMG395" s="104"/>
      <c r="DMH395" s="104"/>
      <c r="DMI395" s="109"/>
      <c r="DMJ395" s="104"/>
      <c r="DMK395" s="104"/>
      <c r="DML395" s="119"/>
      <c r="DMM395" s="104"/>
      <c r="DMN395" s="455"/>
      <c r="DMO395" s="104"/>
      <c r="DMP395" s="104"/>
      <c r="DMQ395" s="109"/>
      <c r="DMR395" s="104"/>
      <c r="DMS395" s="104"/>
      <c r="DMT395" s="119"/>
      <c r="DMU395" s="104"/>
      <c r="DMV395" s="455"/>
      <c r="DMW395" s="104"/>
      <c r="DMX395" s="104"/>
      <c r="DMY395" s="109"/>
      <c r="DMZ395" s="104"/>
      <c r="DNA395" s="104"/>
      <c r="DNB395" s="119"/>
      <c r="DNC395" s="104"/>
      <c r="DND395" s="455"/>
      <c r="DNE395" s="104"/>
      <c r="DNF395" s="104"/>
      <c r="DNG395" s="109"/>
      <c r="DNH395" s="104"/>
      <c r="DNI395" s="104"/>
      <c r="DNJ395" s="119"/>
      <c r="DNK395" s="104"/>
      <c r="DNL395" s="455"/>
      <c r="DNM395" s="104"/>
      <c r="DNN395" s="104"/>
      <c r="DNO395" s="109"/>
      <c r="DNP395" s="104"/>
      <c r="DNQ395" s="104"/>
      <c r="DNR395" s="119"/>
      <c r="DNS395" s="104"/>
      <c r="DNT395" s="455"/>
      <c r="DNU395" s="104"/>
      <c r="DNV395" s="104"/>
      <c r="DNW395" s="109"/>
      <c r="DNX395" s="104"/>
      <c r="DNY395" s="104"/>
      <c r="DNZ395" s="119"/>
      <c r="DOA395" s="104"/>
      <c r="DOB395" s="455"/>
      <c r="DOC395" s="104"/>
      <c r="DOD395" s="104"/>
      <c r="DOE395" s="109"/>
      <c r="DOF395" s="104"/>
      <c r="DOG395" s="104"/>
      <c r="DOH395" s="119"/>
      <c r="DOI395" s="104"/>
      <c r="DOJ395" s="455"/>
      <c r="DOK395" s="104"/>
      <c r="DOL395" s="104"/>
      <c r="DOM395" s="109"/>
      <c r="DON395" s="104"/>
      <c r="DOO395" s="104"/>
      <c r="DOP395" s="119"/>
      <c r="DOQ395" s="104"/>
      <c r="DOR395" s="455"/>
      <c r="DOS395" s="104"/>
      <c r="DOT395" s="104"/>
      <c r="DOU395" s="109"/>
      <c r="DOV395" s="104"/>
      <c r="DOW395" s="104"/>
      <c r="DOX395" s="119"/>
      <c r="DOY395" s="104"/>
      <c r="DOZ395" s="455"/>
      <c r="DPA395" s="104"/>
      <c r="DPB395" s="104"/>
      <c r="DPC395" s="109"/>
      <c r="DPD395" s="104"/>
      <c r="DPE395" s="104"/>
      <c r="DPF395" s="119"/>
      <c r="DPG395" s="104"/>
      <c r="DPH395" s="455"/>
      <c r="DPI395" s="104"/>
      <c r="DPJ395" s="104"/>
      <c r="DPK395" s="109"/>
      <c r="DPL395" s="104"/>
      <c r="DPM395" s="104"/>
      <c r="DPN395" s="119"/>
      <c r="DPO395" s="104"/>
      <c r="DPP395" s="455"/>
      <c r="DPQ395" s="104"/>
      <c r="DPR395" s="104"/>
      <c r="DPS395" s="109"/>
      <c r="DPT395" s="104"/>
      <c r="DPU395" s="104"/>
      <c r="DPV395" s="119"/>
      <c r="DPW395" s="104"/>
      <c r="DPX395" s="455"/>
      <c r="DPY395" s="104"/>
      <c r="DPZ395" s="104"/>
      <c r="DQA395" s="109"/>
      <c r="DQB395" s="104"/>
      <c r="DQC395" s="104"/>
      <c r="DQD395" s="119"/>
      <c r="DQE395" s="104"/>
      <c r="DQF395" s="455"/>
      <c r="DQG395" s="104"/>
      <c r="DQH395" s="104"/>
      <c r="DQI395" s="109"/>
      <c r="DQJ395" s="104"/>
      <c r="DQK395" s="104"/>
      <c r="DQL395" s="119"/>
      <c r="DQM395" s="104"/>
      <c r="DQN395" s="455"/>
      <c r="DQO395" s="104"/>
      <c r="DQP395" s="104"/>
      <c r="DQQ395" s="109"/>
      <c r="DQR395" s="104"/>
      <c r="DQS395" s="104"/>
      <c r="DQT395" s="119"/>
      <c r="DQU395" s="104"/>
      <c r="DQV395" s="455"/>
      <c r="DQW395" s="104"/>
      <c r="DQX395" s="104"/>
      <c r="DQY395" s="109"/>
      <c r="DQZ395" s="104"/>
      <c r="DRA395" s="104"/>
      <c r="DRB395" s="119"/>
      <c r="DRC395" s="104"/>
      <c r="DRD395" s="455"/>
      <c r="DRE395" s="104"/>
      <c r="DRF395" s="104"/>
      <c r="DRG395" s="109"/>
      <c r="DRH395" s="104"/>
      <c r="DRI395" s="104"/>
      <c r="DRJ395" s="119"/>
      <c r="DRK395" s="104"/>
      <c r="DRL395" s="455"/>
      <c r="DRM395" s="104"/>
      <c r="DRN395" s="104"/>
      <c r="DRO395" s="109"/>
      <c r="DRP395" s="104"/>
      <c r="DRQ395" s="104"/>
      <c r="DRR395" s="119"/>
      <c r="DRS395" s="104"/>
      <c r="DRT395" s="455"/>
      <c r="DRU395" s="104"/>
      <c r="DRV395" s="104"/>
      <c r="DRW395" s="109"/>
      <c r="DRX395" s="104"/>
      <c r="DRY395" s="104"/>
      <c r="DRZ395" s="119"/>
      <c r="DSA395" s="104"/>
      <c r="DSB395" s="455"/>
      <c r="DSC395" s="104"/>
      <c r="DSD395" s="104"/>
      <c r="DSE395" s="109"/>
      <c r="DSF395" s="104"/>
      <c r="DSG395" s="104"/>
      <c r="DSH395" s="119"/>
      <c r="DSI395" s="104"/>
      <c r="DSJ395" s="455"/>
      <c r="DSK395" s="104"/>
      <c r="DSL395" s="104"/>
      <c r="DSM395" s="109"/>
      <c r="DSN395" s="104"/>
      <c r="DSO395" s="104"/>
      <c r="DSP395" s="119"/>
      <c r="DSQ395" s="104"/>
      <c r="DSR395" s="455"/>
      <c r="DSS395" s="104"/>
      <c r="DST395" s="104"/>
      <c r="DSU395" s="109"/>
      <c r="DSV395" s="104"/>
      <c r="DSW395" s="104"/>
      <c r="DSX395" s="119"/>
      <c r="DSY395" s="104"/>
      <c r="DSZ395" s="455"/>
      <c r="DTA395" s="104"/>
      <c r="DTB395" s="104"/>
      <c r="DTC395" s="109"/>
      <c r="DTD395" s="104"/>
      <c r="DTE395" s="104"/>
      <c r="DTF395" s="119"/>
      <c r="DTG395" s="104"/>
      <c r="DTH395" s="455"/>
      <c r="DTI395" s="104"/>
      <c r="DTJ395" s="104"/>
      <c r="DTK395" s="109"/>
      <c r="DTL395" s="104"/>
      <c r="DTM395" s="104"/>
      <c r="DTN395" s="119"/>
      <c r="DTO395" s="104"/>
      <c r="DTP395" s="455"/>
      <c r="DTQ395" s="104"/>
      <c r="DTR395" s="104"/>
      <c r="DTS395" s="109"/>
      <c r="DTT395" s="104"/>
      <c r="DTU395" s="104"/>
      <c r="DTV395" s="119"/>
      <c r="DTW395" s="104"/>
      <c r="DTX395" s="455"/>
      <c r="DTY395" s="104"/>
      <c r="DTZ395" s="104"/>
      <c r="DUA395" s="109"/>
      <c r="DUB395" s="104"/>
      <c r="DUC395" s="104"/>
      <c r="DUD395" s="119"/>
      <c r="DUE395" s="104"/>
      <c r="DUF395" s="455"/>
      <c r="DUG395" s="104"/>
      <c r="DUH395" s="104"/>
      <c r="DUI395" s="109"/>
      <c r="DUJ395" s="104"/>
      <c r="DUK395" s="104"/>
      <c r="DUL395" s="119"/>
      <c r="DUM395" s="104"/>
      <c r="DUN395" s="455"/>
      <c r="DUO395" s="104"/>
      <c r="DUP395" s="104"/>
      <c r="DUQ395" s="109"/>
      <c r="DUR395" s="104"/>
      <c r="DUS395" s="104"/>
      <c r="DUT395" s="119"/>
      <c r="DUU395" s="104"/>
      <c r="DUV395" s="455"/>
      <c r="DUW395" s="104"/>
      <c r="DUX395" s="104"/>
      <c r="DUY395" s="109"/>
      <c r="DUZ395" s="104"/>
      <c r="DVA395" s="104"/>
      <c r="DVB395" s="119"/>
      <c r="DVC395" s="104"/>
      <c r="DVD395" s="455"/>
      <c r="DVE395" s="104"/>
      <c r="DVF395" s="104"/>
      <c r="DVG395" s="109"/>
      <c r="DVH395" s="104"/>
      <c r="DVI395" s="104"/>
      <c r="DVJ395" s="119"/>
      <c r="DVK395" s="104"/>
      <c r="DVL395" s="455"/>
      <c r="DVM395" s="104"/>
      <c r="DVN395" s="104"/>
      <c r="DVO395" s="109"/>
      <c r="DVP395" s="104"/>
      <c r="DVQ395" s="104"/>
      <c r="DVR395" s="119"/>
      <c r="DVS395" s="104"/>
      <c r="DVT395" s="455"/>
      <c r="DVU395" s="104"/>
      <c r="DVV395" s="104"/>
      <c r="DVW395" s="109"/>
      <c r="DVX395" s="104"/>
      <c r="DVY395" s="104"/>
      <c r="DVZ395" s="119"/>
      <c r="DWA395" s="104"/>
      <c r="DWB395" s="455"/>
      <c r="DWC395" s="104"/>
      <c r="DWD395" s="104"/>
      <c r="DWE395" s="109"/>
      <c r="DWF395" s="104"/>
      <c r="DWG395" s="104"/>
      <c r="DWH395" s="119"/>
      <c r="DWI395" s="104"/>
      <c r="DWJ395" s="455"/>
      <c r="DWK395" s="104"/>
      <c r="DWL395" s="104"/>
      <c r="DWM395" s="109"/>
      <c r="DWN395" s="104"/>
      <c r="DWO395" s="104"/>
      <c r="DWP395" s="119"/>
      <c r="DWQ395" s="104"/>
      <c r="DWR395" s="455"/>
      <c r="DWS395" s="104"/>
      <c r="DWT395" s="104"/>
      <c r="DWU395" s="109"/>
      <c r="DWV395" s="104"/>
      <c r="DWW395" s="104"/>
      <c r="DWX395" s="119"/>
      <c r="DWY395" s="104"/>
      <c r="DWZ395" s="455"/>
      <c r="DXA395" s="104"/>
      <c r="DXB395" s="104"/>
      <c r="DXC395" s="109"/>
      <c r="DXD395" s="104"/>
      <c r="DXE395" s="104"/>
      <c r="DXF395" s="119"/>
      <c r="DXG395" s="104"/>
      <c r="DXH395" s="455"/>
      <c r="DXI395" s="104"/>
      <c r="DXJ395" s="104"/>
      <c r="DXK395" s="109"/>
      <c r="DXL395" s="104"/>
      <c r="DXM395" s="104"/>
      <c r="DXN395" s="119"/>
      <c r="DXO395" s="104"/>
      <c r="DXP395" s="455"/>
      <c r="DXQ395" s="104"/>
      <c r="DXR395" s="104"/>
      <c r="DXS395" s="109"/>
      <c r="DXT395" s="104"/>
      <c r="DXU395" s="104"/>
      <c r="DXV395" s="119"/>
      <c r="DXW395" s="104"/>
      <c r="DXX395" s="455"/>
      <c r="DXY395" s="104"/>
      <c r="DXZ395" s="104"/>
      <c r="DYA395" s="109"/>
      <c r="DYB395" s="104"/>
      <c r="DYC395" s="104"/>
      <c r="DYD395" s="119"/>
      <c r="DYE395" s="104"/>
      <c r="DYF395" s="455"/>
      <c r="DYG395" s="104"/>
      <c r="DYH395" s="104"/>
      <c r="DYI395" s="109"/>
      <c r="DYJ395" s="104"/>
      <c r="DYK395" s="104"/>
      <c r="DYL395" s="119"/>
      <c r="DYM395" s="104"/>
      <c r="DYN395" s="455"/>
      <c r="DYO395" s="104"/>
      <c r="DYP395" s="104"/>
      <c r="DYQ395" s="109"/>
      <c r="DYR395" s="104"/>
      <c r="DYS395" s="104"/>
      <c r="DYT395" s="119"/>
      <c r="DYU395" s="104"/>
      <c r="DYV395" s="455"/>
      <c r="DYW395" s="104"/>
      <c r="DYX395" s="104"/>
      <c r="DYY395" s="109"/>
      <c r="DYZ395" s="104"/>
      <c r="DZA395" s="104"/>
      <c r="DZB395" s="119"/>
      <c r="DZC395" s="104"/>
      <c r="DZD395" s="455"/>
      <c r="DZE395" s="104"/>
      <c r="DZF395" s="104"/>
      <c r="DZG395" s="109"/>
      <c r="DZH395" s="104"/>
      <c r="DZI395" s="104"/>
      <c r="DZJ395" s="119"/>
      <c r="DZK395" s="104"/>
      <c r="DZL395" s="455"/>
      <c r="DZM395" s="104"/>
      <c r="DZN395" s="104"/>
      <c r="DZO395" s="109"/>
      <c r="DZP395" s="104"/>
      <c r="DZQ395" s="104"/>
      <c r="DZR395" s="119"/>
      <c r="DZS395" s="104"/>
      <c r="DZT395" s="455"/>
      <c r="DZU395" s="104"/>
      <c r="DZV395" s="104"/>
      <c r="DZW395" s="109"/>
      <c r="DZX395" s="104"/>
      <c r="DZY395" s="104"/>
      <c r="DZZ395" s="119"/>
      <c r="EAA395" s="104"/>
      <c r="EAB395" s="455"/>
      <c r="EAC395" s="104"/>
      <c r="EAD395" s="104"/>
      <c r="EAE395" s="109"/>
      <c r="EAF395" s="104"/>
      <c r="EAG395" s="104"/>
      <c r="EAH395" s="119"/>
      <c r="EAI395" s="104"/>
      <c r="EAJ395" s="455"/>
      <c r="EAK395" s="104"/>
      <c r="EAL395" s="104"/>
      <c r="EAM395" s="109"/>
      <c r="EAN395" s="104"/>
      <c r="EAO395" s="104"/>
      <c r="EAP395" s="119"/>
      <c r="EAQ395" s="104"/>
      <c r="EAR395" s="455"/>
      <c r="EAS395" s="104"/>
      <c r="EAT395" s="104"/>
      <c r="EAU395" s="109"/>
      <c r="EAV395" s="104"/>
      <c r="EAW395" s="104"/>
      <c r="EAX395" s="119"/>
      <c r="EAY395" s="104"/>
      <c r="EAZ395" s="455"/>
      <c r="EBA395" s="104"/>
      <c r="EBB395" s="104"/>
      <c r="EBC395" s="109"/>
      <c r="EBD395" s="104"/>
      <c r="EBE395" s="104"/>
      <c r="EBF395" s="119"/>
      <c r="EBG395" s="104"/>
      <c r="EBH395" s="455"/>
      <c r="EBI395" s="104"/>
      <c r="EBJ395" s="104"/>
      <c r="EBK395" s="109"/>
      <c r="EBL395" s="104"/>
      <c r="EBM395" s="104"/>
      <c r="EBN395" s="119"/>
      <c r="EBO395" s="104"/>
      <c r="EBP395" s="455"/>
      <c r="EBQ395" s="104"/>
      <c r="EBR395" s="104"/>
      <c r="EBS395" s="109"/>
      <c r="EBT395" s="104"/>
      <c r="EBU395" s="104"/>
      <c r="EBV395" s="119"/>
      <c r="EBW395" s="104"/>
      <c r="EBX395" s="455"/>
      <c r="EBY395" s="104"/>
      <c r="EBZ395" s="104"/>
      <c r="ECA395" s="109"/>
      <c r="ECB395" s="104"/>
      <c r="ECC395" s="104"/>
      <c r="ECD395" s="119"/>
      <c r="ECE395" s="104"/>
      <c r="ECF395" s="455"/>
      <c r="ECG395" s="104"/>
      <c r="ECH395" s="104"/>
      <c r="ECI395" s="109"/>
      <c r="ECJ395" s="104"/>
      <c r="ECK395" s="104"/>
      <c r="ECL395" s="119"/>
      <c r="ECM395" s="104"/>
      <c r="ECN395" s="455"/>
      <c r="ECO395" s="104"/>
      <c r="ECP395" s="104"/>
      <c r="ECQ395" s="109"/>
      <c r="ECR395" s="104"/>
      <c r="ECS395" s="104"/>
      <c r="ECT395" s="119"/>
      <c r="ECU395" s="104"/>
      <c r="ECV395" s="455"/>
      <c r="ECW395" s="104"/>
      <c r="ECX395" s="104"/>
      <c r="ECY395" s="109"/>
      <c r="ECZ395" s="104"/>
      <c r="EDA395" s="104"/>
      <c r="EDB395" s="119"/>
      <c r="EDC395" s="104"/>
      <c r="EDD395" s="455"/>
      <c r="EDE395" s="104"/>
      <c r="EDF395" s="104"/>
      <c r="EDG395" s="109"/>
      <c r="EDH395" s="104"/>
      <c r="EDI395" s="104"/>
      <c r="EDJ395" s="119"/>
      <c r="EDK395" s="104"/>
      <c r="EDL395" s="455"/>
      <c r="EDM395" s="104"/>
      <c r="EDN395" s="104"/>
      <c r="EDO395" s="109"/>
      <c r="EDP395" s="104"/>
      <c r="EDQ395" s="104"/>
      <c r="EDR395" s="119"/>
      <c r="EDS395" s="104"/>
      <c r="EDT395" s="455"/>
      <c r="EDU395" s="104"/>
      <c r="EDV395" s="104"/>
      <c r="EDW395" s="109"/>
      <c r="EDX395" s="104"/>
      <c r="EDY395" s="104"/>
      <c r="EDZ395" s="119"/>
      <c r="EEA395" s="104"/>
      <c r="EEB395" s="455"/>
      <c r="EEC395" s="104"/>
      <c r="EED395" s="104"/>
      <c r="EEE395" s="109"/>
      <c r="EEF395" s="104"/>
      <c r="EEG395" s="104"/>
      <c r="EEH395" s="119"/>
      <c r="EEI395" s="104"/>
      <c r="EEJ395" s="455"/>
      <c r="EEK395" s="104"/>
      <c r="EEL395" s="104"/>
      <c r="EEM395" s="109"/>
      <c r="EEN395" s="104"/>
      <c r="EEO395" s="104"/>
      <c r="EEP395" s="119"/>
      <c r="EEQ395" s="104"/>
      <c r="EER395" s="455"/>
      <c r="EES395" s="104"/>
      <c r="EET395" s="104"/>
      <c r="EEU395" s="109"/>
      <c r="EEV395" s="104"/>
      <c r="EEW395" s="104"/>
      <c r="EEX395" s="119"/>
      <c r="EEY395" s="104"/>
      <c r="EEZ395" s="455"/>
      <c r="EFA395" s="104"/>
      <c r="EFB395" s="104"/>
      <c r="EFC395" s="109"/>
      <c r="EFD395" s="104"/>
      <c r="EFE395" s="104"/>
      <c r="EFF395" s="119"/>
      <c r="EFG395" s="104"/>
      <c r="EFH395" s="455"/>
      <c r="EFI395" s="104"/>
      <c r="EFJ395" s="104"/>
      <c r="EFK395" s="109"/>
      <c r="EFL395" s="104"/>
      <c r="EFM395" s="104"/>
      <c r="EFN395" s="119"/>
      <c r="EFO395" s="104"/>
      <c r="EFP395" s="455"/>
      <c r="EFQ395" s="104"/>
      <c r="EFR395" s="104"/>
      <c r="EFS395" s="109"/>
      <c r="EFT395" s="104"/>
      <c r="EFU395" s="104"/>
      <c r="EFV395" s="119"/>
      <c r="EFW395" s="104"/>
      <c r="EFX395" s="455"/>
      <c r="EFY395" s="104"/>
      <c r="EFZ395" s="104"/>
      <c r="EGA395" s="109"/>
      <c r="EGB395" s="104"/>
      <c r="EGC395" s="104"/>
      <c r="EGD395" s="119"/>
      <c r="EGE395" s="104"/>
      <c r="EGF395" s="455"/>
      <c r="EGG395" s="104"/>
      <c r="EGH395" s="104"/>
      <c r="EGI395" s="109"/>
      <c r="EGJ395" s="104"/>
      <c r="EGK395" s="104"/>
      <c r="EGL395" s="119"/>
      <c r="EGM395" s="104"/>
      <c r="EGN395" s="455"/>
      <c r="EGO395" s="104"/>
      <c r="EGP395" s="104"/>
      <c r="EGQ395" s="109"/>
      <c r="EGR395" s="104"/>
      <c r="EGS395" s="104"/>
      <c r="EGT395" s="119"/>
      <c r="EGU395" s="104"/>
      <c r="EGV395" s="455"/>
      <c r="EGW395" s="104"/>
      <c r="EGX395" s="104"/>
      <c r="EGY395" s="109"/>
      <c r="EGZ395" s="104"/>
      <c r="EHA395" s="104"/>
      <c r="EHB395" s="119"/>
      <c r="EHC395" s="104"/>
      <c r="EHD395" s="455"/>
      <c r="EHE395" s="104"/>
      <c r="EHF395" s="104"/>
      <c r="EHG395" s="109"/>
      <c r="EHH395" s="104"/>
      <c r="EHI395" s="104"/>
      <c r="EHJ395" s="119"/>
      <c r="EHK395" s="104"/>
      <c r="EHL395" s="455"/>
      <c r="EHM395" s="104"/>
      <c r="EHN395" s="104"/>
      <c r="EHO395" s="109"/>
      <c r="EHP395" s="104"/>
      <c r="EHQ395" s="104"/>
      <c r="EHR395" s="119"/>
      <c r="EHS395" s="104"/>
      <c r="EHT395" s="455"/>
      <c r="EHU395" s="104"/>
      <c r="EHV395" s="104"/>
      <c r="EHW395" s="109"/>
      <c r="EHX395" s="104"/>
      <c r="EHY395" s="104"/>
      <c r="EHZ395" s="119"/>
      <c r="EIA395" s="104"/>
      <c r="EIB395" s="455"/>
      <c r="EIC395" s="104"/>
      <c r="EID395" s="104"/>
      <c r="EIE395" s="109"/>
      <c r="EIF395" s="104"/>
      <c r="EIG395" s="104"/>
      <c r="EIH395" s="119"/>
      <c r="EII395" s="104"/>
      <c r="EIJ395" s="455"/>
      <c r="EIK395" s="104"/>
      <c r="EIL395" s="104"/>
      <c r="EIM395" s="109"/>
      <c r="EIN395" s="104"/>
      <c r="EIO395" s="104"/>
      <c r="EIP395" s="119"/>
      <c r="EIQ395" s="104"/>
      <c r="EIR395" s="455"/>
      <c r="EIS395" s="104"/>
      <c r="EIT395" s="104"/>
      <c r="EIU395" s="109"/>
      <c r="EIV395" s="104"/>
      <c r="EIW395" s="104"/>
      <c r="EIX395" s="119"/>
      <c r="EIY395" s="104"/>
      <c r="EIZ395" s="455"/>
      <c r="EJA395" s="104"/>
      <c r="EJB395" s="104"/>
      <c r="EJC395" s="109"/>
      <c r="EJD395" s="104"/>
      <c r="EJE395" s="104"/>
      <c r="EJF395" s="119"/>
      <c r="EJG395" s="104"/>
      <c r="EJH395" s="455"/>
      <c r="EJI395" s="104"/>
      <c r="EJJ395" s="104"/>
      <c r="EJK395" s="109"/>
      <c r="EJL395" s="104"/>
      <c r="EJM395" s="104"/>
      <c r="EJN395" s="119"/>
      <c r="EJO395" s="104"/>
      <c r="EJP395" s="455"/>
      <c r="EJQ395" s="104"/>
      <c r="EJR395" s="104"/>
      <c r="EJS395" s="109"/>
      <c r="EJT395" s="104"/>
      <c r="EJU395" s="104"/>
      <c r="EJV395" s="119"/>
      <c r="EJW395" s="104"/>
      <c r="EJX395" s="455"/>
      <c r="EJY395" s="104"/>
      <c r="EJZ395" s="104"/>
      <c r="EKA395" s="109"/>
      <c r="EKB395" s="104"/>
      <c r="EKC395" s="104"/>
      <c r="EKD395" s="119"/>
      <c r="EKE395" s="104"/>
      <c r="EKF395" s="455"/>
      <c r="EKG395" s="104"/>
      <c r="EKH395" s="104"/>
      <c r="EKI395" s="109"/>
      <c r="EKJ395" s="104"/>
      <c r="EKK395" s="104"/>
      <c r="EKL395" s="119"/>
      <c r="EKM395" s="104"/>
      <c r="EKN395" s="455"/>
      <c r="EKO395" s="104"/>
      <c r="EKP395" s="104"/>
      <c r="EKQ395" s="109"/>
      <c r="EKR395" s="104"/>
      <c r="EKS395" s="104"/>
      <c r="EKT395" s="119"/>
      <c r="EKU395" s="104"/>
      <c r="EKV395" s="455"/>
      <c r="EKW395" s="104"/>
      <c r="EKX395" s="104"/>
      <c r="EKY395" s="109"/>
      <c r="EKZ395" s="104"/>
      <c r="ELA395" s="104"/>
      <c r="ELB395" s="119"/>
      <c r="ELC395" s="104"/>
      <c r="ELD395" s="455"/>
      <c r="ELE395" s="104"/>
      <c r="ELF395" s="104"/>
      <c r="ELG395" s="109"/>
      <c r="ELH395" s="104"/>
      <c r="ELI395" s="104"/>
      <c r="ELJ395" s="119"/>
      <c r="ELK395" s="104"/>
      <c r="ELL395" s="455"/>
      <c r="ELM395" s="104"/>
      <c r="ELN395" s="104"/>
      <c r="ELO395" s="109"/>
      <c r="ELP395" s="104"/>
      <c r="ELQ395" s="104"/>
      <c r="ELR395" s="119"/>
      <c r="ELS395" s="104"/>
      <c r="ELT395" s="455"/>
      <c r="ELU395" s="104"/>
      <c r="ELV395" s="104"/>
      <c r="ELW395" s="109"/>
      <c r="ELX395" s="104"/>
      <c r="ELY395" s="104"/>
      <c r="ELZ395" s="119"/>
      <c r="EMA395" s="104"/>
      <c r="EMB395" s="455"/>
      <c r="EMC395" s="104"/>
      <c r="EMD395" s="104"/>
      <c r="EME395" s="109"/>
      <c r="EMF395" s="104"/>
      <c r="EMG395" s="104"/>
      <c r="EMH395" s="119"/>
      <c r="EMI395" s="104"/>
      <c r="EMJ395" s="455"/>
      <c r="EMK395" s="104"/>
      <c r="EML395" s="104"/>
      <c r="EMM395" s="109"/>
      <c r="EMN395" s="104"/>
      <c r="EMO395" s="104"/>
      <c r="EMP395" s="119"/>
      <c r="EMQ395" s="104"/>
      <c r="EMR395" s="455"/>
      <c r="EMS395" s="104"/>
      <c r="EMT395" s="104"/>
      <c r="EMU395" s="109"/>
      <c r="EMV395" s="104"/>
      <c r="EMW395" s="104"/>
      <c r="EMX395" s="119"/>
      <c r="EMY395" s="104"/>
      <c r="EMZ395" s="455"/>
      <c r="ENA395" s="104"/>
      <c r="ENB395" s="104"/>
      <c r="ENC395" s="109"/>
      <c r="END395" s="104"/>
      <c r="ENE395" s="104"/>
      <c r="ENF395" s="119"/>
      <c r="ENG395" s="104"/>
      <c r="ENH395" s="455"/>
      <c r="ENI395" s="104"/>
      <c r="ENJ395" s="104"/>
      <c r="ENK395" s="109"/>
      <c r="ENL395" s="104"/>
      <c r="ENM395" s="104"/>
      <c r="ENN395" s="119"/>
      <c r="ENO395" s="104"/>
      <c r="ENP395" s="455"/>
      <c r="ENQ395" s="104"/>
      <c r="ENR395" s="104"/>
      <c r="ENS395" s="109"/>
      <c r="ENT395" s="104"/>
      <c r="ENU395" s="104"/>
      <c r="ENV395" s="119"/>
      <c r="ENW395" s="104"/>
      <c r="ENX395" s="455"/>
      <c r="ENY395" s="104"/>
      <c r="ENZ395" s="104"/>
      <c r="EOA395" s="109"/>
      <c r="EOB395" s="104"/>
      <c r="EOC395" s="104"/>
      <c r="EOD395" s="119"/>
      <c r="EOE395" s="104"/>
      <c r="EOF395" s="455"/>
      <c r="EOG395" s="104"/>
      <c r="EOH395" s="104"/>
      <c r="EOI395" s="109"/>
      <c r="EOJ395" s="104"/>
      <c r="EOK395" s="104"/>
      <c r="EOL395" s="119"/>
      <c r="EOM395" s="104"/>
      <c r="EON395" s="455"/>
      <c r="EOO395" s="104"/>
      <c r="EOP395" s="104"/>
      <c r="EOQ395" s="109"/>
      <c r="EOR395" s="104"/>
      <c r="EOS395" s="104"/>
      <c r="EOT395" s="119"/>
      <c r="EOU395" s="104"/>
      <c r="EOV395" s="455"/>
      <c r="EOW395" s="104"/>
      <c r="EOX395" s="104"/>
      <c r="EOY395" s="109"/>
      <c r="EOZ395" s="104"/>
      <c r="EPA395" s="104"/>
      <c r="EPB395" s="119"/>
      <c r="EPC395" s="104"/>
      <c r="EPD395" s="455"/>
      <c r="EPE395" s="104"/>
      <c r="EPF395" s="104"/>
      <c r="EPG395" s="109"/>
      <c r="EPH395" s="104"/>
      <c r="EPI395" s="104"/>
      <c r="EPJ395" s="119"/>
      <c r="EPK395" s="104"/>
      <c r="EPL395" s="455"/>
      <c r="EPM395" s="104"/>
      <c r="EPN395" s="104"/>
      <c r="EPO395" s="109"/>
      <c r="EPP395" s="104"/>
      <c r="EPQ395" s="104"/>
      <c r="EPR395" s="119"/>
      <c r="EPS395" s="104"/>
      <c r="EPT395" s="455"/>
      <c r="EPU395" s="104"/>
      <c r="EPV395" s="104"/>
      <c r="EPW395" s="109"/>
      <c r="EPX395" s="104"/>
      <c r="EPY395" s="104"/>
      <c r="EPZ395" s="119"/>
      <c r="EQA395" s="104"/>
      <c r="EQB395" s="455"/>
      <c r="EQC395" s="104"/>
      <c r="EQD395" s="104"/>
      <c r="EQE395" s="109"/>
      <c r="EQF395" s="104"/>
      <c r="EQG395" s="104"/>
      <c r="EQH395" s="119"/>
      <c r="EQI395" s="104"/>
      <c r="EQJ395" s="455"/>
      <c r="EQK395" s="104"/>
      <c r="EQL395" s="104"/>
      <c r="EQM395" s="109"/>
      <c r="EQN395" s="104"/>
      <c r="EQO395" s="104"/>
      <c r="EQP395" s="119"/>
      <c r="EQQ395" s="104"/>
      <c r="EQR395" s="455"/>
      <c r="EQS395" s="104"/>
      <c r="EQT395" s="104"/>
      <c r="EQU395" s="109"/>
      <c r="EQV395" s="104"/>
      <c r="EQW395" s="104"/>
      <c r="EQX395" s="119"/>
      <c r="EQY395" s="104"/>
      <c r="EQZ395" s="455"/>
      <c r="ERA395" s="104"/>
      <c r="ERB395" s="104"/>
      <c r="ERC395" s="109"/>
      <c r="ERD395" s="104"/>
      <c r="ERE395" s="104"/>
      <c r="ERF395" s="119"/>
      <c r="ERG395" s="104"/>
      <c r="ERH395" s="455"/>
      <c r="ERI395" s="104"/>
      <c r="ERJ395" s="104"/>
      <c r="ERK395" s="109"/>
      <c r="ERL395" s="104"/>
      <c r="ERM395" s="104"/>
      <c r="ERN395" s="119"/>
      <c r="ERO395" s="104"/>
      <c r="ERP395" s="455"/>
      <c r="ERQ395" s="104"/>
      <c r="ERR395" s="104"/>
      <c r="ERS395" s="109"/>
      <c r="ERT395" s="104"/>
      <c r="ERU395" s="104"/>
      <c r="ERV395" s="119"/>
      <c r="ERW395" s="104"/>
      <c r="ERX395" s="455"/>
      <c r="ERY395" s="104"/>
      <c r="ERZ395" s="104"/>
      <c r="ESA395" s="109"/>
      <c r="ESB395" s="104"/>
      <c r="ESC395" s="104"/>
      <c r="ESD395" s="119"/>
      <c r="ESE395" s="104"/>
      <c r="ESF395" s="455"/>
      <c r="ESG395" s="104"/>
      <c r="ESH395" s="104"/>
      <c r="ESI395" s="109"/>
      <c r="ESJ395" s="104"/>
      <c r="ESK395" s="104"/>
      <c r="ESL395" s="119"/>
      <c r="ESM395" s="104"/>
      <c r="ESN395" s="455"/>
      <c r="ESO395" s="104"/>
      <c r="ESP395" s="104"/>
      <c r="ESQ395" s="109"/>
      <c r="ESR395" s="104"/>
      <c r="ESS395" s="104"/>
      <c r="EST395" s="119"/>
      <c r="ESU395" s="104"/>
      <c r="ESV395" s="455"/>
      <c r="ESW395" s="104"/>
      <c r="ESX395" s="104"/>
      <c r="ESY395" s="109"/>
      <c r="ESZ395" s="104"/>
      <c r="ETA395" s="104"/>
      <c r="ETB395" s="119"/>
      <c r="ETC395" s="104"/>
      <c r="ETD395" s="455"/>
      <c r="ETE395" s="104"/>
      <c r="ETF395" s="104"/>
      <c r="ETG395" s="109"/>
      <c r="ETH395" s="104"/>
      <c r="ETI395" s="104"/>
      <c r="ETJ395" s="119"/>
      <c r="ETK395" s="104"/>
      <c r="ETL395" s="455"/>
      <c r="ETM395" s="104"/>
      <c r="ETN395" s="104"/>
      <c r="ETO395" s="109"/>
      <c r="ETP395" s="104"/>
      <c r="ETQ395" s="104"/>
      <c r="ETR395" s="119"/>
      <c r="ETS395" s="104"/>
      <c r="ETT395" s="455"/>
      <c r="ETU395" s="104"/>
      <c r="ETV395" s="104"/>
      <c r="ETW395" s="109"/>
      <c r="ETX395" s="104"/>
      <c r="ETY395" s="104"/>
      <c r="ETZ395" s="119"/>
      <c r="EUA395" s="104"/>
      <c r="EUB395" s="455"/>
      <c r="EUC395" s="104"/>
      <c r="EUD395" s="104"/>
      <c r="EUE395" s="109"/>
      <c r="EUF395" s="104"/>
      <c r="EUG395" s="104"/>
      <c r="EUH395" s="119"/>
      <c r="EUI395" s="104"/>
      <c r="EUJ395" s="455"/>
      <c r="EUK395" s="104"/>
      <c r="EUL395" s="104"/>
      <c r="EUM395" s="109"/>
      <c r="EUN395" s="104"/>
      <c r="EUO395" s="104"/>
      <c r="EUP395" s="119"/>
      <c r="EUQ395" s="104"/>
      <c r="EUR395" s="455"/>
      <c r="EUS395" s="104"/>
      <c r="EUT395" s="104"/>
      <c r="EUU395" s="109"/>
      <c r="EUV395" s="104"/>
      <c r="EUW395" s="104"/>
      <c r="EUX395" s="119"/>
      <c r="EUY395" s="104"/>
      <c r="EUZ395" s="455"/>
      <c r="EVA395" s="104"/>
      <c r="EVB395" s="104"/>
      <c r="EVC395" s="109"/>
      <c r="EVD395" s="104"/>
      <c r="EVE395" s="104"/>
      <c r="EVF395" s="119"/>
      <c r="EVG395" s="104"/>
      <c r="EVH395" s="455"/>
      <c r="EVI395" s="104"/>
      <c r="EVJ395" s="104"/>
      <c r="EVK395" s="109"/>
      <c r="EVL395" s="104"/>
      <c r="EVM395" s="104"/>
      <c r="EVN395" s="119"/>
      <c r="EVO395" s="104"/>
      <c r="EVP395" s="455"/>
      <c r="EVQ395" s="104"/>
      <c r="EVR395" s="104"/>
      <c r="EVS395" s="109"/>
      <c r="EVT395" s="104"/>
      <c r="EVU395" s="104"/>
      <c r="EVV395" s="119"/>
      <c r="EVW395" s="104"/>
      <c r="EVX395" s="455"/>
      <c r="EVY395" s="104"/>
      <c r="EVZ395" s="104"/>
      <c r="EWA395" s="109"/>
      <c r="EWB395" s="104"/>
      <c r="EWC395" s="104"/>
      <c r="EWD395" s="119"/>
      <c r="EWE395" s="104"/>
      <c r="EWF395" s="455"/>
      <c r="EWG395" s="104"/>
      <c r="EWH395" s="104"/>
      <c r="EWI395" s="109"/>
      <c r="EWJ395" s="104"/>
      <c r="EWK395" s="104"/>
      <c r="EWL395" s="119"/>
      <c r="EWM395" s="104"/>
      <c r="EWN395" s="455"/>
      <c r="EWO395" s="104"/>
      <c r="EWP395" s="104"/>
      <c r="EWQ395" s="109"/>
      <c r="EWR395" s="104"/>
      <c r="EWS395" s="104"/>
      <c r="EWT395" s="119"/>
      <c r="EWU395" s="104"/>
      <c r="EWV395" s="455"/>
      <c r="EWW395" s="104"/>
      <c r="EWX395" s="104"/>
      <c r="EWY395" s="109"/>
      <c r="EWZ395" s="104"/>
      <c r="EXA395" s="104"/>
      <c r="EXB395" s="119"/>
      <c r="EXC395" s="104"/>
      <c r="EXD395" s="455"/>
      <c r="EXE395" s="104"/>
      <c r="EXF395" s="104"/>
      <c r="EXG395" s="109"/>
      <c r="EXH395" s="104"/>
      <c r="EXI395" s="104"/>
      <c r="EXJ395" s="119"/>
      <c r="EXK395" s="104"/>
      <c r="EXL395" s="455"/>
      <c r="EXM395" s="104"/>
      <c r="EXN395" s="104"/>
      <c r="EXO395" s="109"/>
      <c r="EXP395" s="104"/>
      <c r="EXQ395" s="104"/>
      <c r="EXR395" s="119"/>
      <c r="EXS395" s="104"/>
      <c r="EXT395" s="455"/>
      <c r="EXU395" s="104"/>
      <c r="EXV395" s="104"/>
      <c r="EXW395" s="109"/>
      <c r="EXX395" s="104"/>
      <c r="EXY395" s="104"/>
      <c r="EXZ395" s="119"/>
      <c r="EYA395" s="104"/>
      <c r="EYB395" s="455"/>
      <c r="EYC395" s="104"/>
      <c r="EYD395" s="104"/>
      <c r="EYE395" s="109"/>
      <c r="EYF395" s="104"/>
      <c r="EYG395" s="104"/>
      <c r="EYH395" s="119"/>
      <c r="EYI395" s="104"/>
      <c r="EYJ395" s="455"/>
      <c r="EYK395" s="104"/>
      <c r="EYL395" s="104"/>
      <c r="EYM395" s="109"/>
      <c r="EYN395" s="104"/>
      <c r="EYO395" s="104"/>
      <c r="EYP395" s="119"/>
      <c r="EYQ395" s="104"/>
      <c r="EYR395" s="455"/>
      <c r="EYS395" s="104"/>
      <c r="EYT395" s="104"/>
      <c r="EYU395" s="109"/>
      <c r="EYV395" s="104"/>
      <c r="EYW395" s="104"/>
      <c r="EYX395" s="119"/>
      <c r="EYY395" s="104"/>
      <c r="EYZ395" s="455"/>
      <c r="EZA395" s="104"/>
      <c r="EZB395" s="104"/>
      <c r="EZC395" s="109"/>
      <c r="EZD395" s="104"/>
      <c r="EZE395" s="104"/>
      <c r="EZF395" s="119"/>
      <c r="EZG395" s="104"/>
      <c r="EZH395" s="455"/>
      <c r="EZI395" s="104"/>
      <c r="EZJ395" s="104"/>
      <c r="EZK395" s="109"/>
      <c r="EZL395" s="104"/>
      <c r="EZM395" s="104"/>
      <c r="EZN395" s="119"/>
      <c r="EZO395" s="104"/>
      <c r="EZP395" s="455"/>
      <c r="EZQ395" s="104"/>
      <c r="EZR395" s="104"/>
      <c r="EZS395" s="109"/>
      <c r="EZT395" s="104"/>
      <c r="EZU395" s="104"/>
      <c r="EZV395" s="119"/>
      <c r="EZW395" s="104"/>
      <c r="EZX395" s="455"/>
      <c r="EZY395" s="104"/>
      <c r="EZZ395" s="104"/>
      <c r="FAA395" s="109"/>
      <c r="FAB395" s="104"/>
      <c r="FAC395" s="104"/>
      <c r="FAD395" s="119"/>
      <c r="FAE395" s="104"/>
      <c r="FAF395" s="455"/>
      <c r="FAG395" s="104"/>
      <c r="FAH395" s="104"/>
      <c r="FAI395" s="109"/>
      <c r="FAJ395" s="104"/>
      <c r="FAK395" s="104"/>
      <c r="FAL395" s="119"/>
      <c r="FAM395" s="104"/>
      <c r="FAN395" s="455"/>
      <c r="FAO395" s="104"/>
      <c r="FAP395" s="104"/>
      <c r="FAQ395" s="109"/>
      <c r="FAR395" s="104"/>
      <c r="FAS395" s="104"/>
      <c r="FAT395" s="119"/>
      <c r="FAU395" s="104"/>
      <c r="FAV395" s="455"/>
      <c r="FAW395" s="104"/>
      <c r="FAX395" s="104"/>
      <c r="FAY395" s="109"/>
      <c r="FAZ395" s="104"/>
      <c r="FBA395" s="104"/>
      <c r="FBB395" s="119"/>
      <c r="FBC395" s="104"/>
      <c r="FBD395" s="455"/>
      <c r="FBE395" s="104"/>
      <c r="FBF395" s="104"/>
      <c r="FBG395" s="109"/>
      <c r="FBH395" s="104"/>
      <c r="FBI395" s="104"/>
      <c r="FBJ395" s="119"/>
      <c r="FBK395" s="104"/>
      <c r="FBL395" s="455"/>
      <c r="FBM395" s="104"/>
      <c r="FBN395" s="104"/>
      <c r="FBO395" s="109"/>
      <c r="FBP395" s="104"/>
      <c r="FBQ395" s="104"/>
      <c r="FBR395" s="119"/>
      <c r="FBS395" s="104"/>
      <c r="FBT395" s="455"/>
      <c r="FBU395" s="104"/>
      <c r="FBV395" s="104"/>
      <c r="FBW395" s="109"/>
      <c r="FBX395" s="104"/>
      <c r="FBY395" s="104"/>
      <c r="FBZ395" s="119"/>
      <c r="FCA395" s="104"/>
      <c r="FCB395" s="455"/>
      <c r="FCC395" s="104"/>
      <c r="FCD395" s="104"/>
      <c r="FCE395" s="109"/>
      <c r="FCF395" s="104"/>
      <c r="FCG395" s="104"/>
      <c r="FCH395" s="119"/>
      <c r="FCI395" s="104"/>
      <c r="FCJ395" s="455"/>
      <c r="FCK395" s="104"/>
      <c r="FCL395" s="104"/>
      <c r="FCM395" s="109"/>
      <c r="FCN395" s="104"/>
      <c r="FCO395" s="104"/>
      <c r="FCP395" s="119"/>
      <c r="FCQ395" s="104"/>
      <c r="FCR395" s="455"/>
      <c r="FCS395" s="104"/>
      <c r="FCT395" s="104"/>
      <c r="FCU395" s="109"/>
      <c r="FCV395" s="104"/>
      <c r="FCW395" s="104"/>
      <c r="FCX395" s="119"/>
      <c r="FCY395" s="104"/>
      <c r="FCZ395" s="455"/>
      <c r="FDA395" s="104"/>
      <c r="FDB395" s="104"/>
      <c r="FDC395" s="109"/>
      <c r="FDD395" s="104"/>
      <c r="FDE395" s="104"/>
      <c r="FDF395" s="119"/>
      <c r="FDG395" s="104"/>
      <c r="FDH395" s="455"/>
      <c r="FDI395" s="104"/>
      <c r="FDJ395" s="104"/>
      <c r="FDK395" s="109"/>
      <c r="FDL395" s="104"/>
      <c r="FDM395" s="104"/>
      <c r="FDN395" s="119"/>
      <c r="FDO395" s="104"/>
      <c r="FDP395" s="455"/>
      <c r="FDQ395" s="104"/>
      <c r="FDR395" s="104"/>
      <c r="FDS395" s="109"/>
      <c r="FDT395" s="104"/>
      <c r="FDU395" s="104"/>
      <c r="FDV395" s="119"/>
      <c r="FDW395" s="104"/>
      <c r="FDX395" s="455"/>
      <c r="FDY395" s="104"/>
      <c r="FDZ395" s="104"/>
      <c r="FEA395" s="109"/>
      <c r="FEB395" s="104"/>
      <c r="FEC395" s="104"/>
      <c r="FED395" s="119"/>
      <c r="FEE395" s="104"/>
      <c r="FEF395" s="455"/>
      <c r="FEG395" s="104"/>
      <c r="FEH395" s="104"/>
      <c r="FEI395" s="109"/>
      <c r="FEJ395" s="104"/>
      <c r="FEK395" s="104"/>
      <c r="FEL395" s="119"/>
      <c r="FEM395" s="104"/>
      <c r="FEN395" s="455"/>
      <c r="FEO395" s="104"/>
      <c r="FEP395" s="104"/>
      <c r="FEQ395" s="109"/>
      <c r="FER395" s="104"/>
      <c r="FES395" s="104"/>
      <c r="FET395" s="119"/>
      <c r="FEU395" s="104"/>
      <c r="FEV395" s="455"/>
      <c r="FEW395" s="104"/>
      <c r="FEX395" s="104"/>
      <c r="FEY395" s="109"/>
      <c r="FEZ395" s="104"/>
      <c r="FFA395" s="104"/>
      <c r="FFB395" s="119"/>
      <c r="FFC395" s="104"/>
      <c r="FFD395" s="455"/>
      <c r="FFE395" s="104"/>
      <c r="FFF395" s="104"/>
      <c r="FFG395" s="109"/>
      <c r="FFH395" s="104"/>
      <c r="FFI395" s="104"/>
      <c r="FFJ395" s="119"/>
      <c r="FFK395" s="104"/>
      <c r="FFL395" s="455"/>
      <c r="FFM395" s="104"/>
      <c r="FFN395" s="104"/>
      <c r="FFO395" s="109"/>
      <c r="FFP395" s="104"/>
      <c r="FFQ395" s="104"/>
      <c r="FFR395" s="119"/>
      <c r="FFS395" s="104"/>
      <c r="FFT395" s="455"/>
      <c r="FFU395" s="104"/>
      <c r="FFV395" s="104"/>
      <c r="FFW395" s="109"/>
      <c r="FFX395" s="104"/>
      <c r="FFY395" s="104"/>
      <c r="FFZ395" s="119"/>
      <c r="FGA395" s="104"/>
      <c r="FGB395" s="455"/>
      <c r="FGC395" s="104"/>
      <c r="FGD395" s="104"/>
      <c r="FGE395" s="109"/>
      <c r="FGF395" s="104"/>
      <c r="FGG395" s="104"/>
      <c r="FGH395" s="119"/>
      <c r="FGI395" s="104"/>
      <c r="FGJ395" s="455"/>
      <c r="FGK395" s="104"/>
      <c r="FGL395" s="104"/>
      <c r="FGM395" s="109"/>
      <c r="FGN395" s="104"/>
      <c r="FGO395" s="104"/>
      <c r="FGP395" s="119"/>
      <c r="FGQ395" s="104"/>
      <c r="FGR395" s="455"/>
      <c r="FGS395" s="104"/>
      <c r="FGT395" s="104"/>
      <c r="FGU395" s="109"/>
      <c r="FGV395" s="104"/>
      <c r="FGW395" s="104"/>
      <c r="FGX395" s="119"/>
      <c r="FGY395" s="104"/>
      <c r="FGZ395" s="455"/>
      <c r="FHA395" s="104"/>
      <c r="FHB395" s="104"/>
      <c r="FHC395" s="109"/>
      <c r="FHD395" s="104"/>
      <c r="FHE395" s="104"/>
      <c r="FHF395" s="119"/>
      <c r="FHG395" s="104"/>
      <c r="FHH395" s="455"/>
      <c r="FHI395" s="104"/>
      <c r="FHJ395" s="104"/>
      <c r="FHK395" s="109"/>
      <c r="FHL395" s="104"/>
      <c r="FHM395" s="104"/>
      <c r="FHN395" s="119"/>
      <c r="FHO395" s="104"/>
      <c r="FHP395" s="455"/>
      <c r="FHQ395" s="104"/>
      <c r="FHR395" s="104"/>
      <c r="FHS395" s="109"/>
      <c r="FHT395" s="104"/>
      <c r="FHU395" s="104"/>
      <c r="FHV395" s="119"/>
      <c r="FHW395" s="104"/>
      <c r="FHX395" s="455"/>
      <c r="FHY395" s="104"/>
      <c r="FHZ395" s="104"/>
      <c r="FIA395" s="109"/>
      <c r="FIB395" s="104"/>
      <c r="FIC395" s="104"/>
      <c r="FID395" s="119"/>
      <c r="FIE395" s="104"/>
      <c r="FIF395" s="455"/>
      <c r="FIG395" s="104"/>
      <c r="FIH395" s="104"/>
      <c r="FII395" s="109"/>
      <c r="FIJ395" s="104"/>
      <c r="FIK395" s="104"/>
      <c r="FIL395" s="119"/>
      <c r="FIM395" s="104"/>
      <c r="FIN395" s="455"/>
      <c r="FIO395" s="104"/>
      <c r="FIP395" s="104"/>
      <c r="FIQ395" s="109"/>
      <c r="FIR395" s="104"/>
      <c r="FIS395" s="104"/>
      <c r="FIT395" s="119"/>
      <c r="FIU395" s="104"/>
      <c r="FIV395" s="455"/>
      <c r="FIW395" s="104"/>
      <c r="FIX395" s="104"/>
      <c r="FIY395" s="109"/>
      <c r="FIZ395" s="104"/>
      <c r="FJA395" s="104"/>
      <c r="FJB395" s="119"/>
      <c r="FJC395" s="104"/>
      <c r="FJD395" s="455"/>
      <c r="FJE395" s="104"/>
      <c r="FJF395" s="104"/>
      <c r="FJG395" s="109"/>
      <c r="FJH395" s="104"/>
      <c r="FJI395" s="104"/>
      <c r="FJJ395" s="119"/>
      <c r="FJK395" s="104"/>
      <c r="FJL395" s="455"/>
      <c r="FJM395" s="104"/>
      <c r="FJN395" s="104"/>
      <c r="FJO395" s="109"/>
      <c r="FJP395" s="104"/>
      <c r="FJQ395" s="104"/>
      <c r="FJR395" s="119"/>
      <c r="FJS395" s="104"/>
      <c r="FJT395" s="455"/>
      <c r="FJU395" s="104"/>
      <c r="FJV395" s="104"/>
      <c r="FJW395" s="109"/>
      <c r="FJX395" s="104"/>
      <c r="FJY395" s="104"/>
      <c r="FJZ395" s="119"/>
      <c r="FKA395" s="104"/>
      <c r="FKB395" s="455"/>
      <c r="FKC395" s="104"/>
      <c r="FKD395" s="104"/>
      <c r="FKE395" s="109"/>
      <c r="FKF395" s="104"/>
      <c r="FKG395" s="104"/>
      <c r="FKH395" s="119"/>
      <c r="FKI395" s="104"/>
      <c r="FKJ395" s="455"/>
      <c r="FKK395" s="104"/>
      <c r="FKL395" s="104"/>
      <c r="FKM395" s="109"/>
      <c r="FKN395" s="104"/>
      <c r="FKO395" s="104"/>
      <c r="FKP395" s="119"/>
      <c r="FKQ395" s="104"/>
      <c r="FKR395" s="455"/>
      <c r="FKS395" s="104"/>
      <c r="FKT395" s="104"/>
      <c r="FKU395" s="109"/>
      <c r="FKV395" s="104"/>
      <c r="FKW395" s="104"/>
      <c r="FKX395" s="119"/>
      <c r="FKY395" s="104"/>
      <c r="FKZ395" s="455"/>
      <c r="FLA395" s="104"/>
      <c r="FLB395" s="104"/>
      <c r="FLC395" s="109"/>
      <c r="FLD395" s="104"/>
      <c r="FLE395" s="104"/>
      <c r="FLF395" s="119"/>
      <c r="FLG395" s="104"/>
      <c r="FLH395" s="455"/>
      <c r="FLI395" s="104"/>
      <c r="FLJ395" s="104"/>
      <c r="FLK395" s="109"/>
      <c r="FLL395" s="104"/>
      <c r="FLM395" s="104"/>
      <c r="FLN395" s="119"/>
      <c r="FLO395" s="104"/>
      <c r="FLP395" s="455"/>
      <c r="FLQ395" s="104"/>
      <c r="FLR395" s="104"/>
      <c r="FLS395" s="109"/>
      <c r="FLT395" s="104"/>
      <c r="FLU395" s="104"/>
      <c r="FLV395" s="119"/>
      <c r="FLW395" s="104"/>
      <c r="FLX395" s="455"/>
      <c r="FLY395" s="104"/>
      <c r="FLZ395" s="104"/>
      <c r="FMA395" s="109"/>
      <c r="FMB395" s="104"/>
      <c r="FMC395" s="104"/>
      <c r="FMD395" s="119"/>
      <c r="FME395" s="104"/>
      <c r="FMF395" s="455"/>
      <c r="FMG395" s="104"/>
      <c r="FMH395" s="104"/>
      <c r="FMI395" s="109"/>
      <c r="FMJ395" s="104"/>
      <c r="FMK395" s="104"/>
      <c r="FML395" s="119"/>
      <c r="FMM395" s="104"/>
      <c r="FMN395" s="455"/>
      <c r="FMO395" s="104"/>
      <c r="FMP395" s="104"/>
      <c r="FMQ395" s="109"/>
      <c r="FMR395" s="104"/>
      <c r="FMS395" s="104"/>
      <c r="FMT395" s="119"/>
      <c r="FMU395" s="104"/>
      <c r="FMV395" s="455"/>
      <c r="FMW395" s="104"/>
      <c r="FMX395" s="104"/>
      <c r="FMY395" s="109"/>
      <c r="FMZ395" s="104"/>
      <c r="FNA395" s="104"/>
      <c r="FNB395" s="119"/>
      <c r="FNC395" s="104"/>
      <c r="FND395" s="455"/>
      <c r="FNE395" s="104"/>
      <c r="FNF395" s="104"/>
      <c r="FNG395" s="109"/>
      <c r="FNH395" s="104"/>
      <c r="FNI395" s="104"/>
      <c r="FNJ395" s="119"/>
      <c r="FNK395" s="104"/>
      <c r="FNL395" s="455"/>
      <c r="FNM395" s="104"/>
      <c r="FNN395" s="104"/>
      <c r="FNO395" s="109"/>
      <c r="FNP395" s="104"/>
      <c r="FNQ395" s="104"/>
      <c r="FNR395" s="119"/>
      <c r="FNS395" s="104"/>
      <c r="FNT395" s="455"/>
      <c r="FNU395" s="104"/>
      <c r="FNV395" s="104"/>
      <c r="FNW395" s="109"/>
      <c r="FNX395" s="104"/>
      <c r="FNY395" s="104"/>
      <c r="FNZ395" s="119"/>
      <c r="FOA395" s="104"/>
      <c r="FOB395" s="455"/>
      <c r="FOC395" s="104"/>
      <c r="FOD395" s="104"/>
      <c r="FOE395" s="109"/>
      <c r="FOF395" s="104"/>
      <c r="FOG395" s="104"/>
      <c r="FOH395" s="119"/>
      <c r="FOI395" s="104"/>
      <c r="FOJ395" s="455"/>
      <c r="FOK395" s="104"/>
      <c r="FOL395" s="104"/>
      <c r="FOM395" s="109"/>
      <c r="FON395" s="104"/>
      <c r="FOO395" s="104"/>
      <c r="FOP395" s="119"/>
      <c r="FOQ395" s="104"/>
      <c r="FOR395" s="455"/>
      <c r="FOS395" s="104"/>
      <c r="FOT395" s="104"/>
      <c r="FOU395" s="109"/>
      <c r="FOV395" s="104"/>
      <c r="FOW395" s="104"/>
      <c r="FOX395" s="119"/>
      <c r="FOY395" s="104"/>
      <c r="FOZ395" s="455"/>
      <c r="FPA395" s="104"/>
      <c r="FPB395" s="104"/>
      <c r="FPC395" s="109"/>
      <c r="FPD395" s="104"/>
      <c r="FPE395" s="104"/>
      <c r="FPF395" s="119"/>
      <c r="FPG395" s="104"/>
      <c r="FPH395" s="455"/>
      <c r="FPI395" s="104"/>
      <c r="FPJ395" s="104"/>
      <c r="FPK395" s="109"/>
      <c r="FPL395" s="104"/>
      <c r="FPM395" s="104"/>
      <c r="FPN395" s="119"/>
      <c r="FPO395" s="104"/>
      <c r="FPP395" s="455"/>
      <c r="FPQ395" s="104"/>
      <c r="FPR395" s="104"/>
      <c r="FPS395" s="109"/>
      <c r="FPT395" s="104"/>
      <c r="FPU395" s="104"/>
      <c r="FPV395" s="119"/>
      <c r="FPW395" s="104"/>
      <c r="FPX395" s="455"/>
      <c r="FPY395" s="104"/>
      <c r="FPZ395" s="104"/>
      <c r="FQA395" s="109"/>
      <c r="FQB395" s="104"/>
      <c r="FQC395" s="104"/>
      <c r="FQD395" s="119"/>
      <c r="FQE395" s="104"/>
      <c r="FQF395" s="455"/>
      <c r="FQG395" s="104"/>
      <c r="FQH395" s="104"/>
      <c r="FQI395" s="109"/>
      <c r="FQJ395" s="104"/>
      <c r="FQK395" s="104"/>
      <c r="FQL395" s="119"/>
      <c r="FQM395" s="104"/>
      <c r="FQN395" s="455"/>
      <c r="FQO395" s="104"/>
      <c r="FQP395" s="104"/>
      <c r="FQQ395" s="109"/>
      <c r="FQR395" s="104"/>
      <c r="FQS395" s="104"/>
      <c r="FQT395" s="119"/>
      <c r="FQU395" s="104"/>
      <c r="FQV395" s="455"/>
      <c r="FQW395" s="104"/>
      <c r="FQX395" s="104"/>
      <c r="FQY395" s="109"/>
      <c r="FQZ395" s="104"/>
      <c r="FRA395" s="104"/>
      <c r="FRB395" s="119"/>
      <c r="FRC395" s="104"/>
      <c r="FRD395" s="455"/>
      <c r="FRE395" s="104"/>
      <c r="FRF395" s="104"/>
      <c r="FRG395" s="109"/>
      <c r="FRH395" s="104"/>
      <c r="FRI395" s="104"/>
      <c r="FRJ395" s="119"/>
      <c r="FRK395" s="104"/>
      <c r="FRL395" s="455"/>
      <c r="FRM395" s="104"/>
      <c r="FRN395" s="104"/>
      <c r="FRO395" s="109"/>
      <c r="FRP395" s="104"/>
      <c r="FRQ395" s="104"/>
      <c r="FRR395" s="119"/>
      <c r="FRS395" s="104"/>
      <c r="FRT395" s="455"/>
      <c r="FRU395" s="104"/>
      <c r="FRV395" s="104"/>
      <c r="FRW395" s="109"/>
      <c r="FRX395" s="104"/>
      <c r="FRY395" s="104"/>
      <c r="FRZ395" s="119"/>
      <c r="FSA395" s="104"/>
      <c r="FSB395" s="455"/>
      <c r="FSC395" s="104"/>
      <c r="FSD395" s="104"/>
      <c r="FSE395" s="109"/>
      <c r="FSF395" s="104"/>
      <c r="FSG395" s="104"/>
      <c r="FSH395" s="119"/>
      <c r="FSI395" s="104"/>
      <c r="FSJ395" s="455"/>
      <c r="FSK395" s="104"/>
      <c r="FSL395" s="104"/>
      <c r="FSM395" s="109"/>
      <c r="FSN395" s="104"/>
      <c r="FSO395" s="104"/>
      <c r="FSP395" s="119"/>
      <c r="FSQ395" s="104"/>
      <c r="FSR395" s="455"/>
      <c r="FSS395" s="104"/>
      <c r="FST395" s="104"/>
      <c r="FSU395" s="109"/>
      <c r="FSV395" s="104"/>
      <c r="FSW395" s="104"/>
      <c r="FSX395" s="119"/>
      <c r="FSY395" s="104"/>
      <c r="FSZ395" s="455"/>
      <c r="FTA395" s="104"/>
      <c r="FTB395" s="104"/>
      <c r="FTC395" s="109"/>
      <c r="FTD395" s="104"/>
      <c r="FTE395" s="104"/>
      <c r="FTF395" s="119"/>
      <c r="FTG395" s="104"/>
      <c r="FTH395" s="455"/>
      <c r="FTI395" s="104"/>
      <c r="FTJ395" s="104"/>
      <c r="FTK395" s="109"/>
      <c r="FTL395" s="104"/>
      <c r="FTM395" s="104"/>
      <c r="FTN395" s="119"/>
      <c r="FTO395" s="104"/>
      <c r="FTP395" s="455"/>
      <c r="FTQ395" s="104"/>
      <c r="FTR395" s="104"/>
      <c r="FTS395" s="109"/>
      <c r="FTT395" s="104"/>
      <c r="FTU395" s="104"/>
      <c r="FTV395" s="119"/>
      <c r="FTW395" s="104"/>
      <c r="FTX395" s="455"/>
      <c r="FTY395" s="104"/>
      <c r="FTZ395" s="104"/>
      <c r="FUA395" s="109"/>
      <c r="FUB395" s="104"/>
      <c r="FUC395" s="104"/>
      <c r="FUD395" s="119"/>
      <c r="FUE395" s="104"/>
      <c r="FUF395" s="455"/>
      <c r="FUG395" s="104"/>
      <c r="FUH395" s="104"/>
      <c r="FUI395" s="109"/>
      <c r="FUJ395" s="104"/>
      <c r="FUK395" s="104"/>
      <c r="FUL395" s="119"/>
      <c r="FUM395" s="104"/>
      <c r="FUN395" s="455"/>
      <c r="FUO395" s="104"/>
      <c r="FUP395" s="104"/>
      <c r="FUQ395" s="109"/>
      <c r="FUR395" s="104"/>
      <c r="FUS395" s="104"/>
      <c r="FUT395" s="119"/>
      <c r="FUU395" s="104"/>
      <c r="FUV395" s="455"/>
      <c r="FUW395" s="104"/>
      <c r="FUX395" s="104"/>
      <c r="FUY395" s="109"/>
      <c r="FUZ395" s="104"/>
      <c r="FVA395" s="104"/>
      <c r="FVB395" s="119"/>
      <c r="FVC395" s="104"/>
      <c r="FVD395" s="455"/>
      <c r="FVE395" s="104"/>
      <c r="FVF395" s="104"/>
      <c r="FVG395" s="109"/>
      <c r="FVH395" s="104"/>
      <c r="FVI395" s="104"/>
      <c r="FVJ395" s="119"/>
      <c r="FVK395" s="104"/>
      <c r="FVL395" s="455"/>
      <c r="FVM395" s="104"/>
      <c r="FVN395" s="104"/>
      <c r="FVO395" s="109"/>
      <c r="FVP395" s="104"/>
      <c r="FVQ395" s="104"/>
      <c r="FVR395" s="119"/>
      <c r="FVS395" s="104"/>
      <c r="FVT395" s="455"/>
      <c r="FVU395" s="104"/>
      <c r="FVV395" s="104"/>
      <c r="FVW395" s="109"/>
      <c r="FVX395" s="104"/>
      <c r="FVY395" s="104"/>
      <c r="FVZ395" s="119"/>
      <c r="FWA395" s="104"/>
      <c r="FWB395" s="455"/>
      <c r="FWC395" s="104"/>
      <c r="FWD395" s="104"/>
      <c r="FWE395" s="109"/>
      <c r="FWF395" s="104"/>
      <c r="FWG395" s="104"/>
      <c r="FWH395" s="119"/>
      <c r="FWI395" s="104"/>
      <c r="FWJ395" s="455"/>
      <c r="FWK395" s="104"/>
      <c r="FWL395" s="104"/>
      <c r="FWM395" s="109"/>
      <c r="FWN395" s="104"/>
      <c r="FWO395" s="104"/>
      <c r="FWP395" s="119"/>
      <c r="FWQ395" s="104"/>
      <c r="FWR395" s="455"/>
      <c r="FWS395" s="104"/>
      <c r="FWT395" s="104"/>
      <c r="FWU395" s="109"/>
      <c r="FWV395" s="104"/>
      <c r="FWW395" s="104"/>
      <c r="FWX395" s="119"/>
      <c r="FWY395" s="104"/>
      <c r="FWZ395" s="455"/>
      <c r="FXA395" s="104"/>
      <c r="FXB395" s="104"/>
      <c r="FXC395" s="109"/>
      <c r="FXD395" s="104"/>
      <c r="FXE395" s="104"/>
      <c r="FXF395" s="119"/>
      <c r="FXG395" s="104"/>
      <c r="FXH395" s="455"/>
      <c r="FXI395" s="104"/>
      <c r="FXJ395" s="104"/>
      <c r="FXK395" s="109"/>
      <c r="FXL395" s="104"/>
      <c r="FXM395" s="104"/>
      <c r="FXN395" s="119"/>
      <c r="FXO395" s="104"/>
      <c r="FXP395" s="455"/>
      <c r="FXQ395" s="104"/>
      <c r="FXR395" s="104"/>
      <c r="FXS395" s="109"/>
      <c r="FXT395" s="104"/>
      <c r="FXU395" s="104"/>
      <c r="FXV395" s="119"/>
      <c r="FXW395" s="104"/>
      <c r="FXX395" s="455"/>
      <c r="FXY395" s="104"/>
      <c r="FXZ395" s="104"/>
      <c r="FYA395" s="109"/>
      <c r="FYB395" s="104"/>
      <c r="FYC395" s="104"/>
      <c r="FYD395" s="119"/>
      <c r="FYE395" s="104"/>
      <c r="FYF395" s="455"/>
      <c r="FYG395" s="104"/>
      <c r="FYH395" s="104"/>
      <c r="FYI395" s="109"/>
      <c r="FYJ395" s="104"/>
      <c r="FYK395" s="104"/>
      <c r="FYL395" s="119"/>
      <c r="FYM395" s="104"/>
      <c r="FYN395" s="455"/>
      <c r="FYO395" s="104"/>
      <c r="FYP395" s="104"/>
      <c r="FYQ395" s="109"/>
      <c r="FYR395" s="104"/>
      <c r="FYS395" s="104"/>
      <c r="FYT395" s="119"/>
      <c r="FYU395" s="104"/>
      <c r="FYV395" s="455"/>
      <c r="FYW395" s="104"/>
      <c r="FYX395" s="104"/>
      <c r="FYY395" s="109"/>
      <c r="FYZ395" s="104"/>
      <c r="FZA395" s="104"/>
      <c r="FZB395" s="119"/>
      <c r="FZC395" s="104"/>
      <c r="FZD395" s="455"/>
      <c r="FZE395" s="104"/>
      <c r="FZF395" s="104"/>
      <c r="FZG395" s="109"/>
      <c r="FZH395" s="104"/>
      <c r="FZI395" s="104"/>
      <c r="FZJ395" s="119"/>
      <c r="FZK395" s="104"/>
      <c r="FZL395" s="455"/>
      <c r="FZM395" s="104"/>
      <c r="FZN395" s="104"/>
      <c r="FZO395" s="109"/>
      <c r="FZP395" s="104"/>
      <c r="FZQ395" s="104"/>
      <c r="FZR395" s="119"/>
      <c r="FZS395" s="104"/>
      <c r="FZT395" s="455"/>
      <c r="FZU395" s="104"/>
      <c r="FZV395" s="104"/>
      <c r="FZW395" s="109"/>
      <c r="FZX395" s="104"/>
      <c r="FZY395" s="104"/>
      <c r="FZZ395" s="119"/>
      <c r="GAA395" s="104"/>
      <c r="GAB395" s="455"/>
      <c r="GAC395" s="104"/>
      <c r="GAD395" s="104"/>
      <c r="GAE395" s="109"/>
      <c r="GAF395" s="104"/>
      <c r="GAG395" s="104"/>
      <c r="GAH395" s="119"/>
      <c r="GAI395" s="104"/>
      <c r="GAJ395" s="455"/>
      <c r="GAK395" s="104"/>
      <c r="GAL395" s="104"/>
      <c r="GAM395" s="109"/>
      <c r="GAN395" s="104"/>
      <c r="GAO395" s="104"/>
      <c r="GAP395" s="119"/>
      <c r="GAQ395" s="104"/>
      <c r="GAR395" s="455"/>
      <c r="GAS395" s="104"/>
      <c r="GAT395" s="104"/>
      <c r="GAU395" s="109"/>
      <c r="GAV395" s="104"/>
      <c r="GAW395" s="104"/>
      <c r="GAX395" s="119"/>
      <c r="GAY395" s="104"/>
      <c r="GAZ395" s="455"/>
      <c r="GBA395" s="104"/>
      <c r="GBB395" s="104"/>
      <c r="GBC395" s="109"/>
      <c r="GBD395" s="104"/>
      <c r="GBE395" s="104"/>
      <c r="GBF395" s="119"/>
      <c r="GBG395" s="104"/>
      <c r="GBH395" s="455"/>
      <c r="GBI395" s="104"/>
      <c r="GBJ395" s="104"/>
      <c r="GBK395" s="109"/>
      <c r="GBL395" s="104"/>
      <c r="GBM395" s="104"/>
      <c r="GBN395" s="119"/>
      <c r="GBO395" s="104"/>
      <c r="GBP395" s="455"/>
      <c r="GBQ395" s="104"/>
      <c r="GBR395" s="104"/>
      <c r="GBS395" s="109"/>
      <c r="GBT395" s="104"/>
      <c r="GBU395" s="104"/>
      <c r="GBV395" s="119"/>
      <c r="GBW395" s="104"/>
      <c r="GBX395" s="455"/>
      <c r="GBY395" s="104"/>
      <c r="GBZ395" s="104"/>
      <c r="GCA395" s="109"/>
      <c r="GCB395" s="104"/>
      <c r="GCC395" s="104"/>
      <c r="GCD395" s="119"/>
      <c r="GCE395" s="104"/>
      <c r="GCF395" s="455"/>
      <c r="GCG395" s="104"/>
      <c r="GCH395" s="104"/>
      <c r="GCI395" s="109"/>
      <c r="GCJ395" s="104"/>
      <c r="GCK395" s="104"/>
      <c r="GCL395" s="119"/>
      <c r="GCM395" s="104"/>
      <c r="GCN395" s="455"/>
      <c r="GCO395" s="104"/>
      <c r="GCP395" s="104"/>
      <c r="GCQ395" s="109"/>
      <c r="GCR395" s="104"/>
      <c r="GCS395" s="104"/>
      <c r="GCT395" s="119"/>
      <c r="GCU395" s="104"/>
      <c r="GCV395" s="455"/>
      <c r="GCW395" s="104"/>
      <c r="GCX395" s="104"/>
      <c r="GCY395" s="109"/>
      <c r="GCZ395" s="104"/>
      <c r="GDA395" s="104"/>
      <c r="GDB395" s="119"/>
      <c r="GDC395" s="104"/>
      <c r="GDD395" s="455"/>
      <c r="GDE395" s="104"/>
      <c r="GDF395" s="104"/>
      <c r="GDG395" s="109"/>
      <c r="GDH395" s="104"/>
      <c r="GDI395" s="104"/>
      <c r="GDJ395" s="119"/>
      <c r="GDK395" s="104"/>
      <c r="GDL395" s="455"/>
      <c r="GDM395" s="104"/>
      <c r="GDN395" s="104"/>
      <c r="GDO395" s="109"/>
      <c r="GDP395" s="104"/>
      <c r="GDQ395" s="104"/>
      <c r="GDR395" s="119"/>
      <c r="GDS395" s="104"/>
      <c r="GDT395" s="455"/>
      <c r="GDU395" s="104"/>
      <c r="GDV395" s="104"/>
      <c r="GDW395" s="109"/>
      <c r="GDX395" s="104"/>
      <c r="GDY395" s="104"/>
      <c r="GDZ395" s="119"/>
      <c r="GEA395" s="104"/>
      <c r="GEB395" s="455"/>
      <c r="GEC395" s="104"/>
      <c r="GED395" s="104"/>
      <c r="GEE395" s="109"/>
      <c r="GEF395" s="104"/>
      <c r="GEG395" s="104"/>
      <c r="GEH395" s="119"/>
      <c r="GEI395" s="104"/>
      <c r="GEJ395" s="455"/>
      <c r="GEK395" s="104"/>
      <c r="GEL395" s="104"/>
      <c r="GEM395" s="109"/>
      <c r="GEN395" s="104"/>
      <c r="GEO395" s="104"/>
      <c r="GEP395" s="119"/>
      <c r="GEQ395" s="104"/>
      <c r="GER395" s="455"/>
      <c r="GES395" s="104"/>
      <c r="GET395" s="104"/>
      <c r="GEU395" s="109"/>
      <c r="GEV395" s="104"/>
      <c r="GEW395" s="104"/>
      <c r="GEX395" s="119"/>
      <c r="GEY395" s="104"/>
      <c r="GEZ395" s="455"/>
      <c r="GFA395" s="104"/>
      <c r="GFB395" s="104"/>
      <c r="GFC395" s="109"/>
      <c r="GFD395" s="104"/>
      <c r="GFE395" s="104"/>
      <c r="GFF395" s="119"/>
      <c r="GFG395" s="104"/>
      <c r="GFH395" s="455"/>
      <c r="GFI395" s="104"/>
      <c r="GFJ395" s="104"/>
      <c r="GFK395" s="109"/>
      <c r="GFL395" s="104"/>
      <c r="GFM395" s="104"/>
      <c r="GFN395" s="119"/>
      <c r="GFO395" s="104"/>
      <c r="GFP395" s="455"/>
      <c r="GFQ395" s="104"/>
      <c r="GFR395" s="104"/>
      <c r="GFS395" s="109"/>
      <c r="GFT395" s="104"/>
      <c r="GFU395" s="104"/>
      <c r="GFV395" s="119"/>
      <c r="GFW395" s="104"/>
      <c r="GFX395" s="455"/>
      <c r="GFY395" s="104"/>
      <c r="GFZ395" s="104"/>
      <c r="GGA395" s="109"/>
      <c r="GGB395" s="104"/>
      <c r="GGC395" s="104"/>
      <c r="GGD395" s="119"/>
      <c r="GGE395" s="104"/>
      <c r="GGF395" s="455"/>
      <c r="GGG395" s="104"/>
      <c r="GGH395" s="104"/>
      <c r="GGI395" s="109"/>
      <c r="GGJ395" s="104"/>
      <c r="GGK395" s="104"/>
      <c r="GGL395" s="119"/>
      <c r="GGM395" s="104"/>
      <c r="GGN395" s="455"/>
      <c r="GGO395" s="104"/>
      <c r="GGP395" s="104"/>
      <c r="GGQ395" s="109"/>
      <c r="GGR395" s="104"/>
      <c r="GGS395" s="104"/>
      <c r="GGT395" s="119"/>
      <c r="GGU395" s="104"/>
      <c r="GGV395" s="455"/>
      <c r="GGW395" s="104"/>
      <c r="GGX395" s="104"/>
      <c r="GGY395" s="109"/>
      <c r="GGZ395" s="104"/>
      <c r="GHA395" s="104"/>
      <c r="GHB395" s="119"/>
      <c r="GHC395" s="104"/>
      <c r="GHD395" s="455"/>
      <c r="GHE395" s="104"/>
      <c r="GHF395" s="104"/>
      <c r="GHG395" s="109"/>
      <c r="GHH395" s="104"/>
      <c r="GHI395" s="104"/>
      <c r="GHJ395" s="119"/>
      <c r="GHK395" s="104"/>
      <c r="GHL395" s="455"/>
      <c r="GHM395" s="104"/>
      <c r="GHN395" s="104"/>
      <c r="GHO395" s="109"/>
      <c r="GHP395" s="104"/>
      <c r="GHQ395" s="104"/>
      <c r="GHR395" s="119"/>
      <c r="GHS395" s="104"/>
      <c r="GHT395" s="455"/>
      <c r="GHU395" s="104"/>
      <c r="GHV395" s="104"/>
      <c r="GHW395" s="109"/>
      <c r="GHX395" s="104"/>
      <c r="GHY395" s="104"/>
      <c r="GHZ395" s="119"/>
      <c r="GIA395" s="104"/>
      <c r="GIB395" s="455"/>
      <c r="GIC395" s="104"/>
      <c r="GID395" s="104"/>
      <c r="GIE395" s="109"/>
      <c r="GIF395" s="104"/>
      <c r="GIG395" s="104"/>
      <c r="GIH395" s="119"/>
      <c r="GII395" s="104"/>
      <c r="GIJ395" s="455"/>
      <c r="GIK395" s="104"/>
      <c r="GIL395" s="104"/>
      <c r="GIM395" s="109"/>
      <c r="GIN395" s="104"/>
      <c r="GIO395" s="104"/>
      <c r="GIP395" s="119"/>
      <c r="GIQ395" s="104"/>
      <c r="GIR395" s="455"/>
      <c r="GIS395" s="104"/>
      <c r="GIT395" s="104"/>
      <c r="GIU395" s="109"/>
      <c r="GIV395" s="104"/>
      <c r="GIW395" s="104"/>
      <c r="GIX395" s="119"/>
      <c r="GIY395" s="104"/>
      <c r="GIZ395" s="455"/>
      <c r="GJA395" s="104"/>
      <c r="GJB395" s="104"/>
      <c r="GJC395" s="109"/>
      <c r="GJD395" s="104"/>
      <c r="GJE395" s="104"/>
      <c r="GJF395" s="119"/>
      <c r="GJG395" s="104"/>
      <c r="GJH395" s="455"/>
      <c r="GJI395" s="104"/>
      <c r="GJJ395" s="104"/>
      <c r="GJK395" s="109"/>
      <c r="GJL395" s="104"/>
      <c r="GJM395" s="104"/>
      <c r="GJN395" s="119"/>
      <c r="GJO395" s="104"/>
      <c r="GJP395" s="455"/>
      <c r="GJQ395" s="104"/>
      <c r="GJR395" s="104"/>
      <c r="GJS395" s="109"/>
      <c r="GJT395" s="104"/>
      <c r="GJU395" s="104"/>
      <c r="GJV395" s="119"/>
      <c r="GJW395" s="104"/>
      <c r="GJX395" s="455"/>
      <c r="GJY395" s="104"/>
      <c r="GJZ395" s="104"/>
      <c r="GKA395" s="109"/>
      <c r="GKB395" s="104"/>
      <c r="GKC395" s="104"/>
      <c r="GKD395" s="119"/>
      <c r="GKE395" s="104"/>
      <c r="GKF395" s="455"/>
      <c r="GKG395" s="104"/>
      <c r="GKH395" s="104"/>
      <c r="GKI395" s="109"/>
      <c r="GKJ395" s="104"/>
      <c r="GKK395" s="104"/>
      <c r="GKL395" s="119"/>
      <c r="GKM395" s="104"/>
      <c r="GKN395" s="455"/>
      <c r="GKO395" s="104"/>
      <c r="GKP395" s="104"/>
      <c r="GKQ395" s="109"/>
      <c r="GKR395" s="104"/>
      <c r="GKS395" s="104"/>
      <c r="GKT395" s="119"/>
      <c r="GKU395" s="104"/>
      <c r="GKV395" s="455"/>
      <c r="GKW395" s="104"/>
      <c r="GKX395" s="104"/>
      <c r="GKY395" s="109"/>
      <c r="GKZ395" s="104"/>
      <c r="GLA395" s="104"/>
      <c r="GLB395" s="119"/>
      <c r="GLC395" s="104"/>
      <c r="GLD395" s="455"/>
      <c r="GLE395" s="104"/>
      <c r="GLF395" s="104"/>
      <c r="GLG395" s="109"/>
      <c r="GLH395" s="104"/>
      <c r="GLI395" s="104"/>
      <c r="GLJ395" s="119"/>
      <c r="GLK395" s="104"/>
      <c r="GLL395" s="455"/>
      <c r="GLM395" s="104"/>
      <c r="GLN395" s="104"/>
      <c r="GLO395" s="109"/>
      <c r="GLP395" s="104"/>
      <c r="GLQ395" s="104"/>
      <c r="GLR395" s="119"/>
      <c r="GLS395" s="104"/>
      <c r="GLT395" s="455"/>
      <c r="GLU395" s="104"/>
      <c r="GLV395" s="104"/>
      <c r="GLW395" s="109"/>
      <c r="GLX395" s="104"/>
      <c r="GLY395" s="104"/>
      <c r="GLZ395" s="119"/>
      <c r="GMA395" s="104"/>
      <c r="GMB395" s="455"/>
      <c r="GMC395" s="104"/>
      <c r="GMD395" s="104"/>
      <c r="GME395" s="109"/>
      <c r="GMF395" s="104"/>
      <c r="GMG395" s="104"/>
      <c r="GMH395" s="119"/>
      <c r="GMI395" s="104"/>
      <c r="GMJ395" s="455"/>
      <c r="GMK395" s="104"/>
      <c r="GML395" s="104"/>
      <c r="GMM395" s="109"/>
      <c r="GMN395" s="104"/>
      <c r="GMO395" s="104"/>
      <c r="GMP395" s="119"/>
      <c r="GMQ395" s="104"/>
      <c r="GMR395" s="455"/>
      <c r="GMS395" s="104"/>
      <c r="GMT395" s="104"/>
      <c r="GMU395" s="109"/>
      <c r="GMV395" s="104"/>
      <c r="GMW395" s="104"/>
      <c r="GMX395" s="119"/>
      <c r="GMY395" s="104"/>
      <c r="GMZ395" s="455"/>
      <c r="GNA395" s="104"/>
      <c r="GNB395" s="104"/>
      <c r="GNC395" s="109"/>
      <c r="GND395" s="104"/>
      <c r="GNE395" s="104"/>
      <c r="GNF395" s="119"/>
      <c r="GNG395" s="104"/>
      <c r="GNH395" s="455"/>
      <c r="GNI395" s="104"/>
      <c r="GNJ395" s="104"/>
      <c r="GNK395" s="109"/>
      <c r="GNL395" s="104"/>
      <c r="GNM395" s="104"/>
      <c r="GNN395" s="119"/>
      <c r="GNO395" s="104"/>
      <c r="GNP395" s="455"/>
      <c r="GNQ395" s="104"/>
      <c r="GNR395" s="104"/>
      <c r="GNS395" s="109"/>
      <c r="GNT395" s="104"/>
      <c r="GNU395" s="104"/>
      <c r="GNV395" s="119"/>
      <c r="GNW395" s="104"/>
      <c r="GNX395" s="455"/>
      <c r="GNY395" s="104"/>
      <c r="GNZ395" s="104"/>
      <c r="GOA395" s="109"/>
      <c r="GOB395" s="104"/>
      <c r="GOC395" s="104"/>
      <c r="GOD395" s="119"/>
      <c r="GOE395" s="104"/>
      <c r="GOF395" s="455"/>
      <c r="GOG395" s="104"/>
      <c r="GOH395" s="104"/>
      <c r="GOI395" s="109"/>
      <c r="GOJ395" s="104"/>
      <c r="GOK395" s="104"/>
      <c r="GOL395" s="119"/>
      <c r="GOM395" s="104"/>
      <c r="GON395" s="455"/>
      <c r="GOO395" s="104"/>
      <c r="GOP395" s="104"/>
      <c r="GOQ395" s="109"/>
      <c r="GOR395" s="104"/>
      <c r="GOS395" s="104"/>
      <c r="GOT395" s="119"/>
      <c r="GOU395" s="104"/>
      <c r="GOV395" s="455"/>
      <c r="GOW395" s="104"/>
      <c r="GOX395" s="104"/>
      <c r="GOY395" s="109"/>
      <c r="GOZ395" s="104"/>
      <c r="GPA395" s="104"/>
      <c r="GPB395" s="119"/>
      <c r="GPC395" s="104"/>
      <c r="GPD395" s="455"/>
      <c r="GPE395" s="104"/>
      <c r="GPF395" s="104"/>
      <c r="GPG395" s="109"/>
      <c r="GPH395" s="104"/>
      <c r="GPI395" s="104"/>
      <c r="GPJ395" s="119"/>
      <c r="GPK395" s="104"/>
      <c r="GPL395" s="455"/>
      <c r="GPM395" s="104"/>
      <c r="GPN395" s="104"/>
      <c r="GPO395" s="109"/>
      <c r="GPP395" s="104"/>
      <c r="GPQ395" s="104"/>
      <c r="GPR395" s="119"/>
      <c r="GPS395" s="104"/>
      <c r="GPT395" s="455"/>
      <c r="GPU395" s="104"/>
      <c r="GPV395" s="104"/>
      <c r="GPW395" s="109"/>
      <c r="GPX395" s="104"/>
      <c r="GPY395" s="104"/>
      <c r="GPZ395" s="119"/>
      <c r="GQA395" s="104"/>
      <c r="GQB395" s="455"/>
      <c r="GQC395" s="104"/>
      <c r="GQD395" s="104"/>
      <c r="GQE395" s="109"/>
      <c r="GQF395" s="104"/>
      <c r="GQG395" s="104"/>
      <c r="GQH395" s="119"/>
      <c r="GQI395" s="104"/>
      <c r="GQJ395" s="455"/>
      <c r="GQK395" s="104"/>
      <c r="GQL395" s="104"/>
      <c r="GQM395" s="109"/>
      <c r="GQN395" s="104"/>
      <c r="GQO395" s="104"/>
      <c r="GQP395" s="119"/>
      <c r="GQQ395" s="104"/>
      <c r="GQR395" s="455"/>
      <c r="GQS395" s="104"/>
      <c r="GQT395" s="104"/>
      <c r="GQU395" s="109"/>
      <c r="GQV395" s="104"/>
      <c r="GQW395" s="104"/>
      <c r="GQX395" s="119"/>
      <c r="GQY395" s="104"/>
      <c r="GQZ395" s="455"/>
      <c r="GRA395" s="104"/>
      <c r="GRB395" s="104"/>
      <c r="GRC395" s="109"/>
      <c r="GRD395" s="104"/>
      <c r="GRE395" s="104"/>
      <c r="GRF395" s="119"/>
      <c r="GRG395" s="104"/>
      <c r="GRH395" s="455"/>
      <c r="GRI395" s="104"/>
      <c r="GRJ395" s="104"/>
      <c r="GRK395" s="109"/>
      <c r="GRL395" s="104"/>
      <c r="GRM395" s="104"/>
      <c r="GRN395" s="119"/>
      <c r="GRO395" s="104"/>
      <c r="GRP395" s="455"/>
      <c r="GRQ395" s="104"/>
      <c r="GRR395" s="104"/>
      <c r="GRS395" s="109"/>
      <c r="GRT395" s="104"/>
      <c r="GRU395" s="104"/>
      <c r="GRV395" s="119"/>
      <c r="GRW395" s="104"/>
      <c r="GRX395" s="455"/>
      <c r="GRY395" s="104"/>
      <c r="GRZ395" s="104"/>
      <c r="GSA395" s="109"/>
      <c r="GSB395" s="104"/>
      <c r="GSC395" s="104"/>
      <c r="GSD395" s="119"/>
      <c r="GSE395" s="104"/>
      <c r="GSF395" s="455"/>
      <c r="GSG395" s="104"/>
      <c r="GSH395" s="104"/>
      <c r="GSI395" s="109"/>
      <c r="GSJ395" s="104"/>
      <c r="GSK395" s="104"/>
      <c r="GSL395" s="119"/>
      <c r="GSM395" s="104"/>
      <c r="GSN395" s="455"/>
      <c r="GSO395" s="104"/>
      <c r="GSP395" s="104"/>
      <c r="GSQ395" s="109"/>
      <c r="GSR395" s="104"/>
      <c r="GSS395" s="104"/>
      <c r="GST395" s="119"/>
      <c r="GSU395" s="104"/>
      <c r="GSV395" s="455"/>
      <c r="GSW395" s="104"/>
      <c r="GSX395" s="104"/>
      <c r="GSY395" s="109"/>
      <c r="GSZ395" s="104"/>
      <c r="GTA395" s="104"/>
      <c r="GTB395" s="119"/>
      <c r="GTC395" s="104"/>
      <c r="GTD395" s="455"/>
      <c r="GTE395" s="104"/>
      <c r="GTF395" s="104"/>
      <c r="GTG395" s="109"/>
      <c r="GTH395" s="104"/>
      <c r="GTI395" s="104"/>
      <c r="GTJ395" s="119"/>
      <c r="GTK395" s="104"/>
      <c r="GTL395" s="455"/>
      <c r="GTM395" s="104"/>
      <c r="GTN395" s="104"/>
      <c r="GTO395" s="109"/>
      <c r="GTP395" s="104"/>
      <c r="GTQ395" s="104"/>
      <c r="GTR395" s="119"/>
      <c r="GTS395" s="104"/>
      <c r="GTT395" s="455"/>
      <c r="GTU395" s="104"/>
      <c r="GTV395" s="104"/>
      <c r="GTW395" s="109"/>
      <c r="GTX395" s="104"/>
      <c r="GTY395" s="104"/>
      <c r="GTZ395" s="119"/>
      <c r="GUA395" s="104"/>
      <c r="GUB395" s="455"/>
      <c r="GUC395" s="104"/>
      <c r="GUD395" s="104"/>
      <c r="GUE395" s="109"/>
      <c r="GUF395" s="104"/>
      <c r="GUG395" s="104"/>
      <c r="GUH395" s="119"/>
      <c r="GUI395" s="104"/>
      <c r="GUJ395" s="455"/>
      <c r="GUK395" s="104"/>
      <c r="GUL395" s="104"/>
      <c r="GUM395" s="109"/>
      <c r="GUN395" s="104"/>
      <c r="GUO395" s="104"/>
      <c r="GUP395" s="119"/>
      <c r="GUQ395" s="104"/>
      <c r="GUR395" s="455"/>
      <c r="GUS395" s="104"/>
      <c r="GUT395" s="104"/>
      <c r="GUU395" s="109"/>
      <c r="GUV395" s="104"/>
      <c r="GUW395" s="104"/>
      <c r="GUX395" s="119"/>
      <c r="GUY395" s="104"/>
      <c r="GUZ395" s="455"/>
      <c r="GVA395" s="104"/>
      <c r="GVB395" s="104"/>
      <c r="GVC395" s="109"/>
      <c r="GVD395" s="104"/>
      <c r="GVE395" s="104"/>
      <c r="GVF395" s="119"/>
      <c r="GVG395" s="104"/>
      <c r="GVH395" s="455"/>
      <c r="GVI395" s="104"/>
      <c r="GVJ395" s="104"/>
      <c r="GVK395" s="109"/>
      <c r="GVL395" s="104"/>
      <c r="GVM395" s="104"/>
      <c r="GVN395" s="119"/>
      <c r="GVO395" s="104"/>
      <c r="GVP395" s="455"/>
      <c r="GVQ395" s="104"/>
      <c r="GVR395" s="104"/>
      <c r="GVS395" s="109"/>
      <c r="GVT395" s="104"/>
      <c r="GVU395" s="104"/>
      <c r="GVV395" s="119"/>
      <c r="GVW395" s="104"/>
      <c r="GVX395" s="455"/>
      <c r="GVY395" s="104"/>
      <c r="GVZ395" s="104"/>
      <c r="GWA395" s="109"/>
      <c r="GWB395" s="104"/>
      <c r="GWC395" s="104"/>
      <c r="GWD395" s="119"/>
      <c r="GWE395" s="104"/>
      <c r="GWF395" s="455"/>
      <c r="GWG395" s="104"/>
      <c r="GWH395" s="104"/>
      <c r="GWI395" s="109"/>
      <c r="GWJ395" s="104"/>
      <c r="GWK395" s="104"/>
      <c r="GWL395" s="119"/>
      <c r="GWM395" s="104"/>
      <c r="GWN395" s="455"/>
      <c r="GWO395" s="104"/>
      <c r="GWP395" s="104"/>
      <c r="GWQ395" s="109"/>
      <c r="GWR395" s="104"/>
      <c r="GWS395" s="104"/>
      <c r="GWT395" s="119"/>
      <c r="GWU395" s="104"/>
      <c r="GWV395" s="455"/>
      <c r="GWW395" s="104"/>
      <c r="GWX395" s="104"/>
      <c r="GWY395" s="109"/>
      <c r="GWZ395" s="104"/>
      <c r="GXA395" s="104"/>
      <c r="GXB395" s="119"/>
      <c r="GXC395" s="104"/>
      <c r="GXD395" s="455"/>
      <c r="GXE395" s="104"/>
      <c r="GXF395" s="104"/>
      <c r="GXG395" s="109"/>
      <c r="GXH395" s="104"/>
      <c r="GXI395" s="104"/>
      <c r="GXJ395" s="119"/>
      <c r="GXK395" s="104"/>
      <c r="GXL395" s="455"/>
      <c r="GXM395" s="104"/>
      <c r="GXN395" s="104"/>
      <c r="GXO395" s="109"/>
      <c r="GXP395" s="104"/>
      <c r="GXQ395" s="104"/>
      <c r="GXR395" s="119"/>
      <c r="GXS395" s="104"/>
      <c r="GXT395" s="455"/>
      <c r="GXU395" s="104"/>
      <c r="GXV395" s="104"/>
      <c r="GXW395" s="109"/>
      <c r="GXX395" s="104"/>
      <c r="GXY395" s="104"/>
      <c r="GXZ395" s="119"/>
      <c r="GYA395" s="104"/>
      <c r="GYB395" s="455"/>
      <c r="GYC395" s="104"/>
      <c r="GYD395" s="104"/>
      <c r="GYE395" s="109"/>
      <c r="GYF395" s="104"/>
      <c r="GYG395" s="104"/>
      <c r="GYH395" s="119"/>
      <c r="GYI395" s="104"/>
      <c r="GYJ395" s="455"/>
      <c r="GYK395" s="104"/>
      <c r="GYL395" s="104"/>
      <c r="GYM395" s="109"/>
      <c r="GYN395" s="104"/>
      <c r="GYO395" s="104"/>
      <c r="GYP395" s="119"/>
      <c r="GYQ395" s="104"/>
      <c r="GYR395" s="455"/>
      <c r="GYS395" s="104"/>
      <c r="GYT395" s="104"/>
      <c r="GYU395" s="109"/>
      <c r="GYV395" s="104"/>
      <c r="GYW395" s="104"/>
      <c r="GYX395" s="119"/>
      <c r="GYY395" s="104"/>
      <c r="GYZ395" s="455"/>
      <c r="GZA395" s="104"/>
      <c r="GZB395" s="104"/>
      <c r="GZC395" s="109"/>
      <c r="GZD395" s="104"/>
      <c r="GZE395" s="104"/>
      <c r="GZF395" s="119"/>
      <c r="GZG395" s="104"/>
      <c r="GZH395" s="455"/>
      <c r="GZI395" s="104"/>
      <c r="GZJ395" s="104"/>
      <c r="GZK395" s="109"/>
      <c r="GZL395" s="104"/>
      <c r="GZM395" s="104"/>
      <c r="GZN395" s="119"/>
      <c r="GZO395" s="104"/>
      <c r="GZP395" s="455"/>
      <c r="GZQ395" s="104"/>
      <c r="GZR395" s="104"/>
      <c r="GZS395" s="109"/>
      <c r="GZT395" s="104"/>
      <c r="GZU395" s="104"/>
      <c r="GZV395" s="119"/>
      <c r="GZW395" s="104"/>
      <c r="GZX395" s="455"/>
      <c r="GZY395" s="104"/>
      <c r="GZZ395" s="104"/>
      <c r="HAA395" s="109"/>
      <c r="HAB395" s="104"/>
      <c r="HAC395" s="104"/>
      <c r="HAD395" s="119"/>
      <c r="HAE395" s="104"/>
      <c r="HAF395" s="455"/>
      <c r="HAG395" s="104"/>
      <c r="HAH395" s="104"/>
      <c r="HAI395" s="109"/>
      <c r="HAJ395" s="104"/>
      <c r="HAK395" s="104"/>
      <c r="HAL395" s="119"/>
      <c r="HAM395" s="104"/>
      <c r="HAN395" s="455"/>
      <c r="HAO395" s="104"/>
      <c r="HAP395" s="104"/>
      <c r="HAQ395" s="109"/>
      <c r="HAR395" s="104"/>
      <c r="HAS395" s="104"/>
      <c r="HAT395" s="119"/>
      <c r="HAU395" s="104"/>
      <c r="HAV395" s="455"/>
      <c r="HAW395" s="104"/>
      <c r="HAX395" s="104"/>
      <c r="HAY395" s="109"/>
      <c r="HAZ395" s="104"/>
      <c r="HBA395" s="104"/>
      <c r="HBB395" s="119"/>
      <c r="HBC395" s="104"/>
      <c r="HBD395" s="455"/>
      <c r="HBE395" s="104"/>
      <c r="HBF395" s="104"/>
      <c r="HBG395" s="109"/>
      <c r="HBH395" s="104"/>
      <c r="HBI395" s="104"/>
      <c r="HBJ395" s="119"/>
      <c r="HBK395" s="104"/>
      <c r="HBL395" s="455"/>
      <c r="HBM395" s="104"/>
      <c r="HBN395" s="104"/>
      <c r="HBO395" s="109"/>
      <c r="HBP395" s="104"/>
      <c r="HBQ395" s="104"/>
      <c r="HBR395" s="119"/>
      <c r="HBS395" s="104"/>
      <c r="HBT395" s="455"/>
      <c r="HBU395" s="104"/>
      <c r="HBV395" s="104"/>
      <c r="HBW395" s="109"/>
      <c r="HBX395" s="104"/>
      <c r="HBY395" s="104"/>
      <c r="HBZ395" s="119"/>
      <c r="HCA395" s="104"/>
      <c r="HCB395" s="455"/>
      <c r="HCC395" s="104"/>
      <c r="HCD395" s="104"/>
      <c r="HCE395" s="109"/>
      <c r="HCF395" s="104"/>
      <c r="HCG395" s="104"/>
      <c r="HCH395" s="119"/>
      <c r="HCI395" s="104"/>
      <c r="HCJ395" s="455"/>
      <c r="HCK395" s="104"/>
      <c r="HCL395" s="104"/>
      <c r="HCM395" s="109"/>
      <c r="HCN395" s="104"/>
      <c r="HCO395" s="104"/>
      <c r="HCP395" s="119"/>
      <c r="HCQ395" s="104"/>
      <c r="HCR395" s="455"/>
      <c r="HCS395" s="104"/>
      <c r="HCT395" s="104"/>
      <c r="HCU395" s="109"/>
      <c r="HCV395" s="104"/>
      <c r="HCW395" s="104"/>
      <c r="HCX395" s="119"/>
      <c r="HCY395" s="104"/>
      <c r="HCZ395" s="455"/>
      <c r="HDA395" s="104"/>
      <c r="HDB395" s="104"/>
      <c r="HDC395" s="109"/>
      <c r="HDD395" s="104"/>
      <c r="HDE395" s="104"/>
      <c r="HDF395" s="119"/>
      <c r="HDG395" s="104"/>
      <c r="HDH395" s="455"/>
      <c r="HDI395" s="104"/>
      <c r="HDJ395" s="104"/>
      <c r="HDK395" s="109"/>
      <c r="HDL395" s="104"/>
      <c r="HDM395" s="104"/>
      <c r="HDN395" s="119"/>
      <c r="HDO395" s="104"/>
      <c r="HDP395" s="455"/>
      <c r="HDQ395" s="104"/>
      <c r="HDR395" s="104"/>
      <c r="HDS395" s="109"/>
      <c r="HDT395" s="104"/>
      <c r="HDU395" s="104"/>
      <c r="HDV395" s="119"/>
      <c r="HDW395" s="104"/>
      <c r="HDX395" s="455"/>
      <c r="HDY395" s="104"/>
      <c r="HDZ395" s="104"/>
      <c r="HEA395" s="109"/>
      <c r="HEB395" s="104"/>
      <c r="HEC395" s="104"/>
      <c r="HED395" s="119"/>
      <c r="HEE395" s="104"/>
      <c r="HEF395" s="455"/>
      <c r="HEG395" s="104"/>
      <c r="HEH395" s="104"/>
      <c r="HEI395" s="109"/>
      <c r="HEJ395" s="104"/>
      <c r="HEK395" s="104"/>
      <c r="HEL395" s="119"/>
      <c r="HEM395" s="104"/>
      <c r="HEN395" s="455"/>
      <c r="HEO395" s="104"/>
      <c r="HEP395" s="104"/>
      <c r="HEQ395" s="109"/>
      <c r="HER395" s="104"/>
      <c r="HES395" s="104"/>
      <c r="HET395" s="119"/>
      <c r="HEU395" s="104"/>
      <c r="HEV395" s="455"/>
      <c r="HEW395" s="104"/>
      <c r="HEX395" s="104"/>
      <c r="HEY395" s="109"/>
      <c r="HEZ395" s="104"/>
      <c r="HFA395" s="104"/>
      <c r="HFB395" s="119"/>
      <c r="HFC395" s="104"/>
      <c r="HFD395" s="455"/>
      <c r="HFE395" s="104"/>
      <c r="HFF395" s="104"/>
      <c r="HFG395" s="109"/>
      <c r="HFH395" s="104"/>
      <c r="HFI395" s="104"/>
      <c r="HFJ395" s="119"/>
      <c r="HFK395" s="104"/>
      <c r="HFL395" s="455"/>
      <c r="HFM395" s="104"/>
      <c r="HFN395" s="104"/>
      <c r="HFO395" s="109"/>
      <c r="HFP395" s="104"/>
      <c r="HFQ395" s="104"/>
      <c r="HFR395" s="119"/>
      <c r="HFS395" s="104"/>
      <c r="HFT395" s="455"/>
      <c r="HFU395" s="104"/>
      <c r="HFV395" s="104"/>
      <c r="HFW395" s="109"/>
      <c r="HFX395" s="104"/>
      <c r="HFY395" s="104"/>
      <c r="HFZ395" s="119"/>
      <c r="HGA395" s="104"/>
      <c r="HGB395" s="455"/>
      <c r="HGC395" s="104"/>
      <c r="HGD395" s="104"/>
      <c r="HGE395" s="109"/>
      <c r="HGF395" s="104"/>
      <c r="HGG395" s="104"/>
      <c r="HGH395" s="119"/>
      <c r="HGI395" s="104"/>
      <c r="HGJ395" s="455"/>
      <c r="HGK395" s="104"/>
      <c r="HGL395" s="104"/>
      <c r="HGM395" s="109"/>
      <c r="HGN395" s="104"/>
      <c r="HGO395" s="104"/>
      <c r="HGP395" s="119"/>
      <c r="HGQ395" s="104"/>
      <c r="HGR395" s="455"/>
      <c r="HGS395" s="104"/>
      <c r="HGT395" s="104"/>
      <c r="HGU395" s="109"/>
      <c r="HGV395" s="104"/>
      <c r="HGW395" s="104"/>
      <c r="HGX395" s="119"/>
      <c r="HGY395" s="104"/>
      <c r="HGZ395" s="455"/>
      <c r="HHA395" s="104"/>
      <c r="HHB395" s="104"/>
      <c r="HHC395" s="109"/>
      <c r="HHD395" s="104"/>
      <c r="HHE395" s="104"/>
      <c r="HHF395" s="119"/>
      <c r="HHG395" s="104"/>
      <c r="HHH395" s="455"/>
      <c r="HHI395" s="104"/>
      <c r="HHJ395" s="104"/>
      <c r="HHK395" s="109"/>
      <c r="HHL395" s="104"/>
      <c r="HHM395" s="104"/>
      <c r="HHN395" s="119"/>
      <c r="HHO395" s="104"/>
      <c r="HHP395" s="455"/>
      <c r="HHQ395" s="104"/>
      <c r="HHR395" s="104"/>
      <c r="HHS395" s="109"/>
      <c r="HHT395" s="104"/>
      <c r="HHU395" s="104"/>
      <c r="HHV395" s="119"/>
      <c r="HHW395" s="104"/>
      <c r="HHX395" s="455"/>
      <c r="HHY395" s="104"/>
      <c r="HHZ395" s="104"/>
      <c r="HIA395" s="109"/>
      <c r="HIB395" s="104"/>
      <c r="HIC395" s="104"/>
      <c r="HID395" s="119"/>
      <c r="HIE395" s="104"/>
      <c r="HIF395" s="455"/>
      <c r="HIG395" s="104"/>
      <c r="HIH395" s="104"/>
      <c r="HII395" s="109"/>
      <c r="HIJ395" s="104"/>
      <c r="HIK395" s="104"/>
      <c r="HIL395" s="119"/>
      <c r="HIM395" s="104"/>
      <c r="HIN395" s="455"/>
      <c r="HIO395" s="104"/>
      <c r="HIP395" s="104"/>
      <c r="HIQ395" s="109"/>
      <c r="HIR395" s="104"/>
      <c r="HIS395" s="104"/>
      <c r="HIT395" s="119"/>
      <c r="HIU395" s="104"/>
      <c r="HIV395" s="455"/>
      <c r="HIW395" s="104"/>
      <c r="HIX395" s="104"/>
      <c r="HIY395" s="109"/>
      <c r="HIZ395" s="104"/>
      <c r="HJA395" s="104"/>
      <c r="HJB395" s="119"/>
      <c r="HJC395" s="104"/>
      <c r="HJD395" s="455"/>
      <c r="HJE395" s="104"/>
      <c r="HJF395" s="104"/>
      <c r="HJG395" s="109"/>
      <c r="HJH395" s="104"/>
      <c r="HJI395" s="104"/>
      <c r="HJJ395" s="119"/>
      <c r="HJK395" s="104"/>
      <c r="HJL395" s="455"/>
      <c r="HJM395" s="104"/>
      <c r="HJN395" s="104"/>
      <c r="HJO395" s="109"/>
      <c r="HJP395" s="104"/>
      <c r="HJQ395" s="104"/>
      <c r="HJR395" s="119"/>
      <c r="HJS395" s="104"/>
      <c r="HJT395" s="455"/>
      <c r="HJU395" s="104"/>
      <c r="HJV395" s="104"/>
      <c r="HJW395" s="109"/>
      <c r="HJX395" s="104"/>
      <c r="HJY395" s="104"/>
      <c r="HJZ395" s="119"/>
      <c r="HKA395" s="104"/>
      <c r="HKB395" s="455"/>
      <c r="HKC395" s="104"/>
      <c r="HKD395" s="104"/>
      <c r="HKE395" s="109"/>
      <c r="HKF395" s="104"/>
      <c r="HKG395" s="104"/>
      <c r="HKH395" s="119"/>
      <c r="HKI395" s="104"/>
      <c r="HKJ395" s="455"/>
      <c r="HKK395" s="104"/>
      <c r="HKL395" s="104"/>
      <c r="HKM395" s="109"/>
      <c r="HKN395" s="104"/>
      <c r="HKO395" s="104"/>
      <c r="HKP395" s="119"/>
      <c r="HKQ395" s="104"/>
      <c r="HKR395" s="455"/>
      <c r="HKS395" s="104"/>
      <c r="HKT395" s="104"/>
      <c r="HKU395" s="109"/>
      <c r="HKV395" s="104"/>
      <c r="HKW395" s="104"/>
      <c r="HKX395" s="119"/>
      <c r="HKY395" s="104"/>
      <c r="HKZ395" s="455"/>
      <c r="HLA395" s="104"/>
      <c r="HLB395" s="104"/>
      <c r="HLC395" s="109"/>
      <c r="HLD395" s="104"/>
      <c r="HLE395" s="104"/>
      <c r="HLF395" s="119"/>
      <c r="HLG395" s="104"/>
      <c r="HLH395" s="455"/>
      <c r="HLI395" s="104"/>
      <c r="HLJ395" s="104"/>
      <c r="HLK395" s="109"/>
      <c r="HLL395" s="104"/>
      <c r="HLM395" s="104"/>
      <c r="HLN395" s="119"/>
      <c r="HLO395" s="104"/>
      <c r="HLP395" s="455"/>
      <c r="HLQ395" s="104"/>
      <c r="HLR395" s="104"/>
      <c r="HLS395" s="109"/>
      <c r="HLT395" s="104"/>
      <c r="HLU395" s="104"/>
      <c r="HLV395" s="119"/>
      <c r="HLW395" s="104"/>
      <c r="HLX395" s="455"/>
      <c r="HLY395" s="104"/>
      <c r="HLZ395" s="104"/>
      <c r="HMA395" s="109"/>
      <c r="HMB395" s="104"/>
      <c r="HMC395" s="104"/>
      <c r="HMD395" s="119"/>
      <c r="HME395" s="104"/>
      <c r="HMF395" s="455"/>
      <c r="HMG395" s="104"/>
      <c r="HMH395" s="104"/>
      <c r="HMI395" s="109"/>
      <c r="HMJ395" s="104"/>
      <c r="HMK395" s="104"/>
      <c r="HML395" s="119"/>
      <c r="HMM395" s="104"/>
      <c r="HMN395" s="455"/>
      <c r="HMO395" s="104"/>
      <c r="HMP395" s="104"/>
      <c r="HMQ395" s="109"/>
      <c r="HMR395" s="104"/>
      <c r="HMS395" s="104"/>
      <c r="HMT395" s="119"/>
      <c r="HMU395" s="104"/>
      <c r="HMV395" s="455"/>
      <c r="HMW395" s="104"/>
      <c r="HMX395" s="104"/>
      <c r="HMY395" s="109"/>
      <c r="HMZ395" s="104"/>
      <c r="HNA395" s="104"/>
      <c r="HNB395" s="119"/>
      <c r="HNC395" s="104"/>
      <c r="HND395" s="455"/>
      <c r="HNE395" s="104"/>
      <c r="HNF395" s="104"/>
      <c r="HNG395" s="109"/>
      <c r="HNH395" s="104"/>
      <c r="HNI395" s="104"/>
      <c r="HNJ395" s="119"/>
      <c r="HNK395" s="104"/>
      <c r="HNL395" s="455"/>
      <c r="HNM395" s="104"/>
      <c r="HNN395" s="104"/>
      <c r="HNO395" s="109"/>
      <c r="HNP395" s="104"/>
      <c r="HNQ395" s="104"/>
      <c r="HNR395" s="119"/>
      <c r="HNS395" s="104"/>
      <c r="HNT395" s="455"/>
      <c r="HNU395" s="104"/>
      <c r="HNV395" s="104"/>
      <c r="HNW395" s="109"/>
      <c r="HNX395" s="104"/>
      <c r="HNY395" s="104"/>
      <c r="HNZ395" s="119"/>
      <c r="HOA395" s="104"/>
      <c r="HOB395" s="455"/>
      <c r="HOC395" s="104"/>
      <c r="HOD395" s="104"/>
      <c r="HOE395" s="109"/>
      <c r="HOF395" s="104"/>
      <c r="HOG395" s="104"/>
      <c r="HOH395" s="119"/>
      <c r="HOI395" s="104"/>
      <c r="HOJ395" s="455"/>
      <c r="HOK395" s="104"/>
      <c r="HOL395" s="104"/>
      <c r="HOM395" s="109"/>
      <c r="HON395" s="104"/>
      <c r="HOO395" s="104"/>
      <c r="HOP395" s="119"/>
      <c r="HOQ395" s="104"/>
      <c r="HOR395" s="455"/>
      <c r="HOS395" s="104"/>
      <c r="HOT395" s="104"/>
      <c r="HOU395" s="109"/>
      <c r="HOV395" s="104"/>
      <c r="HOW395" s="104"/>
      <c r="HOX395" s="119"/>
      <c r="HOY395" s="104"/>
      <c r="HOZ395" s="455"/>
      <c r="HPA395" s="104"/>
      <c r="HPB395" s="104"/>
      <c r="HPC395" s="109"/>
      <c r="HPD395" s="104"/>
      <c r="HPE395" s="104"/>
      <c r="HPF395" s="119"/>
      <c r="HPG395" s="104"/>
      <c r="HPH395" s="455"/>
      <c r="HPI395" s="104"/>
      <c r="HPJ395" s="104"/>
      <c r="HPK395" s="109"/>
      <c r="HPL395" s="104"/>
      <c r="HPM395" s="104"/>
      <c r="HPN395" s="119"/>
      <c r="HPO395" s="104"/>
      <c r="HPP395" s="455"/>
      <c r="HPQ395" s="104"/>
      <c r="HPR395" s="104"/>
      <c r="HPS395" s="109"/>
      <c r="HPT395" s="104"/>
      <c r="HPU395" s="104"/>
      <c r="HPV395" s="119"/>
      <c r="HPW395" s="104"/>
      <c r="HPX395" s="455"/>
      <c r="HPY395" s="104"/>
      <c r="HPZ395" s="104"/>
      <c r="HQA395" s="109"/>
      <c r="HQB395" s="104"/>
      <c r="HQC395" s="104"/>
      <c r="HQD395" s="119"/>
      <c r="HQE395" s="104"/>
      <c r="HQF395" s="455"/>
      <c r="HQG395" s="104"/>
      <c r="HQH395" s="104"/>
      <c r="HQI395" s="109"/>
      <c r="HQJ395" s="104"/>
      <c r="HQK395" s="104"/>
      <c r="HQL395" s="119"/>
      <c r="HQM395" s="104"/>
      <c r="HQN395" s="455"/>
      <c r="HQO395" s="104"/>
      <c r="HQP395" s="104"/>
      <c r="HQQ395" s="109"/>
      <c r="HQR395" s="104"/>
      <c r="HQS395" s="104"/>
      <c r="HQT395" s="119"/>
      <c r="HQU395" s="104"/>
      <c r="HQV395" s="455"/>
      <c r="HQW395" s="104"/>
      <c r="HQX395" s="104"/>
      <c r="HQY395" s="109"/>
      <c r="HQZ395" s="104"/>
      <c r="HRA395" s="104"/>
      <c r="HRB395" s="119"/>
      <c r="HRC395" s="104"/>
      <c r="HRD395" s="455"/>
      <c r="HRE395" s="104"/>
      <c r="HRF395" s="104"/>
      <c r="HRG395" s="109"/>
      <c r="HRH395" s="104"/>
      <c r="HRI395" s="104"/>
      <c r="HRJ395" s="119"/>
      <c r="HRK395" s="104"/>
      <c r="HRL395" s="455"/>
      <c r="HRM395" s="104"/>
      <c r="HRN395" s="104"/>
      <c r="HRO395" s="109"/>
      <c r="HRP395" s="104"/>
      <c r="HRQ395" s="104"/>
      <c r="HRR395" s="119"/>
      <c r="HRS395" s="104"/>
      <c r="HRT395" s="455"/>
      <c r="HRU395" s="104"/>
      <c r="HRV395" s="104"/>
      <c r="HRW395" s="109"/>
      <c r="HRX395" s="104"/>
      <c r="HRY395" s="104"/>
      <c r="HRZ395" s="119"/>
      <c r="HSA395" s="104"/>
      <c r="HSB395" s="455"/>
      <c r="HSC395" s="104"/>
      <c r="HSD395" s="104"/>
      <c r="HSE395" s="109"/>
      <c r="HSF395" s="104"/>
      <c r="HSG395" s="104"/>
      <c r="HSH395" s="119"/>
      <c r="HSI395" s="104"/>
      <c r="HSJ395" s="455"/>
      <c r="HSK395" s="104"/>
      <c r="HSL395" s="104"/>
      <c r="HSM395" s="109"/>
      <c r="HSN395" s="104"/>
      <c r="HSO395" s="104"/>
      <c r="HSP395" s="119"/>
      <c r="HSQ395" s="104"/>
      <c r="HSR395" s="455"/>
      <c r="HSS395" s="104"/>
      <c r="HST395" s="104"/>
      <c r="HSU395" s="109"/>
      <c r="HSV395" s="104"/>
      <c r="HSW395" s="104"/>
      <c r="HSX395" s="119"/>
      <c r="HSY395" s="104"/>
      <c r="HSZ395" s="455"/>
      <c r="HTA395" s="104"/>
      <c r="HTB395" s="104"/>
      <c r="HTC395" s="109"/>
      <c r="HTD395" s="104"/>
      <c r="HTE395" s="104"/>
      <c r="HTF395" s="119"/>
      <c r="HTG395" s="104"/>
      <c r="HTH395" s="455"/>
      <c r="HTI395" s="104"/>
      <c r="HTJ395" s="104"/>
      <c r="HTK395" s="109"/>
      <c r="HTL395" s="104"/>
      <c r="HTM395" s="104"/>
      <c r="HTN395" s="119"/>
      <c r="HTO395" s="104"/>
      <c r="HTP395" s="455"/>
      <c r="HTQ395" s="104"/>
      <c r="HTR395" s="104"/>
      <c r="HTS395" s="109"/>
      <c r="HTT395" s="104"/>
      <c r="HTU395" s="104"/>
      <c r="HTV395" s="119"/>
      <c r="HTW395" s="104"/>
      <c r="HTX395" s="455"/>
      <c r="HTY395" s="104"/>
      <c r="HTZ395" s="104"/>
      <c r="HUA395" s="109"/>
      <c r="HUB395" s="104"/>
      <c r="HUC395" s="104"/>
      <c r="HUD395" s="119"/>
      <c r="HUE395" s="104"/>
      <c r="HUF395" s="455"/>
      <c r="HUG395" s="104"/>
      <c r="HUH395" s="104"/>
      <c r="HUI395" s="109"/>
      <c r="HUJ395" s="104"/>
      <c r="HUK395" s="104"/>
      <c r="HUL395" s="119"/>
      <c r="HUM395" s="104"/>
      <c r="HUN395" s="455"/>
      <c r="HUO395" s="104"/>
      <c r="HUP395" s="104"/>
      <c r="HUQ395" s="109"/>
      <c r="HUR395" s="104"/>
      <c r="HUS395" s="104"/>
      <c r="HUT395" s="119"/>
      <c r="HUU395" s="104"/>
      <c r="HUV395" s="455"/>
      <c r="HUW395" s="104"/>
      <c r="HUX395" s="104"/>
      <c r="HUY395" s="109"/>
      <c r="HUZ395" s="104"/>
      <c r="HVA395" s="104"/>
      <c r="HVB395" s="119"/>
      <c r="HVC395" s="104"/>
      <c r="HVD395" s="455"/>
      <c r="HVE395" s="104"/>
      <c r="HVF395" s="104"/>
      <c r="HVG395" s="109"/>
      <c r="HVH395" s="104"/>
      <c r="HVI395" s="104"/>
      <c r="HVJ395" s="119"/>
      <c r="HVK395" s="104"/>
      <c r="HVL395" s="455"/>
      <c r="HVM395" s="104"/>
      <c r="HVN395" s="104"/>
      <c r="HVO395" s="109"/>
      <c r="HVP395" s="104"/>
      <c r="HVQ395" s="104"/>
      <c r="HVR395" s="119"/>
      <c r="HVS395" s="104"/>
      <c r="HVT395" s="455"/>
      <c r="HVU395" s="104"/>
      <c r="HVV395" s="104"/>
      <c r="HVW395" s="109"/>
      <c r="HVX395" s="104"/>
      <c r="HVY395" s="104"/>
      <c r="HVZ395" s="119"/>
      <c r="HWA395" s="104"/>
      <c r="HWB395" s="455"/>
      <c r="HWC395" s="104"/>
      <c r="HWD395" s="104"/>
      <c r="HWE395" s="109"/>
      <c r="HWF395" s="104"/>
      <c r="HWG395" s="104"/>
      <c r="HWH395" s="119"/>
      <c r="HWI395" s="104"/>
      <c r="HWJ395" s="455"/>
      <c r="HWK395" s="104"/>
      <c r="HWL395" s="104"/>
      <c r="HWM395" s="109"/>
      <c r="HWN395" s="104"/>
      <c r="HWO395" s="104"/>
      <c r="HWP395" s="119"/>
      <c r="HWQ395" s="104"/>
      <c r="HWR395" s="455"/>
      <c r="HWS395" s="104"/>
      <c r="HWT395" s="104"/>
      <c r="HWU395" s="109"/>
      <c r="HWV395" s="104"/>
      <c r="HWW395" s="104"/>
      <c r="HWX395" s="119"/>
      <c r="HWY395" s="104"/>
      <c r="HWZ395" s="455"/>
      <c r="HXA395" s="104"/>
      <c r="HXB395" s="104"/>
      <c r="HXC395" s="109"/>
      <c r="HXD395" s="104"/>
      <c r="HXE395" s="104"/>
      <c r="HXF395" s="119"/>
      <c r="HXG395" s="104"/>
      <c r="HXH395" s="455"/>
      <c r="HXI395" s="104"/>
      <c r="HXJ395" s="104"/>
      <c r="HXK395" s="109"/>
      <c r="HXL395" s="104"/>
      <c r="HXM395" s="104"/>
      <c r="HXN395" s="119"/>
      <c r="HXO395" s="104"/>
      <c r="HXP395" s="455"/>
      <c r="HXQ395" s="104"/>
      <c r="HXR395" s="104"/>
      <c r="HXS395" s="109"/>
      <c r="HXT395" s="104"/>
      <c r="HXU395" s="104"/>
      <c r="HXV395" s="119"/>
      <c r="HXW395" s="104"/>
      <c r="HXX395" s="455"/>
      <c r="HXY395" s="104"/>
      <c r="HXZ395" s="104"/>
      <c r="HYA395" s="109"/>
      <c r="HYB395" s="104"/>
      <c r="HYC395" s="104"/>
      <c r="HYD395" s="119"/>
      <c r="HYE395" s="104"/>
      <c r="HYF395" s="455"/>
      <c r="HYG395" s="104"/>
      <c r="HYH395" s="104"/>
      <c r="HYI395" s="109"/>
      <c r="HYJ395" s="104"/>
      <c r="HYK395" s="104"/>
      <c r="HYL395" s="119"/>
      <c r="HYM395" s="104"/>
      <c r="HYN395" s="455"/>
      <c r="HYO395" s="104"/>
      <c r="HYP395" s="104"/>
      <c r="HYQ395" s="109"/>
      <c r="HYR395" s="104"/>
      <c r="HYS395" s="104"/>
      <c r="HYT395" s="119"/>
      <c r="HYU395" s="104"/>
      <c r="HYV395" s="455"/>
      <c r="HYW395" s="104"/>
      <c r="HYX395" s="104"/>
      <c r="HYY395" s="109"/>
      <c r="HYZ395" s="104"/>
      <c r="HZA395" s="104"/>
      <c r="HZB395" s="119"/>
      <c r="HZC395" s="104"/>
      <c r="HZD395" s="455"/>
      <c r="HZE395" s="104"/>
      <c r="HZF395" s="104"/>
      <c r="HZG395" s="109"/>
      <c r="HZH395" s="104"/>
      <c r="HZI395" s="104"/>
      <c r="HZJ395" s="119"/>
      <c r="HZK395" s="104"/>
      <c r="HZL395" s="455"/>
      <c r="HZM395" s="104"/>
      <c r="HZN395" s="104"/>
      <c r="HZO395" s="109"/>
      <c r="HZP395" s="104"/>
      <c r="HZQ395" s="104"/>
      <c r="HZR395" s="119"/>
      <c r="HZS395" s="104"/>
      <c r="HZT395" s="455"/>
      <c r="HZU395" s="104"/>
      <c r="HZV395" s="104"/>
      <c r="HZW395" s="109"/>
      <c r="HZX395" s="104"/>
      <c r="HZY395" s="104"/>
      <c r="HZZ395" s="119"/>
      <c r="IAA395" s="104"/>
      <c r="IAB395" s="455"/>
      <c r="IAC395" s="104"/>
      <c r="IAD395" s="104"/>
      <c r="IAE395" s="109"/>
      <c r="IAF395" s="104"/>
      <c r="IAG395" s="104"/>
      <c r="IAH395" s="119"/>
      <c r="IAI395" s="104"/>
      <c r="IAJ395" s="455"/>
      <c r="IAK395" s="104"/>
      <c r="IAL395" s="104"/>
      <c r="IAM395" s="109"/>
      <c r="IAN395" s="104"/>
      <c r="IAO395" s="104"/>
      <c r="IAP395" s="119"/>
      <c r="IAQ395" s="104"/>
      <c r="IAR395" s="455"/>
      <c r="IAS395" s="104"/>
      <c r="IAT395" s="104"/>
      <c r="IAU395" s="109"/>
      <c r="IAV395" s="104"/>
      <c r="IAW395" s="104"/>
      <c r="IAX395" s="119"/>
      <c r="IAY395" s="104"/>
      <c r="IAZ395" s="455"/>
      <c r="IBA395" s="104"/>
      <c r="IBB395" s="104"/>
      <c r="IBC395" s="109"/>
      <c r="IBD395" s="104"/>
      <c r="IBE395" s="104"/>
      <c r="IBF395" s="119"/>
      <c r="IBG395" s="104"/>
      <c r="IBH395" s="455"/>
      <c r="IBI395" s="104"/>
      <c r="IBJ395" s="104"/>
      <c r="IBK395" s="109"/>
      <c r="IBL395" s="104"/>
      <c r="IBM395" s="104"/>
      <c r="IBN395" s="119"/>
      <c r="IBO395" s="104"/>
      <c r="IBP395" s="455"/>
      <c r="IBQ395" s="104"/>
      <c r="IBR395" s="104"/>
      <c r="IBS395" s="109"/>
      <c r="IBT395" s="104"/>
      <c r="IBU395" s="104"/>
      <c r="IBV395" s="119"/>
      <c r="IBW395" s="104"/>
      <c r="IBX395" s="455"/>
      <c r="IBY395" s="104"/>
      <c r="IBZ395" s="104"/>
      <c r="ICA395" s="109"/>
      <c r="ICB395" s="104"/>
      <c r="ICC395" s="104"/>
      <c r="ICD395" s="119"/>
      <c r="ICE395" s="104"/>
      <c r="ICF395" s="455"/>
      <c r="ICG395" s="104"/>
      <c r="ICH395" s="104"/>
      <c r="ICI395" s="109"/>
      <c r="ICJ395" s="104"/>
      <c r="ICK395" s="104"/>
      <c r="ICL395" s="119"/>
      <c r="ICM395" s="104"/>
      <c r="ICN395" s="455"/>
      <c r="ICO395" s="104"/>
      <c r="ICP395" s="104"/>
      <c r="ICQ395" s="109"/>
      <c r="ICR395" s="104"/>
      <c r="ICS395" s="104"/>
      <c r="ICT395" s="119"/>
      <c r="ICU395" s="104"/>
      <c r="ICV395" s="455"/>
      <c r="ICW395" s="104"/>
      <c r="ICX395" s="104"/>
      <c r="ICY395" s="109"/>
      <c r="ICZ395" s="104"/>
      <c r="IDA395" s="104"/>
      <c r="IDB395" s="119"/>
      <c r="IDC395" s="104"/>
      <c r="IDD395" s="455"/>
      <c r="IDE395" s="104"/>
      <c r="IDF395" s="104"/>
      <c r="IDG395" s="109"/>
      <c r="IDH395" s="104"/>
      <c r="IDI395" s="104"/>
      <c r="IDJ395" s="119"/>
      <c r="IDK395" s="104"/>
      <c r="IDL395" s="455"/>
      <c r="IDM395" s="104"/>
      <c r="IDN395" s="104"/>
      <c r="IDO395" s="109"/>
      <c r="IDP395" s="104"/>
      <c r="IDQ395" s="104"/>
      <c r="IDR395" s="119"/>
      <c r="IDS395" s="104"/>
      <c r="IDT395" s="455"/>
      <c r="IDU395" s="104"/>
      <c r="IDV395" s="104"/>
      <c r="IDW395" s="109"/>
      <c r="IDX395" s="104"/>
      <c r="IDY395" s="104"/>
      <c r="IDZ395" s="119"/>
      <c r="IEA395" s="104"/>
      <c r="IEB395" s="455"/>
      <c r="IEC395" s="104"/>
      <c r="IED395" s="104"/>
      <c r="IEE395" s="109"/>
      <c r="IEF395" s="104"/>
      <c r="IEG395" s="104"/>
      <c r="IEH395" s="119"/>
      <c r="IEI395" s="104"/>
      <c r="IEJ395" s="455"/>
      <c r="IEK395" s="104"/>
      <c r="IEL395" s="104"/>
      <c r="IEM395" s="109"/>
      <c r="IEN395" s="104"/>
      <c r="IEO395" s="104"/>
      <c r="IEP395" s="119"/>
      <c r="IEQ395" s="104"/>
      <c r="IER395" s="455"/>
      <c r="IES395" s="104"/>
      <c r="IET395" s="104"/>
      <c r="IEU395" s="109"/>
      <c r="IEV395" s="104"/>
      <c r="IEW395" s="104"/>
      <c r="IEX395" s="119"/>
      <c r="IEY395" s="104"/>
      <c r="IEZ395" s="455"/>
      <c r="IFA395" s="104"/>
      <c r="IFB395" s="104"/>
      <c r="IFC395" s="109"/>
      <c r="IFD395" s="104"/>
      <c r="IFE395" s="104"/>
      <c r="IFF395" s="119"/>
      <c r="IFG395" s="104"/>
      <c r="IFH395" s="455"/>
      <c r="IFI395" s="104"/>
      <c r="IFJ395" s="104"/>
      <c r="IFK395" s="109"/>
      <c r="IFL395" s="104"/>
      <c r="IFM395" s="104"/>
      <c r="IFN395" s="119"/>
      <c r="IFO395" s="104"/>
      <c r="IFP395" s="455"/>
      <c r="IFQ395" s="104"/>
      <c r="IFR395" s="104"/>
      <c r="IFS395" s="109"/>
      <c r="IFT395" s="104"/>
      <c r="IFU395" s="104"/>
      <c r="IFV395" s="119"/>
      <c r="IFW395" s="104"/>
      <c r="IFX395" s="455"/>
      <c r="IFY395" s="104"/>
      <c r="IFZ395" s="104"/>
      <c r="IGA395" s="109"/>
      <c r="IGB395" s="104"/>
      <c r="IGC395" s="104"/>
      <c r="IGD395" s="119"/>
      <c r="IGE395" s="104"/>
      <c r="IGF395" s="455"/>
      <c r="IGG395" s="104"/>
      <c r="IGH395" s="104"/>
      <c r="IGI395" s="109"/>
      <c r="IGJ395" s="104"/>
      <c r="IGK395" s="104"/>
      <c r="IGL395" s="119"/>
      <c r="IGM395" s="104"/>
      <c r="IGN395" s="455"/>
      <c r="IGO395" s="104"/>
      <c r="IGP395" s="104"/>
      <c r="IGQ395" s="109"/>
      <c r="IGR395" s="104"/>
      <c r="IGS395" s="104"/>
      <c r="IGT395" s="119"/>
      <c r="IGU395" s="104"/>
      <c r="IGV395" s="455"/>
      <c r="IGW395" s="104"/>
      <c r="IGX395" s="104"/>
      <c r="IGY395" s="109"/>
      <c r="IGZ395" s="104"/>
      <c r="IHA395" s="104"/>
      <c r="IHB395" s="119"/>
      <c r="IHC395" s="104"/>
      <c r="IHD395" s="455"/>
      <c r="IHE395" s="104"/>
      <c r="IHF395" s="104"/>
      <c r="IHG395" s="109"/>
      <c r="IHH395" s="104"/>
      <c r="IHI395" s="104"/>
      <c r="IHJ395" s="119"/>
      <c r="IHK395" s="104"/>
      <c r="IHL395" s="455"/>
      <c r="IHM395" s="104"/>
      <c r="IHN395" s="104"/>
      <c r="IHO395" s="109"/>
      <c r="IHP395" s="104"/>
      <c r="IHQ395" s="104"/>
      <c r="IHR395" s="119"/>
      <c r="IHS395" s="104"/>
      <c r="IHT395" s="455"/>
      <c r="IHU395" s="104"/>
      <c r="IHV395" s="104"/>
      <c r="IHW395" s="109"/>
      <c r="IHX395" s="104"/>
      <c r="IHY395" s="104"/>
      <c r="IHZ395" s="119"/>
      <c r="IIA395" s="104"/>
      <c r="IIB395" s="455"/>
      <c r="IIC395" s="104"/>
      <c r="IID395" s="104"/>
      <c r="IIE395" s="109"/>
      <c r="IIF395" s="104"/>
      <c r="IIG395" s="104"/>
      <c r="IIH395" s="119"/>
      <c r="III395" s="104"/>
      <c r="IIJ395" s="455"/>
      <c r="IIK395" s="104"/>
      <c r="IIL395" s="104"/>
      <c r="IIM395" s="109"/>
      <c r="IIN395" s="104"/>
      <c r="IIO395" s="104"/>
      <c r="IIP395" s="119"/>
      <c r="IIQ395" s="104"/>
      <c r="IIR395" s="455"/>
      <c r="IIS395" s="104"/>
      <c r="IIT395" s="104"/>
      <c r="IIU395" s="109"/>
      <c r="IIV395" s="104"/>
      <c r="IIW395" s="104"/>
      <c r="IIX395" s="119"/>
      <c r="IIY395" s="104"/>
      <c r="IIZ395" s="455"/>
      <c r="IJA395" s="104"/>
      <c r="IJB395" s="104"/>
      <c r="IJC395" s="109"/>
      <c r="IJD395" s="104"/>
      <c r="IJE395" s="104"/>
      <c r="IJF395" s="119"/>
      <c r="IJG395" s="104"/>
      <c r="IJH395" s="455"/>
      <c r="IJI395" s="104"/>
      <c r="IJJ395" s="104"/>
      <c r="IJK395" s="109"/>
      <c r="IJL395" s="104"/>
      <c r="IJM395" s="104"/>
      <c r="IJN395" s="119"/>
      <c r="IJO395" s="104"/>
      <c r="IJP395" s="455"/>
      <c r="IJQ395" s="104"/>
      <c r="IJR395" s="104"/>
      <c r="IJS395" s="109"/>
      <c r="IJT395" s="104"/>
      <c r="IJU395" s="104"/>
      <c r="IJV395" s="119"/>
      <c r="IJW395" s="104"/>
      <c r="IJX395" s="455"/>
      <c r="IJY395" s="104"/>
      <c r="IJZ395" s="104"/>
      <c r="IKA395" s="109"/>
      <c r="IKB395" s="104"/>
      <c r="IKC395" s="104"/>
      <c r="IKD395" s="119"/>
      <c r="IKE395" s="104"/>
      <c r="IKF395" s="455"/>
      <c r="IKG395" s="104"/>
      <c r="IKH395" s="104"/>
      <c r="IKI395" s="109"/>
      <c r="IKJ395" s="104"/>
      <c r="IKK395" s="104"/>
      <c r="IKL395" s="119"/>
      <c r="IKM395" s="104"/>
      <c r="IKN395" s="455"/>
      <c r="IKO395" s="104"/>
      <c r="IKP395" s="104"/>
      <c r="IKQ395" s="109"/>
      <c r="IKR395" s="104"/>
      <c r="IKS395" s="104"/>
      <c r="IKT395" s="119"/>
      <c r="IKU395" s="104"/>
      <c r="IKV395" s="455"/>
      <c r="IKW395" s="104"/>
      <c r="IKX395" s="104"/>
      <c r="IKY395" s="109"/>
      <c r="IKZ395" s="104"/>
      <c r="ILA395" s="104"/>
      <c r="ILB395" s="119"/>
      <c r="ILC395" s="104"/>
      <c r="ILD395" s="455"/>
      <c r="ILE395" s="104"/>
      <c r="ILF395" s="104"/>
      <c r="ILG395" s="109"/>
      <c r="ILH395" s="104"/>
      <c r="ILI395" s="104"/>
      <c r="ILJ395" s="119"/>
      <c r="ILK395" s="104"/>
      <c r="ILL395" s="455"/>
      <c r="ILM395" s="104"/>
      <c r="ILN395" s="104"/>
      <c r="ILO395" s="109"/>
      <c r="ILP395" s="104"/>
      <c r="ILQ395" s="104"/>
      <c r="ILR395" s="119"/>
      <c r="ILS395" s="104"/>
      <c r="ILT395" s="455"/>
      <c r="ILU395" s="104"/>
      <c r="ILV395" s="104"/>
      <c r="ILW395" s="109"/>
      <c r="ILX395" s="104"/>
      <c r="ILY395" s="104"/>
      <c r="ILZ395" s="119"/>
      <c r="IMA395" s="104"/>
      <c r="IMB395" s="455"/>
      <c r="IMC395" s="104"/>
      <c r="IMD395" s="104"/>
      <c r="IME395" s="109"/>
      <c r="IMF395" s="104"/>
      <c r="IMG395" s="104"/>
      <c r="IMH395" s="119"/>
      <c r="IMI395" s="104"/>
      <c r="IMJ395" s="455"/>
      <c r="IMK395" s="104"/>
      <c r="IML395" s="104"/>
      <c r="IMM395" s="109"/>
      <c r="IMN395" s="104"/>
      <c r="IMO395" s="104"/>
      <c r="IMP395" s="119"/>
      <c r="IMQ395" s="104"/>
      <c r="IMR395" s="455"/>
      <c r="IMS395" s="104"/>
      <c r="IMT395" s="104"/>
      <c r="IMU395" s="109"/>
      <c r="IMV395" s="104"/>
      <c r="IMW395" s="104"/>
      <c r="IMX395" s="119"/>
      <c r="IMY395" s="104"/>
      <c r="IMZ395" s="455"/>
      <c r="INA395" s="104"/>
      <c r="INB395" s="104"/>
      <c r="INC395" s="109"/>
      <c r="IND395" s="104"/>
      <c r="INE395" s="104"/>
      <c r="INF395" s="119"/>
      <c r="ING395" s="104"/>
      <c r="INH395" s="455"/>
      <c r="INI395" s="104"/>
      <c r="INJ395" s="104"/>
      <c r="INK395" s="109"/>
      <c r="INL395" s="104"/>
      <c r="INM395" s="104"/>
      <c r="INN395" s="119"/>
      <c r="INO395" s="104"/>
      <c r="INP395" s="455"/>
      <c r="INQ395" s="104"/>
      <c r="INR395" s="104"/>
      <c r="INS395" s="109"/>
      <c r="INT395" s="104"/>
      <c r="INU395" s="104"/>
      <c r="INV395" s="119"/>
      <c r="INW395" s="104"/>
      <c r="INX395" s="455"/>
      <c r="INY395" s="104"/>
      <c r="INZ395" s="104"/>
      <c r="IOA395" s="109"/>
      <c r="IOB395" s="104"/>
      <c r="IOC395" s="104"/>
      <c r="IOD395" s="119"/>
      <c r="IOE395" s="104"/>
      <c r="IOF395" s="455"/>
      <c r="IOG395" s="104"/>
      <c r="IOH395" s="104"/>
      <c r="IOI395" s="109"/>
      <c r="IOJ395" s="104"/>
      <c r="IOK395" s="104"/>
      <c r="IOL395" s="119"/>
      <c r="IOM395" s="104"/>
      <c r="ION395" s="455"/>
      <c r="IOO395" s="104"/>
      <c r="IOP395" s="104"/>
      <c r="IOQ395" s="109"/>
      <c r="IOR395" s="104"/>
      <c r="IOS395" s="104"/>
      <c r="IOT395" s="119"/>
      <c r="IOU395" s="104"/>
      <c r="IOV395" s="455"/>
      <c r="IOW395" s="104"/>
      <c r="IOX395" s="104"/>
      <c r="IOY395" s="109"/>
      <c r="IOZ395" s="104"/>
      <c r="IPA395" s="104"/>
      <c r="IPB395" s="119"/>
      <c r="IPC395" s="104"/>
      <c r="IPD395" s="455"/>
      <c r="IPE395" s="104"/>
      <c r="IPF395" s="104"/>
      <c r="IPG395" s="109"/>
      <c r="IPH395" s="104"/>
      <c r="IPI395" s="104"/>
      <c r="IPJ395" s="119"/>
      <c r="IPK395" s="104"/>
      <c r="IPL395" s="455"/>
      <c r="IPM395" s="104"/>
      <c r="IPN395" s="104"/>
      <c r="IPO395" s="109"/>
      <c r="IPP395" s="104"/>
      <c r="IPQ395" s="104"/>
      <c r="IPR395" s="119"/>
      <c r="IPS395" s="104"/>
      <c r="IPT395" s="455"/>
      <c r="IPU395" s="104"/>
      <c r="IPV395" s="104"/>
      <c r="IPW395" s="109"/>
      <c r="IPX395" s="104"/>
      <c r="IPY395" s="104"/>
      <c r="IPZ395" s="119"/>
      <c r="IQA395" s="104"/>
      <c r="IQB395" s="455"/>
      <c r="IQC395" s="104"/>
      <c r="IQD395" s="104"/>
      <c r="IQE395" s="109"/>
      <c r="IQF395" s="104"/>
      <c r="IQG395" s="104"/>
      <c r="IQH395" s="119"/>
      <c r="IQI395" s="104"/>
      <c r="IQJ395" s="455"/>
      <c r="IQK395" s="104"/>
      <c r="IQL395" s="104"/>
      <c r="IQM395" s="109"/>
      <c r="IQN395" s="104"/>
      <c r="IQO395" s="104"/>
      <c r="IQP395" s="119"/>
      <c r="IQQ395" s="104"/>
      <c r="IQR395" s="455"/>
      <c r="IQS395" s="104"/>
      <c r="IQT395" s="104"/>
      <c r="IQU395" s="109"/>
      <c r="IQV395" s="104"/>
      <c r="IQW395" s="104"/>
      <c r="IQX395" s="119"/>
      <c r="IQY395" s="104"/>
      <c r="IQZ395" s="455"/>
      <c r="IRA395" s="104"/>
      <c r="IRB395" s="104"/>
      <c r="IRC395" s="109"/>
      <c r="IRD395" s="104"/>
      <c r="IRE395" s="104"/>
      <c r="IRF395" s="119"/>
      <c r="IRG395" s="104"/>
      <c r="IRH395" s="455"/>
      <c r="IRI395" s="104"/>
      <c r="IRJ395" s="104"/>
      <c r="IRK395" s="109"/>
      <c r="IRL395" s="104"/>
      <c r="IRM395" s="104"/>
      <c r="IRN395" s="119"/>
      <c r="IRO395" s="104"/>
      <c r="IRP395" s="455"/>
      <c r="IRQ395" s="104"/>
      <c r="IRR395" s="104"/>
      <c r="IRS395" s="109"/>
      <c r="IRT395" s="104"/>
      <c r="IRU395" s="104"/>
      <c r="IRV395" s="119"/>
      <c r="IRW395" s="104"/>
      <c r="IRX395" s="455"/>
      <c r="IRY395" s="104"/>
      <c r="IRZ395" s="104"/>
      <c r="ISA395" s="109"/>
      <c r="ISB395" s="104"/>
      <c r="ISC395" s="104"/>
      <c r="ISD395" s="119"/>
      <c r="ISE395" s="104"/>
      <c r="ISF395" s="455"/>
      <c r="ISG395" s="104"/>
      <c r="ISH395" s="104"/>
      <c r="ISI395" s="109"/>
      <c r="ISJ395" s="104"/>
      <c r="ISK395" s="104"/>
      <c r="ISL395" s="119"/>
      <c r="ISM395" s="104"/>
      <c r="ISN395" s="455"/>
      <c r="ISO395" s="104"/>
      <c r="ISP395" s="104"/>
      <c r="ISQ395" s="109"/>
      <c r="ISR395" s="104"/>
      <c r="ISS395" s="104"/>
      <c r="IST395" s="119"/>
      <c r="ISU395" s="104"/>
      <c r="ISV395" s="455"/>
      <c r="ISW395" s="104"/>
      <c r="ISX395" s="104"/>
      <c r="ISY395" s="109"/>
      <c r="ISZ395" s="104"/>
      <c r="ITA395" s="104"/>
      <c r="ITB395" s="119"/>
      <c r="ITC395" s="104"/>
      <c r="ITD395" s="455"/>
      <c r="ITE395" s="104"/>
      <c r="ITF395" s="104"/>
      <c r="ITG395" s="109"/>
      <c r="ITH395" s="104"/>
      <c r="ITI395" s="104"/>
      <c r="ITJ395" s="119"/>
      <c r="ITK395" s="104"/>
      <c r="ITL395" s="455"/>
      <c r="ITM395" s="104"/>
      <c r="ITN395" s="104"/>
      <c r="ITO395" s="109"/>
      <c r="ITP395" s="104"/>
      <c r="ITQ395" s="104"/>
      <c r="ITR395" s="119"/>
      <c r="ITS395" s="104"/>
      <c r="ITT395" s="455"/>
      <c r="ITU395" s="104"/>
      <c r="ITV395" s="104"/>
      <c r="ITW395" s="109"/>
      <c r="ITX395" s="104"/>
      <c r="ITY395" s="104"/>
      <c r="ITZ395" s="119"/>
      <c r="IUA395" s="104"/>
      <c r="IUB395" s="455"/>
      <c r="IUC395" s="104"/>
      <c r="IUD395" s="104"/>
      <c r="IUE395" s="109"/>
      <c r="IUF395" s="104"/>
      <c r="IUG395" s="104"/>
      <c r="IUH395" s="119"/>
      <c r="IUI395" s="104"/>
      <c r="IUJ395" s="455"/>
      <c r="IUK395" s="104"/>
      <c r="IUL395" s="104"/>
      <c r="IUM395" s="109"/>
      <c r="IUN395" s="104"/>
      <c r="IUO395" s="104"/>
      <c r="IUP395" s="119"/>
      <c r="IUQ395" s="104"/>
      <c r="IUR395" s="455"/>
      <c r="IUS395" s="104"/>
      <c r="IUT395" s="104"/>
      <c r="IUU395" s="109"/>
      <c r="IUV395" s="104"/>
      <c r="IUW395" s="104"/>
      <c r="IUX395" s="119"/>
      <c r="IUY395" s="104"/>
      <c r="IUZ395" s="455"/>
      <c r="IVA395" s="104"/>
      <c r="IVB395" s="104"/>
      <c r="IVC395" s="109"/>
      <c r="IVD395" s="104"/>
      <c r="IVE395" s="104"/>
      <c r="IVF395" s="119"/>
      <c r="IVG395" s="104"/>
      <c r="IVH395" s="455"/>
      <c r="IVI395" s="104"/>
      <c r="IVJ395" s="104"/>
      <c r="IVK395" s="109"/>
      <c r="IVL395" s="104"/>
      <c r="IVM395" s="104"/>
      <c r="IVN395" s="119"/>
      <c r="IVO395" s="104"/>
      <c r="IVP395" s="455"/>
      <c r="IVQ395" s="104"/>
      <c r="IVR395" s="104"/>
      <c r="IVS395" s="109"/>
      <c r="IVT395" s="104"/>
      <c r="IVU395" s="104"/>
      <c r="IVV395" s="119"/>
      <c r="IVW395" s="104"/>
      <c r="IVX395" s="455"/>
      <c r="IVY395" s="104"/>
      <c r="IVZ395" s="104"/>
      <c r="IWA395" s="109"/>
      <c r="IWB395" s="104"/>
      <c r="IWC395" s="104"/>
      <c r="IWD395" s="119"/>
      <c r="IWE395" s="104"/>
      <c r="IWF395" s="455"/>
      <c r="IWG395" s="104"/>
      <c r="IWH395" s="104"/>
      <c r="IWI395" s="109"/>
      <c r="IWJ395" s="104"/>
      <c r="IWK395" s="104"/>
      <c r="IWL395" s="119"/>
      <c r="IWM395" s="104"/>
      <c r="IWN395" s="455"/>
      <c r="IWO395" s="104"/>
      <c r="IWP395" s="104"/>
      <c r="IWQ395" s="109"/>
      <c r="IWR395" s="104"/>
      <c r="IWS395" s="104"/>
      <c r="IWT395" s="119"/>
      <c r="IWU395" s="104"/>
      <c r="IWV395" s="455"/>
      <c r="IWW395" s="104"/>
      <c r="IWX395" s="104"/>
      <c r="IWY395" s="109"/>
      <c r="IWZ395" s="104"/>
      <c r="IXA395" s="104"/>
      <c r="IXB395" s="119"/>
      <c r="IXC395" s="104"/>
      <c r="IXD395" s="455"/>
      <c r="IXE395" s="104"/>
      <c r="IXF395" s="104"/>
      <c r="IXG395" s="109"/>
      <c r="IXH395" s="104"/>
      <c r="IXI395" s="104"/>
      <c r="IXJ395" s="119"/>
      <c r="IXK395" s="104"/>
      <c r="IXL395" s="455"/>
      <c r="IXM395" s="104"/>
      <c r="IXN395" s="104"/>
      <c r="IXO395" s="109"/>
      <c r="IXP395" s="104"/>
      <c r="IXQ395" s="104"/>
      <c r="IXR395" s="119"/>
      <c r="IXS395" s="104"/>
      <c r="IXT395" s="455"/>
      <c r="IXU395" s="104"/>
      <c r="IXV395" s="104"/>
      <c r="IXW395" s="109"/>
      <c r="IXX395" s="104"/>
      <c r="IXY395" s="104"/>
      <c r="IXZ395" s="119"/>
      <c r="IYA395" s="104"/>
      <c r="IYB395" s="455"/>
      <c r="IYC395" s="104"/>
      <c r="IYD395" s="104"/>
      <c r="IYE395" s="109"/>
      <c r="IYF395" s="104"/>
      <c r="IYG395" s="104"/>
      <c r="IYH395" s="119"/>
      <c r="IYI395" s="104"/>
      <c r="IYJ395" s="455"/>
      <c r="IYK395" s="104"/>
      <c r="IYL395" s="104"/>
      <c r="IYM395" s="109"/>
      <c r="IYN395" s="104"/>
      <c r="IYO395" s="104"/>
      <c r="IYP395" s="119"/>
      <c r="IYQ395" s="104"/>
      <c r="IYR395" s="455"/>
      <c r="IYS395" s="104"/>
      <c r="IYT395" s="104"/>
      <c r="IYU395" s="109"/>
      <c r="IYV395" s="104"/>
      <c r="IYW395" s="104"/>
      <c r="IYX395" s="119"/>
      <c r="IYY395" s="104"/>
      <c r="IYZ395" s="455"/>
      <c r="IZA395" s="104"/>
      <c r="IZB395" s="104"/>
      <c r="IZC395" s="109"/>
      <c r="IZD395" s="104"/>
      <c r="IZE395" s="104"/>
      <c r="IZF395" s="119"/>
      <c r="IZG395" s="104"/>
      <c r="IZH395" s="455"/>
      <c r="IZI395" s="104"/>
      <c r="IZJ395" s="104"/>
      <c r="IZK395" s="109"/>
      <c r="IZL395" s="104"/>
      <c r="IZM395" s="104"/>
      <c r="IZN395" s="119"/>
      <c r="IZO395" s="104"/>
      <c r="IZP395" s="455"/>
      <c r="IZQ395" s="104"/>
      <c r="IZR395" s="104"/>
      <c r="IZS395" s="109"/>
      <c r="IZT395" s="104"/>
      <c r="IZU395" s="104"/>
      <c r="IZV395" s="119"/>
      <c r="IZW395" s="104"/>
      <c r="IZX395" s="455"/>
      <c r="IZY395" s="104"/>
      <c r="IZZ395" s="104"/>
      <c r="JAA395" s="109"/>
      <c r="JAB395" s="104"/>
      <c r="JAC395" s="104"/>
      <c r="JAD395" s="119"/>
      <c r="JAE395" s="104"/>
      <c r="JAF395" s="455"/>
      <c r="JAG395" s="104"/>
      <c r="JAH395" s="104"/>
      <c r="JAI395" s="109"/>
      <c r="JAJ395" s="104"/>
      <c r="JAK395" s="104"/>
      <c r="JAL395" s="119"/>
      <c r="JAM395" s="104"/>
      <c r="JAN395" s="455"/>
      <c r="JAO395" s="104"/>
      <c r="JAP395" s="104"/>
      <c r="JAQ395" s="109"/>
      <c r="JAR395" s="104"/>
      <c r="JAS395" s="104"/>
      <c r="JAT395" s="119"/>
      <c r="JAU395" s="104"/>
      <c r="JAV395" s="455"/>
      <c r="JAW395" s="104"/>
      <c r="JAX395" s="104"/>
      <c r="JAY395" s="109"/>
      <c r="JAZ395" s="104"/>
      <c r="JBA395" s="104"/>
      <c r="JBB395" s="119"/>
      <c r="JBC395" s="104"/>
      <c r="JBD395" s="455"/>
      <c r="JBE395" s="104"/>
      <c r="JBF395" s="104"/>
      <c r="JBG395" s="109"/>
      <c r="JBH395" s="104"/>
      <c r="JBI395" s="104"/>
      <c r="JBJ395" s="119"/>
      <c r="JBK395" s="104"/>
      <c r="JBL395" s="455"/>
      <c r="JBM395" s="104"/>
      <c r="JBN395" s="104"/>
      <c r="JBO395" s="109"/>
      <c r="JBP395" s="104"/>
      <c r="JBQ395" s="104"/>
      <c r="JBR395" s="119"/>
      <c r="JBS395" s="104"/>
      <c r="JBT395" s="455"/>
      <c r="JBU395" s="104"/>
      <c r="JBV395" s="104"/>
      <c r="JBW395" s="109"/>
      <c r="JBX395" s="104"/>
      <c r="JBY395" s="104"/>
      <c r="JBZ395" s="119"/>
      <c r="JCA395" s="104"/>
      <c r="JCB395" s="455"/>
      <c r="JCC395" s="104"/>
      <c r="JCD395" s="104"/>
      <c r="JCE395" s="109"/>
      <c r="JCF395" s="104"/>
      <c r="JCG395" s="104"/>
      <c r="JCH395" s="119"/>
      <c r="JCI395" s="104"/>
      <c r="JCJ395" s="455"/>
      <c r="JCK395" s="104"/>
      <c r="JCL395" s="104"/>
      <c r="JCM395" s="109"/>
      <c r="JCN395" s="104"/>
      <c r="JCO395" s="104"/>
      <c r="JCP395" s="119"/>
      <c r="JCQ395" s="104"/>
      <c r="JCR395" s="455"/>
      <c r="JCS395" s="104"/>
      <c r="JCT395" s="104"/>
      <c r="JCU395" s="109"/>
      <c r="JCV395" s="104"/>
      <c r="JCW395" s="104"/>
      <c r="JCX395" s="119"/>
      <c r="JCY395" s="104"/>
      <c r="JCZ395" s="455"/>
      <c r="JDA395" s="104"/>
      <c r="JDB395" s="104"/>
      <c r="JDC395" s="109"/>
      <c r="JDD395" s="104"/>
      <c r="JDE395" s="104"/>
      <c r="JDF395" s="119"/>
      <c r="JDG395" s="104"/>
      <c r="JDH395" s="455"/>
      <c r="JDI395" s="104"/>
      <c r="JDJ395" s="104"/>
      <c r="JDK395" s="109"/>
      <c r="JDL395" s="104"/>
      <c r="JDM395" s="104"/>
      <c r="JDN395" s="119"/>
      <c r="JDO395" s="104"/>
      <c r="JDP395" s="455"/>
      <c r="JDQ395" s="104"/>
      <c r="JDR395" s="104"/>
      <c r="JDS395" s="109"/>
      <c r="JDT395" s="104"/>
      <c r="JDU395" s="104"/>
      <c r="JDV395" s="119"/>
      <c r="JDW395" s="104"/>
      <c r="JDX395" s="455"/>
      <c r="JDY395" s="104"/>
      <c r="JDZ395" s="104"/>
      <c r="JEA395" s="109"/>
      <c r="JEB395" s="104"/>
      <c r="JEC395" s="104"/>
      <c r="JED395" s="119"/>
      <c r="JEE395" s="104"/>
      <c r="JEF395" s="455"/>
      <c r="JEG395" s="104"/>
      <c r="JEH395" s="104"/>
      <c r="JEI395" s="109"/>
      <c r="JEJ395" s="104"/>
      <c r="JEK395" s="104"/>
      <c r="JEL395" s="119"/>
      <c r="JEM395" s="104"/>
      <c r="JEN395" s="455"/>
      <c r="JEO395" s="104"/>
      <c r="JEP395" s="104"/>
      <c r="JEQ395" s="109"/>
      <c r="JER395" s="104"/>
      <c r="JES395" s="104"/>
      <c r="JET395" s="119"/>
      <c r="JEU395" s="104"/>
      <c r="JEV395" s="455"/>
      <c r="JEW395" s="104"/>
      <c r="JEX395" s="104"/>
      <c r="JEY395" s="109"/>
      <c r="JEZ395" s="104"/>
      <c r="JFA395" s="104"/>
      <c r="JFB395" s="119"/>
      <c r="JFC395" s="104"/>
      <c r="JFD395" s="455"/>
      <c r="JFE395" s="104"/>
      <c r="JFF395" s="104"/>
      <c r="JFG395" s="109"/>
      <c r="JFH395" s="104"/>
      <c r="JFI395" s="104"/>
      <c r="JFJ395" s="119"/>
      <c r="JFK395" s="104"/>
      <c r="JFL395" s="455"/>
      <c r="JFM395" s="104"/>
      <c r="JFN395" s="104"/>
      <c r="JFO395" s="109"/>
      <c r="JFP395" s="104"/>
      <c r="JFQ395" s="104"/>
      <c r="JFR395" s="119"/>
      <c r="JFS395" s="104"/>
      <c r="JFT395" s="455"/>
      <c r="JFU395" s="104"/>
      <c r="JFV395" s="104"/>
      <c r="JFW395" s="109"/>
      <c r="JFX395" s="104"/>
      <c r="JFY395" s="104"/>
      <c r="JFZ395" s="119"/>
      <c r="JGA395" s="104"/>
      <c r="JGB395" s="455"/>
      <c r="JGC395" s="104"/>
      <c r="JGD395" s="104"/>
      <c r="JGE395" s="109"/>
      <c r="JGF395" s="104"/>
      <c r="JGG395" s="104"/>
      <c r="JGH395" s="119"/>
      <c r="JGI395" s="104"/>
      <c r="JGJ395" s="455"/>
      <c r="JGK395" s="104"/>
      <c r="JGL395" s="104"/>
      <c r="JGM395" s="109"/>
      <c r="JGN395" s="104"/>
      <c r="JGO395" s="104"/>
      <c r="JGP395" s="119"/>
      <c r="JGQ395" s="104"/>
      <c r="JGR395" s="455"/>
      <c r="JGS395" s="104"/>
      <c r="JGT395" s="104"/>
      <c r="JGU395" s="109"/>
      <c r="JGV395" s="104"/>
      <c r="JGW395" s="104"/>
      <c r="JGX395" s="119"/>
      <c r="JGY395" s="104"/>
      <c r="JGZ395" s="455"/>
      <c r="JHA395" s="104"/>
      <c r="JHB395" s="104"/>
      <c r="JHC395" s="109"/>
      <c r="JHD395" s="104"/>
      <c r="JHE395" s="104"/>
      <c r="JHF395" s="119"/>
      <c r="JHG395" s="104"/>
      <c r="JHH395" s="455"/>
      <c r="JHI395" s="104"/>
      <c r="JHJ395" s="104"/>
      <c r="JHK395" s="109"/>
      <c r="JHL395" s="104"/>
      <c r="JHM395" s="104"/>
      <c r="JHN395" s="119"/>
      <c r="JHO395" s="104"/>
      <c r="JHP395" s="455"/>
      <c r="JHQ395" s="104"/>
      <c r="JHR395" s="104"/>
      <c r="JHS395" s="109"/>
      <c r="JHT395" s="104"/>
      <c r="JHU395" s="104"/>
      <c r="JHV395" s="119"/>
      <c r="JHW395" s="104"/>
      <c r="JHX395" s="455"/>
      <c r="JHY395" s="104"/>
      <c r="JHZ395" s="104"/>
      <c r="JIA395" s="109"/>
      <c r="JIB395" s="104"/>
      <c r="JIC395" s="104"/>
      <c r="JID395" s="119"/>
      <c r="JIE395" s="104"/>
      <c r="JIF395" s="455"/>
      <c r="JIG395" s="104"/>
      <c r="JIH395" s="104"/>
      <c r="JII395" s="109"/>
      <c r="JIJ395" s="104"/>
      <c r="JIK395" s="104"/>
      <c r="JIL395" s="119"/>
      <c r="JIM395" s="104"/>
      <c r="JIN395" s="455"/>
      <c r="JIO395" s="104"/>
      <c r="JIP395" s="104"/>
      <c r="JIQ395" s="109"/>
      <c r="JIR395" s="104"/>
      <c r="JIS395" s="104"/>
      <c r="JIT395" s="119"/>
      <c r="JIU395" s="104"/>
      <c r="JIV395" s="455"/>
      <c r="JIW395" s="104"/>
      <c r="JIX395" s="104"/>
      <c r="JIY395" s="109"/>
      <c r="JIZ395" s="104"/>
      <c r="JJA395" s="104"/>
      <c r="JJB395" s="119"/>
      <c r="JJC395" s="104"/>
      <c r="JJD395" s="455"/>
      <c r="JJE395" s="104"/>
      <c r="JJF395" s="104"/>
      <c r="JJG395" s="109"/>
      <c r="JJH395" s="104"/>
      <c r="JJI395" s="104"/>
      <c r="JJJ395" s="119"/>
      <c r="JJK395" s="104"/>
      <c r="JJL395" s="455"/>
      <c r="JJM395" s="104"/>
      <c r="JJN395" s="104"/>
      <c r="JJO395" s="109"/>
      <c r="JJP395" s="104"/>
      <c r="JJQ395" s="104"/>
      <c r="JJR395" s="119"/>
      <c r="JJS395" s="104"/>
      <c r="JJT395" s="455"/>
      <c r="JJU395" s="104"/>
      <c r="JJV395" s="104"/>
      <c r="JJW395" s="109"/>
      <c r="JJX395" s="104"/>
      <c r="JJY395" s="104"/>
      <c r="JJZ395" s="119"/>
      <c r="JKA395" s="104"/>
      <c r="JKB395" s="455"/>
      <c r="JKC395" s="104"/>
      <c r="JKD395" s="104"/>
      <c r="JKE395" s="109"/>
      <c r="JKF395" s="104"/>
      <c r="JKG395" s="104"/>
      <c r="JKH395" s="119"/>
      <c r="JKI395" s="104"/>
      <c r="JKJ395" s="455"/>
      <c r="JKK395" s="104"/>
      <c r="JKL395" s="104"/>
      <c r="JKM395" s="109"/>
      <c r="JKN395" s="104"/>
      <c r="JKO395" s="104"/>
      <c r="JKP395" s="119"/>
      <c r="JKQ395" s="104"/>
      <c r="JKR395" s="455"/>
      <c r="JKS395" s="104"/>
      <c r="JKT395" s="104"/>
      <c r="JKU395" s="109"/>
      <c r="JKV395" s="104"/>
      <c r="JKW395" s="104"/>
      <c r="JKX395" s="119"/>
      <c r="JKY395" s="104"/>
      <c r="JKZ395" s="455"/>
      <c r="JLA395" s="104"/>
      <c r="JLB395" s="104"/>
      <c r="JLC395" s="109"/>
      <c r="JLD395" s="104"/>
      <c r="JLE395" s="104"/>
      <c r="JLF395" s="119"/>
      <c r="JLG395" s="104"/>
      <c r="JLH395" s="455"/>
      <c r="JLI395" s="104"/>
      <c r="JLJ395" s="104"/>
      <c r="JLK395" s="109"/>
      <c r="JLL395" s="104"/>
      <c r="JLM395" s="104"/>
      <c r="JLN395" s="119"/>
      <c r="JLO395" s="104"/>
      <c r="JLP395" s="455"/>
      <c r="JLQ395" s="104"/>
      <c r="JLR395" s="104"/>
      <c r="JLS395" s="109"/>
      <c r="JLT395" s="104"/>
      <c r="JLU395" s="104"/>
      <c r="JLV395" s="119"/>
      <c r="JLW395" s="104"/>
      <c r="JLX395" s="455"/>
      <c r="JLY395" s="104"/>
      <c r="JLZ395" s="104"/>
      <c r="JMA395" s="109"/>
      <c r="JMB395" s="104"/>
      <c r="JMC395" s="104"/>
      <c r="JMD395" s="119"/>
      <c r="JME395" s="104"/>
      <c r="JMF395" s="455"/>
      <c r="JMG395" s="104"/>
      <c r="JMH395" s="104"/>
      <c r="JMI395" s="109"/>
      <c r="JMJ395" s="104"/>
      <c r="JMK395" s="104"/>
      <c r="JML395" s="119"/>
      <c r="JMM395" s="104"/>
      <c r="JMN395" s="455"/>
      <c r="JMO395" s="104"/>
      <c r="JMP395" s="104"/>
      <c r="JMQ395" s="109"/>
      <c r="JMR395" s="104"/>
      <c r="JMS395" s="104"/>
      <c r="JMT395" s="119"/>
      <c r="JMU395" s="104"/>
      <c r="JMV395" s="455"/>
      <c r="JMW395" s="104"/>
      <c r="JMX395" s="104"/>
      <c r="JMY395" s="109"/>
      <c r="JMZ395" s="104"/>
      <c r="JNA395" s="104"/>
      <c r="JNB395" s="119"/>
      <c r="JNC395" s="104"/>
      <c r="JND395" s="455"/>
      <c r="JNE395" s="104"/>
      <c r="JNF395" s="104"/>
      <c r="JNG395" s="109"/>
      <c r="JNH395" s="104"/>
      <c r="JNI395" s="104"/>
      <c r="JNJ395" s="119"/>
      <c r="JNK395" s="104"/>
      <c r="JNL395" s="455"/>
      <c r="JNM395" s="104"/>
      <c r="JNN395" s="104"/>
      <c r="JNO395" s="109"/>
      <c r="JNP395" s="104"/>
      <c r="JNQ395" s="104"/>
      <c r="JNR395" s="119"/>
      <c r="JNS395" s="104"/>
      <c r="JNT395" s="455"/>
      <c r="JNU395" s="104"/>
      <c r="JNV395" s="104"/>
      <c r="JNW395" s="109"/>
      <c r="JNX395" s="104"/>
      <c r="JNY395" s="104"/>
      <c r="JNZ395" s="119"/>
      <c r="JOA395" s="104"/>
      <c r="JOB395" s="455"/>
      <c r="JOC395" s="104"/>
      <c r="JOD395" s="104"/>
      <c r="JOE395" s="109"/>
      <c r="JOF395" s="104"/>
      <c r="JOG395" s="104"/>
      <c r="JOH395" s="119"/>
      <c r="JOI395" s="104"/>
      <c r="JOJ395" s="455"/>
      <c r="JOK395" s="104"/>
      <c r="JOL395" s="104"/>
      <c r="JOM395" s="109"/>
      <c r="JON395" s="104"/>
      <c r="JOO395" s="104"/>
      <c r="JOP395" s="119"/>
      <c r="JOQ395" s="104"/>
      <c r="JOR395" s="455"/>
      <c r="JOS395" s="104"/>
      <c r="JOT395" s="104"/>
      <c r="JOU395" s="109"/>
      <c r="JOV395" s="104"/>
      <c r="JOW395" s="104"/>
      <c r="JOX395" s="119"/>
      <c r="JOY395" s="104"/>
      <c r="JOZ395" s="455"/>
      <c r="JPA395" s="104"/>
      <c r="JPB395" s="104"/>
      <c r="JPC395" s="109"/>
      <c r="JPD395" s="104"/>
      <c r="JPE395" s="104"/>
      <c r="JPF395" s="119"/>
      <c r="JPG395" s="104"/>
      <c r="JPH395" s="455"/>
      <c r="JPI395" s="104"/>
      <c r="JPJ395" s="104"/>
      <c r="JPK395" s="109"/>
      <c r="JPL395" s="104"/>
      <c r="JPM395" s="104"/>
      <c r="JPN395" s="119"/>
      <c r="JPO395" s="104"/>
      <c r="JPP395" s="455"/>
      <c r="JPQ395" s="104"/>
      <c r="JPR395" s="104"/>
      <c r="JPS395" s="109"/>
      <c r="JPT395" s="104"/>
      <c r="JPU395" s="104"/>
      <c r="JPV395" s="119"/>
      <c r="JPW395" s="104"/>
      <c r="JPX395" s="455"/>
      <c r="JPY395" s="104"/>
      <c r="JPZ395" s="104"/>
      <c r="JQA395" s="109"/>
      <c r="JQB395" s="104"/>
      <c r="JQC395" s="104"/>
      <c r="JQD395" s="119"/>
      <c r="JQE395" s="104"/>
      <c r="JQF395" s="455"/>
      <c r="JQG395" s="104"/>
      <c r="JQH395" s="104"/>
      <c r="JQI395" s="109"/>
      <c r="JQJ395" s="104"/>
      <c r="JQK395" s="104"/>
      <c r="JQL395" s="119"/>
      <c r="JQM395" s="104"/>
      <c r="JQN395" s="455"/>
      <c r="JQO395" s="104"/>
      <c r="JQP395" s="104"/>
      <c r="JQQ395" s="109"/>
      <c r="JQR395" s="104"/>
      <c r="JQS395" s="104"/>
      <c r="JQT395" s="119"/>
      <c r="JQU395" s="104"/>
      <c r="JQV395" s="455"/>
      <c r="JQW395" s="104"/>
      <c r="JQX395" s="104"/>
      <c r="JQY395" s="109"/>
      <c r="JQZ395" s="104"/>
      <c r="JRA395" s="104"/>
      <c r="JRB395" s="119"/>
      <c r="JRC395" s="104"/>
      <c r="JRD395" s="455"/>
      <c r="JRE395" s="104"/>
      <c r="JRF395" s="104"/>
      <c r="JRG395" s="109"/>
      <c r="JRH395" s="104"/>
      <c r="JRI395" s="104"/>
      <c r="JRJ395" s="119"/>
      <c r="JRK395" s="104"/>
      <c r="JRL395" s="455"/>
      <c r="JRM395" s="104"/>
      <c r="JRN395" s="104"/>
      <c r="JRO395" s="109"/>
      <c r="JRP395" s="104"/>
      <c r="JRQ395" s="104"/>
      <c r="JRR395" s="119"/>
      <c r="JRS395" s="104"/>
      <c r="JRT395" s="455"/>
      <c r="JRU395" s="104"/>
      <c r="JRV395" s="104"/>
      <c r="JRW395" s="109"/>
      <c r="JRX395" s="104"/>
      <c r="JRY395" s="104"/>
      <c r="JRZ395" s="119"/>
      <c r="JSA395" s="104"/>
      <c r="JSB395" s="455"/>
      <c r="JSC395" s="104"/>
      <c r="JSD395" s="104"/>
      <c r="JSE395" s="109"/>
      <c r="JSF395" s="104"/>
      <c r="JSG395" s="104"/>
      <c r="JSH395" s="119"/>
      <c r="JSI395" s="104"/>
      <c r="JSJ395" s="455"/>
      <c r="JSK395" s="104"/>
      <c r="JSL395" s="104"/>
      <c r="JSM395" s="109"/>
      <c r="JSN395" s="104"/>
      <c r="JSO395" s="104"/>
      <c r="JSP395" s="119"/>
      <c r="JSQ395" s="104"/>
      <c r="JSR395" s="455"/>
      <c r="JSS395" s="104"/>
      <c r="JST395" s="104"/>
      <c r="JSU395" s="109"/>
      <c r="JSV395" s="104"/>
      <c r="JSW395" s="104"/>
      <c r="JSX395" s="119"/>
      <c r="JSY395" s="104"/>
      <c r="JSZ395" s="455"/>
      <c r="JTA395" s="104"/>
      <c r="JTB395" s="104"/>
      <c r="JTC395" s="109"/>
      <c r="JTD395" s="104"/>
      <c r="JTE395" s="104"/>
      <c r="JTF395" s="119"/>
      <c r="JTG395" s="104"/>
      <c r="JTH395" s="455"/>
      <c r="JTI395" s="104"/>
      <c r="JTJ395" s="104"/>
      <c r="JTK395" s="109"/>
      <c r="JTL395" s="104"/>
      <c r="JTM395" s="104"/>
      <c r="JTN395" s="119"/>
      <c r="JTO395" s="104"/>
      <c r="JTP395" s="455"/>
      <c r="JTQ395" s="104"/>
      <c r="JTR395" s="104"/>
      <c r="JTS395" s="109"/>
      <c r="JTT395" s="104"/>
      <c r="JTU395" s="104"/>
      <c r="JTV395" s="119"/>
      <c r="JTW395" s="104"/>
      <c r="JTX395" s="455"/>
      <c r="JTY395" s="104"/>
      <c r="JTZ395" s="104"/>
      <c r="JUA395" s="109"/>
      <c r="JUB395" s="104"/>
      <c r="JUC395" s="104"/>
      <c r="JUD395" s="119"/>
      <c r="JUE395" s="104"/>
      <c r="JUF395" s="455"/>
      <c r="JUG395" s="104"/>
      <c r="JUH395" s="104"/>
      <c r="JUI395" s="109"/>
      <c r="JUJ395" s="104"/>
      <c r="JUK395" s="104"/>
      <c r="JUL395" s="119"/>
      <c r="JUM395" s="104"/>
      <c r="JUN395" s="455"/>
      <c r="JUO395" s="104"/>
      <c r="JUP395" s="104"/>
      <c r="JUQ395" s="109"/>
      <c r="JUR395" s="104"/>
      <c r="JUS395" s="104"/>
      <c r="JUT395" s="119"/>
      <c r="JUU395" s="104"/>
      <c r="JUV395" s="455"/>
      <c r="JUW395" s="104"/>
      <c r="JUX395" s="104"/>
      <c r="JUY395" s="109"/>
      <c r="JUZ395" s="104"/>
      <c r="JVA395" s="104"/>
      <c r="JVB395" s="119"/>
      <c r="JVC395" s="104"/>
      <c r="JVD395" s="455"/>
      <c r="JVE395" s="104"/>
      <c r="JVF395" s="104"/>
      <c r="JVG395" s="109"/>
      <c r="JVH395" s="104"/>
      <c r="JVI395" s="104"/>
      <c r="JVJ395" s="119"/>
      <c r="JVK395" s="104"/>
      <c r="JVL395" s="455"/>
      <c r="JVM395" s="104"/>
      <c r="JVN395" s="104"/>
      <c r="JVO395" s="109"/>
      <c r="JVP395" s="104"/>
      <c r="JVQ395" s="104"/>
      <c r="JVR395" s="119"/>
      <c r="JVS395" s="104"/>
      <c r="JVT395" s="455"/>
      <c r="JVU395" s="104"/>
      <c r="JVV395" s="104"/>
      <c r="JVW395" s="109"/>
      <c r="JVX395" s="104"/>
      <c r="JVY395" s="104"/>
      <c r="JVZ395" s="119"/>
      <c r="JWA395" s="104"/>
      <c r="JWB395" s="455"/>
      <c r="JWC395" s="104"/>
      <c r="JWD395" s="104"/>
      <c r="JWE395" s="109"/>
      <c r="JWF395" s="104"/>
      <c r="JWG395" s="104"/>
      <c r="JWH395" s="119"/>
      <c r="JWI395" s="104"/>
      <c r="JWJ395" s="455"/>
      <c r="JWK395" s="104"/>
      <c r="JWL395" s="104"/>
      <c r="JWM395" s="109"/>
      <c r="JWN395" s="104"/>
      <c r="JWO395" s="104"/>
      <c r="JWP395" s="119"/>
      <c r="JWQ395" s="104"/>
      <c r="JWR395" s="455"/>
      <c r="JWS395" s="104"/>
      <c r="JWT395" s="104"/>
      <c r="JWU395" s="109"/>
      <c r="JWV395" s="104"/>
      <c r="JWW395" s="104"/>
      <c r="JWX395" s="119"/>
      <c r="JWY395" s="104"/>
      <c r="JWZ395" s="455"/>
      <c r="JXA395" s="104"/>
      <c r="JXB395" s="104"/>
      <c r="JXC395" s="109"/>
      <c r="JXD395" s="104"/>
      <c r="JXE395" s="104"/>
      <c r="JXF395" s="119"/>
      <c r="JXG395" s="104"/>
      <c r="JXH395" s="455"/>
      <c r="JXI395" s="104"/>
      <c r="JXJ395" s="104"/>
      <c r="JXK395" s="109"/>
      <c r="JXL395" s="104"/>
      <c r="JXM395" s="104"/>
      <c r="JXN395" s="119"/>
      <c r="JXO395" s="104"/>
      <c r="JXP395" s="455"/>
      <c r="JXQ395" s="104"/>
      <c r="JXR395" s="104"/>
      <c r="JXS395" s="109"/>
      <c r="JXT395" s="104"/>
      <c r="JXU395" s="104"/>
      <c r="JXV395" s="119"/>
      <c r="JXW395" s="104"/>
      <c r="JXX395" s="455"/>
      <c r="JXY395" s="104"/>
      <c r="JXZ395" s="104"/>
      <c r="JYA395" s="109"/>
      <c r="JYB395" s="104"/>
      <c r="JYC395" s="104"/>
      <c r="JYD395" s="119"/>
      <c r="JYE395" s="104"/>
      <c r="JYF395" s="455"/>
      <c r="JYG395" s="104"/>
      <c r="JYH395" s="104"/>
      <c r="JYI395" s="109"/>
      <c r="JYJ395" s="104"/>
      <c r="JYK395" s="104"/>
      <c r="JYL395" s="119"/>
      <c r="JYM395" s="104"/>
      <c r="JYN395" s="455"/>
      <c r="JYO395" s="104"/>
      <c r="JYP395" s="104"/>
      <c r="JYQ395" s="109"/>
      <c r="JYR395" s="104"/>
      <c r="JYS395" s="104"/>
      <c r="JYT395" s="119"/>
      <c r="JYU395" s="104"/>
      <c r="JYV395" s="455"/>
      <c r="JYW395" s="104"/>
      <c r="JYX395" s="104"/>
      <c r="JYY395" s="109"/>
      <c r="JYZ395" s="104"/>
      <c r="JZA395" s="104"/>
      <c r="JZB395" s="119"/>
      <c r="JZC395" s="104"/>
      <c r="JZD395" s="455"/>
      <c r="JZE395" s="104"/>
      <c r="JZF395" s="104"/>
      <c r="JZG395" s="109"/>
      <c r="JZH395" s="104"/>
      <c r="JZI395" s="104"/>
      <c r="JZJ395" s="119"/>
      <c r="JZK395" s="104"/>
      <c r="JZL395" s="455"/>
      <c r="JZM395" s="104"/>
      <c r="JZN395" s="104"/>
      <c r="JZO395" s="109"/>
      <c r="JZP395" s="104"/>
      <c r="JZQ395" s="104"/>
      <c r="JZR395" s="119"/>
      <c r="JZS395" s="104"/>
      <c r="JZT395" s="455"/>
      <c r="JZU395" s="104"/>
      <c r="JZV395" s="104"/>
      <c r="JZW395" s="109"/>
      <c r="JZX395" s="104"/>
      <c r="JZY395" s="104"/>
      <c r="JZZ395" s="119"/>
      <c r="KAA395" s="104"/>
      <c r="KAB395" s="455"/>
      <c r="KAC395" s="104"/>
      <c r="KAD395" s="104"/>
      <c r="KAE395" s="109"/>
      <c r="KAF395" s="104"/>
      <c r="KAG395" s="104"/>
      <c r="KAH395" s="119"/>
      <c r="KAI395" s="104"/>
      <c r="KAJ395" s="455"/>
      <c r="KAK395" s="104"/>
      <c r="KAL395" s="104"/>
      <c r="KAM395" s="109"/>
      <c r="KAN395" s="104"/>
      <c r="KAO395" s="104"/>
      <c r="KAP395" s="119"/>
      <c r="KAQ395" s="104"/>
      <c r="KAR395" s="455"/>
      <c r="KAS395" s="104"/>
      <c r="KAT395" s="104"/>
      <c r="KAU395" s="109"/>
      <c r="KAV395" s="104"/>
      <c r="KAW395" s="104"/>
      <c r="KAX395" s="119"/>
      <c r="KAY395" s="104"/>
      <c r="KAZ395" s="455"/>
      <c r="KBA395" s="104"/>
      <c r="KBB395" s="104"/>
      <c r="KBC395" s="109"/>
      <c r="KBD395" s="104"/>
      <c r="KBE395" s="104"/>
      <c r="KBF395" s="119"/>
      <c r="KBG395" s="104"/>
      <c r="KBH395" s="455"/>
      <c r="KBI395" s="104"/>
      <c r="KBJ395" s="104"/>
      <c r="KBK395" s="109"/>
      <c r="KBL395" s="104"/>
      <c r="KBM395" s="104"/>
      <c r="KBN395" s="119"/>
      <c r="KBO395" s="104"/>
      <c r="KBP395" s="455"/>
      <c r="KBQ395" s="104"/>
      <c r="KBR395" s="104"/>
      <c r="KBS395" s="109"/>
      <c r="KBT395" s="104"/>
      <c r="KBU395" s="104"/>
      <c r="KBV395" s="119"/>
      <c r="KBW395" s="104"/>
      <c r="KBX395" s="455"/>
      <c r="KBY395" s="104"/>
      <c r="KBZ395" s="104"/>
      <c r="KCA395" s="109"/>
      <c r="KCB395" s="104"/>
      <c r="KCC395" s="104"/>
      <c r="KCD395" s="119"/>
      <c r="KCE395" s="104"/>
      <c r="KCF395" s="455"/>
      <c r="KCG395" s="104"/>
      <c r="KCH395" s="104"/>
      <c r="KCI395" s="109"/>
      <c r="KCJ395" s="104"/>
      <c r="KCK395" s="104"/>
      <c r="KCL395" s="119"/>
      <c r="KCM395" s="104"/>
      <c r="KCN395" s="455"/>
      <c r="KCO395" s="104"/>
      <c r="KCP395" s="104"/>
      <c r="KCQ395" s="109"/>
      <c r="KCR395" s="104"/>
      <c r="KCS395" s="104"/>
      <c r="KCT395" s="119"/>
      <c r="KCU395" s="104"/>
      <c r="KCV395" s="455"/>
      <c r="KCW395" s="104"/>
      <c r="KCX395" s="104"/>
      <c r="KCY395" s="109"/>
      <c r="KCZ395" s="104"/>
      <c r="KDA395" s="104"/>
      <c r="KDB395" s="119"/>
      <c r="KDC395" s="104"/>
      <c r="KDD395" s="455"/>
      <c r="KDE395" s="104"/>
      <c r="KDF395" s="104"/>
      <c r="KDG395" s="109"/>
      <c r="KDH395" s="104"/>
      <c r="KDI395" s="104"/>
      <c r="KDJ395" s="119"/>
      <c r="KDK395" s="104"/>
      <c r="KDL395" s="455"/>
      <c r="KDM395" s="104"/>
      <c r="KDN395" s="104"/>
      <c r="KDO395" s="109"/>
      <c r="KDP395" s="104"/>
      <c r="KDQ395" s="104"/>
      <c r="KDR395" s="119"/>
      <c r="KDS395" s="104"/>
      <c r="KDT395" s="455"/>
      <c r="KDU395" s="104"/>
      <c r="KDV395" s="104"/>
      <c r="KDW395" s="109"/>
      <c r="KDX395" s="104"/>
      <c r="KDY395" s="104"/>
      <c r="KDZ395" s="119"/>
      <c r="KEA395" s="104"/>
      <c r="KEB395" s="455"/>
      <c r="KEC395" s="104"/>
      <c r="KED395" s="104"/>
      <c r="KEE395" s="109"/>
      <c r="KEF395" s="104"/>
      <c r="KEG395" s="104"/>
      <c r="KEH395" s="119"/>
      <c r="KEI395" s="104"/>
      <c r="KEJ395" s="455"/>
      <c r="KEK395" s="104"/>
      <c r="KEL395" s="104"/>
      <c r="KEM395" s="109"/>
      <c r="KEN395" s="104"/>
      <c r="KEO395" s="104"/>
      <c r="KEP395" s="119"/>
      <c r="KEQ395" s="104"/>
      <c r="KER395" s="455"/>
      <c r="KES395" s="104"/>
      <c r="KET395" s="104"/>
      <c r="KEU395" s="109"/>
      <c r="KEV395" s="104"/>
      <c r="KEW395" s="104"/>
      <c r="KEX395" s="119"/>
      <c r="KEY395" s="104"/>
      <c r="KEZ395" s="455"/>
      <c r="KFA395" s="104"/>
      <c r="KFB395" s="104"/>
      <c r="KFC395" s="109"/>
      <c r="KFD395" s="104"/>
      <c r="KFE395" s="104"/>
      <c r="KFF395" s="119"/>
      <c r="KFG395" s="104"/>
      <c r="KFH395" s="455"/>
      <c r="KFI395" s="104"/>
      <c r="KFJ395" s="104"/>
      <c r="KFK395" s="109"/>
      <c r="KFL395" s="104"/>
      <c r="KFM395" s="104"/>
      <c r="KFN395" s="119"/>
      <c r="KFO395" s="104"/>
      <c r="KFP395" s="455"/>
      <c r="KFQ395" s="104"/>
      <c r="KFR395" s="104"/>
      <c r="KFS395" s="109"/>
      <c r="KFT395" s="104"/>
      <c r="KFU395" s="104"/>
      <c r="KFV395" s="119"/>
      <c r="KFW395" s="104"/>
      <c r="KFX395" s="455"/>
      <c r="KFY395" s="104"/>
      <c r="KFZ395" s="104"/>
      <c r="KGA395" s="109"/>
      <c r="KGB395" s="104"/>
      <c r="KGC395" s="104"/>
      <c r="KGD395" s="119"/>
      <c r="KGE395" s="104"/>
      <c r="KGF395" s="455"/>
      <c r="KGG395" s="104"/>
      <c r="KGH395" s="104"/>
      <c r="KGI395" s="109"/>
      <c r="KGJ395" s="104"/>
      <c r="KGK395" s="104"/>
      <c r="KGL395" s="119"/>
      <c r="KGM395" s="104"/>
      <c r="KGN395" s="455"/>
      <c r="KGO395" s="104"/>
      <c r="KGP395" s="104"/>
      <c r="KGQ395" s="109"/>
      <c r="KGR395" s="104"/>
      <c r="KGS395" s="104"/>
      <c r="KGT395" s="119"/>
      <c r="KGU395" s="104"/>
      <c r="KGV395" s="455"/>
      <c r="KGW395" s="104"/>
      <c r="KGX395" s="104"/>
      <c r="KGY395" s="109"/>
      <c r="KGZ395" s="104"/>
      <c r="KHA395" s="104"/>
      <c r="KHB395" s="119"/>
      <c r="KHC395" s="104"/>
      <c r="KHD395" s="455"/>
      <c r="KHE395" s="104"/>
      <c r="KHF395" s="104"/>
      <c r="KHG395" s="109"/>
      <c r="KHH395" s="104"/>
      <c r="KHI395" s="104"/>
      <c r="KHJ395" s="119"/>
      <c r="KHK395" s="104"/>
      <c r="KHL395" s="455"/>
      <c r="KHM395" s="104"/>
      <c r="KHN395" s="104"/>
      <c r="KHO395" s="109"/>
      <c r="KHP395" s="104"/>
      <c r="KHQ395" s="104"/>
      <c r="KHR395" s="119"/>
      <c r="KHS395" s="104"/>
      <c r="KHT395" s="455"/>
      <c r="KHU395" s="104"/>
      <c r="KHV395" s="104"/>
      <c r="KHW395" s="109"/>
      <c r="KHX395" s="104"/>
      <c r="KHY395" s="104"/>
      <c r="KHZ395" s="119"/>
      <c r="KIA395" s="104"/>
      <c r="KIB395" s="455"/>
      <c r="KIC395" s="104"/>
      <c r="KID395" s="104"/>
      <c r="KIE395" s="109"/>
      <c r="KIF395" s="104"/>
      <c r="KIG395" s="104"/>
      <c r="KIH395" s="119"/>
      <c r="KII395" s="104"/>
      <c r="KIJ395" s="455"/>
      <c r="KIK395" s="104"/>
      <c r="KIL395" s="104"/>
      <c r="KIM395" s="109"/>
      <c r="KIN395" s="104"/>
      <c r="KIO395" s="104"/>
      <c r="KIP395" s="119"/>
      <c r="KIQ395" s="104"/>
      <c r="KIR395" s="455"/>
      <c r="KIS395" s="104"/>
      <c r="KIT395" s="104"/>
      <c r="KIU395" s="109"/>
      <c r="KIV395" s="104"/>
      <c r="KIW395" s="104"/>
      <c r="KIX395" s="119"/>
      <c r="KIY395" s="104"/>
      <c r="KIZ395" s="455"/>
      <c r="KJA395" s="104"/>
      <c r="KJB395" s="104"/>
      <c r="KJC395" s="109"/>
      <c r="KJD395" s="104"/>
      <c r="KJE395" s="104"/>
      <c r="KJF395" s="119"/>
      <c r="KJG395" s="104"/>
      <c r="KJH395" s="455"/>
      <c r="KJI395" s="104"/>
      <c r="KJJ395" s="104"/>
      <c r="KJK395" s="109"/>
      <c r="KJL395" s="104"/>
      <c r="KJM395" s="104"/>
      <c r="KJN395" s="119"/>
      <c r="KJO395" s="104"/>
      <c r="KJP395" s="455"/>
      <c r="KJQ395" s="104"/>
      <c r="KJR395" s="104"/>
      <c r="KJS395" s="109"/>
      <c r="KJT395" s="104"/>
      <c r="KJU395" s="104"/>
      <c r="KJV395" s="119"/>
      <c r="KJW395" s="104"/>
      <c r="KJX395" s="455"/>
      <c r="KJY395" s="104"/>
      <c r="KJZ395" s="104"/>
      <c r="KKA395" s="109"/>
      <c r="KKB395" s="104"/>
      <c r="KKC395" s="104"/>
      <c r="KKD395" s="119"/>
      <c r="KKE395" s="104"/>
      <c r="KKF395" s="455"/>
      <c r="KKG395" s="104"/>
      <c r="KKH395" s="104"/>
      <c r="KKI395" s="109"/>
      <c r="KKJ395" s="104"/>
      <c r="KKK395" s="104"/>
      <c r="KKL395" s="119"/>
      <c r="KKM395" s="104"/>
      <c r="KKN395" s="455"/>
      <c r="KKO395" s="104"/>
      <c r="KKP395" s="104"/>
      <c r="KKQ395" s="109"/>
      <c r="KKR395" s="104"/>
      <c r="KKS395" s="104"/>
      <c r="KKT395" s="119"/>
      <c r="KKU395" s="104"/>
      <c r="KKV395" s="455"/>
      <c r="KKW395" s="104"/>
      <c r="KKX395" s="104"/>
      <c r="KKY395" s="109"/>
      <c r="KKZ395" s="104"/>
      <c r="KLA395" s="104"/>
      <c r="KLB395" s="119"/>
      <c r="KLC395" s="104"/>
      <c r="KLD395" s="455"/>
      <c r="KLE395" s="104"/>
      <c r="KLF395" s="104"/>
      <c r="KLG395" s="109"/>
      <c r="KLH395" s="104"/>
      <c r="KLI395" s="104"/>
      <c r="KLJ395" s="119"/>
      <c r="KLK395" s="104"/>
      <c r="KLL395" s="455"/>
      <c r="KLM395" s="104"/>
      <c r="KLN395" s="104"/>
      <c r="KLO395" s="109"/>
      <c r="KLP395" s="104"/>
      <c r="KLQ395" s="104"/>
      <c r="KLR395" s="119"/>
      <c r="KLS395" s="104"/>
      <c r="KLT395" s="455"/>
      <c r="KLU395" s="104"/>
      <c r="KLV395" s="104"/>
      <c r="KLW395" s="109"/>
      <c r="KLX395" s="104"/>
      <c r="KLY395" s="104"/>
      <c r="KLZ395" s="119"/>
      <c r="KMA395" s="104"/>
      <c r="KMB395" s="455"/>
      <c r="KMC395" s="104"/>
      <c r="KMD395" s="104"/>
      <c r="KME395" s="109"/>
      <c r="KMF395" s="104"/>
      <c r="KMG395" s="104"/>
      <c r="KMH395" s="119"/>
      <c r="KMI395" s="104"/>
      <c r="KMJ395" s="455"/>
      <c r="KMK395" s="104"/>
      <c r="KML395" s="104"/>
      <c r="KMM395" s="109"/>
      <c r="KMN395" s="104"/>
      <c r="KMO395" s="104"/>
      <c r="KMP395" s="119"/>
      <c r="KMQ395" s="104"/>
      <c r="KMR395" s="455"/>
      <c r="KMS395" s="104"/>
      <c r="KMT395" s="104"/>
      <c r="KMU395" s="109"/>
      <c r="KMV395" s="104"/>
      <c r="KMW395" s="104"/>
      <c r="KMX395" s="119"/>
      <c r="KMY395" s="104"/>
      <c r="KMZ395" s="455"/>
      <c r="KNA395" s="104"/>
      <c r="KNB395" s="104"/>
      <c r="KNC395" s="109"/>
      <c r="KND395" s="104"/>
      <c r="KNE395" s="104"/>
      <c r="KNF395" s="119"/>
      <c r="KNG395" s="104"/>
      <c r="KNH395" s="455"/>
      <c r="KNI395" s="104"/>
      <c r="KNJ395" s="104"/>
      <c r="KNK395" s="109"/>
      <c r="KNL395" s="104"/>
      <c r="KNM395" s="104"/>
      <c r="KNN395" s="119"/>
      <c r="KNO395" s="104"/>
      <c r="KNP395" s="455"/>
      <c r="KNQ395" s="104"/>
      <c r="KNR395" s="104"/>
      <c r="KNS395" s="109"/>
      <c r="KNT395" s="104"/>
      <c r="KNU395" s="104"/>
      <c r="KNV395" s="119"/>
      <c r="KNW395" s="104"/>
      <c r="KNX395" s="455"/>
      <c r="KNY395" s="104"/>
      <c r="KNZ395" s="104"/>
      <c r="KOA395" s="109"/>
      <c r="KOB395" s="104"/>
      <c r="KOC395" s="104"/>
      <c r="KOD395" s="119"/>
      <c r="KOE395" s="104"/>
      <c r="KOF395" s="455"/>
      <c r="KOG395" s="104"/>
      <c r="KOH395" s="104"/>
      <c r="KOI395" s="109"/>
      <c r="KOJ395" s="104"/>
      <c r="KOK395" s="104"/>
      <c r="KOL395" s="119"/>
      <c r="KOM395" s="104"/>
      <c r="KON395" s="455"/>
      <c r="KOO395" s="104"/>
      <c r="KOP395" s="104"/>
      <c r="KOQ395" s="109"/>
      <c r="KOR395" s="104"/>
      <c r="KOS395" s="104"/>
      <c r="KOT395" s="119"/>
      <c r="KOU395" s="104"/>
      <c r="KOV395" s="455"/>
      <c r="KOW395" s="104"/>
      <c r="KOX395" s="104"/>
      <c r="KOY395" s="109"/>
      <c r="KOZ395" s="104"/>
      <c r="KPA395" s="104"/>
      <c r="KPB395" s="119"/>
      <c r="KPC395" s="104"/>
      <c r="KPD395" s="455"/>
      <c r="KPE395" s="104"/>
      <c r="KPF395" s="104"/>
      <c r="KPG395" s="109"/>
      <c r="KPH395" s="104"/>
      <c r="KPI395" s="104"/>
      <c r="KPJ395" s="119"/>
      <c r="KPK395" s="104"/>
      <c r="KPL395" s="455"/>
      <c r="KPM395" s="104"/>
      <c r="KPN395" s="104"/>
      <c r="KPO395" s="109"/>
      <c r="KPP395" s="104"/>
      <c r="KPQ395" s="104"/>
      <c r="KPR395" s="119"/>
      <c r="KPS395" s="104"/>
      <c r="KPT395" s="455"/>
      <c r="KPU395" s="104"/>
      <c r="KPV395" s="104"/>
      <c r="KPW395" s="109"/>
      <c r="KPX395" s="104"/>
      <c r="KPY395" s="104"/>
      <c r="KPZ395" s="119"/>
      <c r="KQA395" s="104"/>
      <c r="KQB395" s="455"/>
      <c r="KQC395" s="104"/>
      <c r="KQD395" s="104"/>
      <c r="KQE395" s="109"/>
      <c r="KQF395" s="104"/>
      <c r="KQG395" s="104"/>
      <c r="KQH395" s="119"/>
      <c r="KQI395" s="104"/>
      <c r="KQJ395" s="455"/>
      <c r="KQK395" s="104"/>
      <c r="KQL395" s="104"/>
      <c r="KQM395" s="109"/>
      <c r="KQN395" s="104"/>
      <c r="KQO395" s="104"/>
      <c r="KQP395" s="119"/>
      <c r="KQQ395" s="104"/>
      <c r="KQR395" s="455"/>
      <c r="KQS395" s="104"/>
      <c r="KQT395" s="104"/>
      <c r="KQU395" s="109"/>
      <c r="KQV395" s="104"/>
      <c r="KQW395" s="104"/>
      <c r="KQX395" s="119"/>
      <c r="KQY395" s="104"/>
      <c r="KQZ395" s="455"/>
      <c r="KRA395" s="104"/>
      <c r="KRB395" s="104"/>
      <c r="KRC395" s="109"/>
      <c r="KRD395" s="104"/>
      <c r="KRE395" s="104"/>
      <c r="KRF395" s="119"/>
      <c r="KRG395" s="104"/>
      <c r="KRH395" s="455"/>
      <c r="KRI395" s="104"/>
      <c r="KRJ395" s="104"/>
      <c r="KRK395" s="109"/>
      <c r="KRL395" s="104"/>
      <c r="KRM395" s="104"/>
      <c r="KRN395" s="119"/>
      <c r="KRO395" s="104"/>
      <c r="KRP395" s="455"/>
      <c r="KRQ395" s="104"/>
      <c r="KRR395" s="104"/>
      <c r="KRS395" s="109"/>
      <c r="KRT395" s="104"/>
      <c r="KRU395" s="104"/>
      <c r="KRV395" s="119"/>
      <c r="KRW395" s="104"/>
      <c r="KRX395" s="455"/>
      <c r="KRY395" s="104"/>
      <c r="KRZ395" s="104"/>
      <c r="KSA395" s="109"/>
      <c r="KSB395" s="104"/>
      <c r="KSC395" s="104"/>
      <c r="KSD395" s="119"/>
      <c r="KSE395" s="104"/>
      <c r="KSF395" s="455"/>
      <c r="KSG395" s="104"/>
      <c r="KSH395" s="104"/>
      <c r="KSI395" s="109"/>
      <c r="KSJ395" s="104"/>
      <c r="KSK395" s="104"/>
      <c r="KSL395" s="119"/>
      <c r="KSM395" s="104"/>
      <c r="KSN395" s="455"/>
      <c r="KSO395" s="104"/>
      <c r="KSP395" s="104"/>
      <c r="KSQ395" s="109"/>
      <c r="KSR395" s="104"/>
      <c r="KSS395" s="104"/>
      <c r="KST395" s="119"/>
      <c r="KSU395" s="104"/>
      <c r="KSV395" s="455"/>
      <c r="KSW395" s="104"/>
      <c r="KSX395" s="104"/>
      <c r="KSY395" s="109"/>
      <c r="KSZ395" s="104"/>
      <c r="KTA395" s="104"/>
      <c r="KTB395" s="119"/>
      <c r="KTC395" s="104"/>
      <c r="KTD395" s="455"/>
      <c r="KTE395" s="104"/>
      <c r="KTF395" s="104"/>
      <c r="KTG395" s="109"/>
      <c r="KTH395" s="104"/>
      <c r="KTI395" s="104"/>
      <c r="KTJ395" s="119"/>
      <c r="KTK395" s="104"/>
      <c r="KTL395" s="455"/>
      <c r="KTM395" s="104"/>
      <c r="KTN395" s="104"/>
      <c r="KTO395" s="109"/>
      <c r="KTP395" s="104"/>
      <c r="KTQ395" s="104"/>
      <c r="KTR395" s="119"/>
      <c r="KTS395" s="104"/>
      <c r="KTT395" s="455"/>
      <c r="KTU395" s="104"/>
      <c r="KTV395" s="104"/>
      <c r="KTW395" s="109"/>
      <c r="KTX395" s="104"/>
      <c r="KTY395" s="104"/>
      <c r="KTZ395" s="119"/>
      <c r="KUA395" s="104"/>
      <c r="KUB395" s="455"/>
      <c r="KUC395" s="104"/>
      <c r="KUD395" s="104"/>
      <c r="KUE395" s="109"/>
      <c r="KUF395" s="104"/>
      <c r="KUG395" s="104"/>
      <c r="KUH395" s="119"/>
      <c r="KUI395" s="104"/>
      <c r="KUJ395" s="455"/>
      <c r="KUK395" s="104"/>
      <c r="KUL395" s="104"/>
      <c r="KUM395" s="109"/>
      <c r="KUN395" s="104"/>
      <c r="KUO395" s="104"/>
      <c r="KUP395" s="119"/>
      <c r="KUQ395" s="104"/>
      <c r="KUR395" s="455"/>
      <c r="KUS395" s="104"/>
      <c r="KUT395" s="104"/>
      <c r="KUU395" s="109"/>
      <c r="KUV395" s="104"/>
      <c r="KUW395" s="104"/>
      <c r="KUX395" s="119"/>
      <c r="KUY395" s="104"/>
      <c r="KUZ395" s="455"/>
      <c r="KVA395" s="104"/>
      <c r="KVB395" s="104"/>
      <c r="KVC395" s="109"/>
      <c r="KVD395" s="104"/>
      <c r="KVE395" s="104"/>
      <c r="KVF395" s="119"/>
      <c r="KVG395" s="104"/>
      <c r="KVH395" s="455"/>
      <c r="KVI395" s="104"/>
      <c r="KVJ395" s="104"/>
      <c r="KVK395" s="109"/>
      <c r="KVL395" s="104"/>
      <c r="KVM395" s="104"/>
      <c r="KVN395" s="119"/>
      <c r="KVO395" s="104"/>
      <c r="KVP395" s="455"/>
      <c r="KVQ395" s="104"/>
      <c r="KVR395" s="104"/>
      <c r="KVS395" s="109"/>
      <c r="KVT395" s="104"/>
      <c r="KVU395" s="104"/>
      <c r="KVV395" s="119"/>
      <c r="KVW395" s="104"/>
      <c r="KVX395" s="455"/>
      <c r="KVY395" s="104"/>
      <c r="KVZ395" s="104"/>
      <c r="KWA395" s="109"/>
      <c r="KWB395" s="104"/>
      <c r="KWC395" s="104"/>
      <c r="KWD395" s="119"/>
      <c r="KWE395" s="104"/>
      <c r="KWF395" s="455"/>
      <c r="KWG395" s="104"/>
      <c r="KWH395" s="104"/>
      <c r="KWI395" s="109"/>
      <c r="KWJ395" s="104"/>
      <c r="KWK395" s="104"/>
      <c r="KWL395" s="119"/>
      <c r="KWM395" s="104"/>
      <c r="KWN395" s="455"/>
      <c r="KWO395" s="104"/>
      <c r="KWP395" s="104"/>
      <c r="KWQ395" s="109"/>
      <c r="KWR395" s="104"/>
      <c r="KWS395" s="104"/>
      <c r="KWT395" s="119"/>
      <c r="KWU395" s="104"/>
      <c r="KWV395" s="455"/>
      <c r="KWW395" s="104"/>
      <c r="KWX395" s="104"/>
      <c r="KWY395" s="109"/>
      <c r="KWZ395" s="104"/>
      <c r="KXA395" s="104"/>
      <c r="KXB395" s="119"/>
      <c r="KXC395" s="104"/>
      <c r="KXD395" s="455"/>
      <c r="KXE395" s="104"/>
      <c r="KXF395" s="104"/>
      <c r="KXG395" s="109"/>
      <c r="KXH395" s="104"/>
      <c r="KXI395" s="104"/>
      <c r="KXJ395" s="119"/>
      <c r="KXK395" s="104"/>
      <c r="KXL395" s="455"/>
      <c r="KXM395" s="104"/>
      <c r="KXN395" s="104"/>
      <c r="KXO395" s="109"/>
      <c r="KXP395" s="104"/>
      <c r="KXQ395" s="104"/>
      <c r="KXR395" s="119"/>
      <c r="KXS395" s="104"/>
      <c r="KXT395" s="455"/>
      <c r="KXU395" s="104"/>
      <c r="KXV395" s="104"/>
      <c r="KXW395" s="109"/>
      <c r="KXX395" s="104"/>
      <c r="KXY395" s="104"/>
      <c r="KXZ395" s="119"/>
      <c r="KYA395" s="104"/>
      <c r="KYB395" s="455"/>
      <c r="KYC395" s="104"/>
      <c r="KYD395" s="104"/>
      <c r="KYE395" s="109"/>
      <c r="KYF395" s="104"/>
      <c r="KYG395" s="104"/>
      <c r="KYH395" s="119"/>
      <c r="KYI395" s="104"/>
      <c r="KYJ395" s="455"/>
      <c r="KYK395" s="104"/>
      <c r="KYL395" s="104"/>
      <c r="KYM395" s="109"/>
      <c r="KYN395" s="104"/>
      <c r="KYO395" s="104"/>
      <c r="KYP395" s="119"/>
      <c r="KYQ395" s="104"/>
      <c r="KYR395" s="455"/>
      <c r="KYS395" s="104"/>
      <c r="KYT395" s="104"/>
      <c r="KYU395" s="109"/>
      <c r="KYV395" s="104"/>
      <c r="KYW395" s="104"/>
      <c r="KYX395" s="119"/>
      <c r="KYY395" s="104"/>
      <c r="KYZ395" s="455"/>
      <c r="KZA395" s="104"/>
      <c r="KZB395" s="104"/>
      <c r="KZC395" s="109"/>
      <c r="KZD395" s="104"/>
      <c r="KZE395" s="104"/>
      <c r="KZF395" s="119"/>
      <c r="KZG395" s="104"/>
      <c r="KZH395" s="455"/>
      <c r="KZI395" s="104"/>
      <c r="KZJ395" s="104"/>
      <c r="KZK395" s="109"/>
      <c r="KZL395" s="104"/>
      <c r="KZM395" s="104"/>
      <c r="KZN395" s="119"/>
      <c r="KZO395" s="104"/>
      <c r="KZP395" s="455"/>
      <c r="KZQ395" s="104"/>
      <c r="KZR395" s="104"/>
      <c r="KZS395" s="109"/>
      <c r="KZT395" s="104"/>
      <c r="KZU395" s="104"/>
      <c r="KZV395" s="119"/>
      <c r="KZW395" s="104"/>
      <c r="KZX395" s="455"/>
      <c r="KZY395" s="104"/>
      <c r="KZZ395" s="104"/>
      <c r="LAA395" s="109"/>
      <c r="LAB395" s="104"/>
      <c r="LAC395" s="104"/>
      <c r="LAD395" s="119"/>
      <c r="LAE395" s="104"/>
      <c r="LAF395" s="455"/>
      <c r="LAG395" s="104"/>
      <c r="LAH395" s="104"/>
      <c r="LAI395" s="109"/>
      <c r="LAJ395" s="104"/>
      <c r="LAK395" s="104"/>
      <c r="LAL395" s="119"/>
      <c r="LAM395" s="104"/>
      <c r="LAN395" s="455"/>
      <c r="LAO395" s="104"/>
      <c r="LAP395" s="104"/>
      <c r="LAQ395" s="109"/>
      <c r="LAR395" s="104"/>
      <c r="LAS395" s="104"/>
      <c r="LAT395" s="119"/>
      <c r="LAU395" s="104"/>
      <c r="LAV395" s="455"/>
      <c r="LAW395" s="104"/>
      <c r="LAX395" s="104"/>
      <c r="LAY395" s="109"/>
      <c r="LAZ395" s="104"/>
      <c r="LBA395" s="104"/>
      <c r="LBB395" s="119"/>
      <c r="LBC395" s="104"/>
      <c r="LBD395" s="455"/>
      <c r="LBE395" s="104"/>
      <c r="LBF395" s="104"/>
      <c r="LBG395" s="109"/>
      <c r="LBH395" s="104"/>
      <c r="LBI395" s="104"/>
      <c r="LBJ395" s="119"/>
      <c r="LBK395" s="104"/>
      <c r="LBL395" s="455"/>
      <c r="LBM395" s="104"/>
      <c r="LBN395" s="104"/>
      <c r="LBO395" s="109"/>
      <c r="LBP395" s="104"/>
      <c r="LBQ395" s="104"/>
      <c r="LBR395" s="119"/>
      <c r="LBS395" s="104"/>
      <c r="LBT395" s="455"/>
      <c r="LBU395" s="104"/>
      <c r="LBV395" s="104"/>
      <c r="LBW395" s="109"/>
      <c r="LBX395" s="104"/>
      <c r="LBY395" s="104"/>
      <c r="LBZ395" s="119"/>
      <c r="LCA395" s="104"/>
      <c r="LCB395" s="455"/>
      <c r="LCC395" s="104"/>
      <c r="LCD395" s="104"/>
      <c r="LCE395" s="109"/>
      <c r="LCF395" s="104"/>
      <c r="LCG395" s="104"/>
      <c r="LCH395" s="119"/>
      <c r="LCI395" s="104"/>
      <c r="LCJ395" s="455"/>
      <c r="LCK395" s="104"/>
      <c r="LCL395" s="104"/>
      <c r="LCM395" s="109"/>
      <c r="LCN395" s="104"/>
      <c r="LCO395" s="104"/>
      <c r="LCP395" s="119"/>
      <c r="LCQ395" s="104"/>
      <c r="LCR395" s="455"/>
      <c r="LCS395" s="104"/>
      <c r="LCT395" s="104"/>
      <c r="LCU395" s="109"/>
      <c r="LCV395" s="104"/>
      <c r="LCW395" s="104"/>
      <c r="LCX395" s="119"/>
      <c r="LCY395" s="104"/>
      <c r="LCZ395" s="455"/>
      <c r="LDA395" s="104"/>
      <c r="LDB395" s="104"/>
      <c r="LDC395" s="109"/>
      <c r="LDD395" s="104"/>
      <c r="LDE395" s="104"/>
      <c r="LDF395" s="119"/>
      <c r="LDG395" s="104"/>
      <c r="LDH395" s="455"/>
      <c r="LDI395" s="104"/>
      <c r="LDJ395" s="104"/>
      <c r="LDK395" s="109"/>
      <c r="LDL395" s="104"/>
      <c r="LDM395" s="104"/>
      <c r="LDN395" s="119"/>
      <c r="LDO395" s="104"/>
      <c r="LDP395" s="455"/>
      <c r="LDQ395" s="104"/>
      <c r="LDR395" s="104"/>
      <c r="LDS395" s="109"/>
      <c r="LDT395" s="104"/>
      <c r="LDU395" s="104"/>
      <c r="LDV395" s="119"/>
      <c r="LDW395" s="104"/>
      <c r="LDX395" s="455"/>
      <c r="LDY395" s="104"/>
      <c r="LDZ395" s="104"/>
      <c r="LEA395" s="109"/>
      <c r="LEB395" s="104"/>
      <c r="LEC395" s="104"/>
      <c r="LED395" s="119"/>
      <c r="LEE395" s="104"/>
      <c r="LEF395" s="455"/>
      <c r="LEG395" s="104"/>
      <c r="LEH395" s="104"/>
      <c r="LEI395" s="109"/>
      <c r="LEJ395" s="104"/>
      <c r="LEK395" s="104"/>
      <c r="LEL395" s="119"/>
      <c r="LEM395" s="104"/>
      <c r="LEN395" s="455"/>
      <c r="LEO395" s="104"/>
      <c r="LEP395" s="104"/>
      <c r="LEQ395" s="109"/>
      <c r="LER395" s="104"/>
      <c r="LES395" s="104"/>
      <c r="LET395" s="119"/>
      <c r="LEU395" s="104"/>
      <c r="LEV395" s="455"/>
      <c r="LEW395" s="104"/>
      <c r="LEX395" s="104"/>
      <c r="LEY395" s="109"/>
      <c r="LEZ395" s="104"/>
      <c r="LFA395" s="104"/>
      <c r="LFB395" s="119"/>
      <c r="LFC395" s="104"/>
      <c r="LFD395" s="455"/>
      <c r="LFE395" s="104"/>
      <c r="LFF395" s="104"/>
      <c r="LFG395" s="109"/>
      <c r="LFH395" s="104"/>
      <c r="LFI395" s="104"/>
      <c r="LFJ395" s="119"/>
      <c r="LFK395" s="104"/>
      <c r="LFL395" s="455"/>
      <c r="LFM395" s="104"/>
      <c r="LFN395" s="104"/>
      <c r="LFO395" s="109"/>
      <c r="LFP395" s="104"/>
      <c r="LFQ395" s="104"/>
      <c r="LFR395" s="119"/>
      <c r="LFS395" s="104"/>
      <c r="LFT395" s="455"/>
      <c r="LFU395" s="104"/>
      <c r="LFV395" s="104"/>
      <c r="LFW395" s="109"/>
      <c r="LFX395" s="104"/>
      <c r="LFY395" s="104"/>
      <c r="LFZ395" s="119"/>
      <c r="LGA395" s="104"/>
      <c r="LGB395" s="455"/>
      <c r="LGC395" s="104"/>
      <c r="LGD395" s="104"/>
      <c r="LGE395" s="109"/>
      <c r="LGF395" s="104"/>
      <c r="LGG395" s="104"/>
      <c r="LGH395" s="119"/>
      <c r="LGI395" s="104"/>
      <c r="LGJ395" s="455"/>
      <c r="LGK395" s="104"/>
      <c r="LGL395" s="104"/>
      <c r="LGM395" s="109"/>
      <c r="LGN395" s="104"/>
      <c r="LGO395" s="104"/>
      <c r="LGP395" s="119"/>
      <c r="LGQ395" s="104"/>
      <c r="LGR395" s="455"/>
      <c r="LGS395" s="104"/>
      <c r="LGT395" s="104"/>
      <c r="LGU395" s="109"/>
      <c r="LGV395" s="104"/>
      <c r="LGW395" s="104"/>
      <c r="LGX395" s="119"/>
      <c r="LGY395" s="104"/>
      <c r="LGZ395" s="455"/>
      <c r="LHA395" s="104"/>
      <c r="LHB395" s="104"/>
      <c r="LHC395" s="109"/>
      <c r="LHD395" s="104"/>
      <c r="LHE395" s="104"/>
      <c r="LHF395" s="119"/>
      <c r="LHG395" s="104"/>
      <c r="LHH395" s="455"/>
      <c r="LHI395" s="104"/>
      <c r="LHJ395" s="104"/>
      <c r="LHK395" s="109"/>
      <c r="LHL395" s="104"/>
      <c r="LHM395" s="104"/>
      <c r="LHN395" s="119"/>
      <c r="LHO395" s="104"/>
      <c r="LHP395" s="455"/>
      <c r="LHQ395" s="104"/>
      <c r="LHR395" s="104"/>
      <c r="LHS395" s="109"/>
      <c r="LHT395" s="104"/>
      <c r="LHU395" s="104"/>
      <c r="LHV395" s="119"/>
      <c r="LHW395" s="104"/>
      <c r="LHX395" s="455"/>
      <c r="LHY395" s="104"/>
      <c r="LHZ395" s="104"/>
      <c r="LIA395" s="109"/>
      <c r="LIB395" s="104"/>
      <c r="LIC395" s="104"/>
      <c r="LID395" s="119"/>
      <c r="LIE395" s="104"/>
      <c r="LIF395" s="455"/>
      <c r="LIG395" s="104"/>
      <c r="LIH395" s="104"/>
      <c r="LII395" s="109"/>
      <c r="LIJ395" s="104"/>
      <c r="LIK395" s="104"/>
      <c r="LIL395" s="119"/>
      <c r="LIM395" s="104"/>
      <c r="LIN395" s="455"/>
      <c r="LIO395" s="104"/>
      <c r="LIP395" s="104"/>
      <c r="LIQ395" s="109"/>
      <c r="LIR395" s="104"/>
      <c r="LIS395" s="104"/>
      <c r="LIT395" s="119"/>
      <c r="LIU395" s="104"/>
      <c r="LIV395" s="455"/>
      <c r="LIW395" s="104"/>
      <c r="LIX395" s="104"/>
      <c r="LIY395" s="109"/>
      <c r="LIZ395" s="104"/>
      <c r="LJA395" s="104"/>
      <c r="LJB395" s="119"/>
      <c r="LJC395" s="104"/>
      <c r="LJD395" s="455"/>
      <c r="LJE395" s="104"/>
      <c r="LJF395" s="104"/>
      <c r="LJG395" s="109"/>
      <c r="LJH395" s="104"/>
      <c r="LJI395" s="104"/>
      <c r="LJJ395" s="119"/>
      <c r="LJK395" s="104"/>
      <c r="LJL395" s="455"/>
      <c r="LJM395" s="104"/>
      <c r="LJN395" s="104"/>
      <c r="LJO395" s="109"/>
      <c r="LJP395" s="104"/>
      <c r="LJQ395" s="104"/>
      <c r="LJR395" s="119"/>
      <c r="LJS395" s="104"/>
      <c r="LJT395" s="455"/>
      <c r="LJU395" s="104"/>
      <c r="LJV395" s="104"/>
      <c r="LJW395" s="109"/>
      <c r="LJX395" s="104"/>
      <c r="LJY395" s="104"/>
      <c r="LJZ395" s="119"/>
      <c r="LKA395" s="104"/>
      <c r="LKB395" s="455"/>
      <c r="LKC395" s="104"/>
      <c r="LKD395" s="104"/>
      <c r="LKE395" s="109"/>
      <c r="LKF395" s="104"/>
      <c r="LKG395" s="104"/>
      <c r="LKH395" s="119"/>
      <c r="LKI395" s="104"/>
      <c r="LKJ395" s="455"/>
      <c r="LKK395" s="104"/>
      <c r="LKL395" s="104"/>
      <c r="LKM395" s="109"/>
      <c r="LKN395" s="104"/>
      <c r="LKO395" s="104"/>
      <c r="LKP395" s="119"/>
      <c r="LKQ395" s="104"/>
      <c r="LKR395" s="455"/>
      <c r="LKS395" s="104"/>
      <c r="LKT395" s="104"/>
      <c r="LKU395" s="109"/>
      <c r="LKV395" s="104"/>
      <c r="LKW395" s="104"/>
      <c r="LKX395" s="119"/>
      <c r="LKY395" s="104"/>
      <c r="LKZ395" s="455"/>
      <c r="LLA395" s="104"/>
      <c r="LLB395" s="104"/>
      <c r="LLC395" s="109"/>
      <c r="LLD395" s="104"/>
      <c r="LLE395" s="104"/>
      <c r="LLF395" s="119"/>
      <c r="LLG395" s="104"/>
      <c r="LLH395" s="455"/>
      <c r="LLI395" s="104"/>
      <c r="LLJ395" s="104"/>
      <c r="LLK395" s="109"/>
      <c r="LLL395" s="104"/>
      <c r="LLM395" s="104"/>
      <c r="LLN395" s="119"/>
      <c r="LLO395" s="104"/>
      <c r="LLP395" s="455"/>
      <c r="LLQ395" s="104"/>
      <c r="LLR395" s="104"/>
      <c r="LLS395" s="109"/>
      <c r="LLT395" s="104"/>
      <c r="LLU395" s="104"/>
      <c r="LLV395" s="119"/>
      <c r="LLW395" s="104"/>
      <c r="LLX395" s="455"/>
      <c r="LLY395" s="104"/>
      <c r="LLZ395" s="104"/>
      <c r="LMA395" s="109"/>
      <c r="LMB395" s="104"/>
      <c r="LMC395" s="104"/>
      <c r="LMD395" s="119"/>
      <c r="LME395" s="104"/>
      <c r="LMF395" s="455"/>
      <c r="LMG395" s="104"/>
      <c r="LMH395" s="104"/>
      <c r="LMI395" s="109"/>
      <c r="LMJ395" s="104"/>
      <c r="LMK395" s="104"/>
      <c r="LML395" s="119"/>
      <c r="LMM395" s="104"/>
      <c r="LMN395" s="455"/>
      <c r="LMO395" s="104"/>
      <c r="LMP395" s="104"/>
      <c r="LMQ395" s="109"/>
      <c r="LMR395" s="104"/>
      <c r="LMS395" s="104"/>
      <c r="LMT395" s="119"/>
      <c r="LMU395" s="104"/>
      <c r="LMV395" s="455"/>
      <c r="LMW395" s="104"/>
      <c r="LMX395" s="104"/>
      <c r="LMY395" s="109"/>
      <c r="LMZ395" s="104"/>
      <c r="LNA395" s="104"/>
      <c r="LNB395" s="119"/>
      <c r="LNC395" s="104"/>
      <c r="LND395" s="455"/>
      <c r="LNE395" s="104"/>
      <c r="LNF395" s="104"/>
      <c r="LNG395" s="109"/>
      <c r="LNH395" s="104"/>
      <c r="LNI395" s="104"/>
      <c r="LNJ395" s="119"/>
      <c r="LNK395" s="104"/>
      <c r="LNL395" s="455"/>
      <c r="LNM395" s="104"/>
      <c r="LNN395" s="104"/>
      <c r="LNO395" s="109"/>
      <c r="LNP395" s="104"/>
      <c r="LNQ395" s="104"/>
      <c r="LNR395" s="119"/>
      <c r="LNS395" s="104"/>
      <c r="LNT395" s="455"/>
      <c r="LNU395" s="104"/>
      <c r="LNV395" s="104"/>
      <c r="LNW395" s="109"/>
      <c r="LNX395" s="104"/>
      <c r="LNY395" s="104"/>
      <c r="LNZ395" s="119"/>
      <c r="LOA395" s="104"/>
      <c r="LOB395" s="455"/>
      <c r="LOC395" s="104"/>
      <c r="LOD395" s="104"/>
      <c r="LOE395" s="109"/>
      <c r="LOF395" s="104"/>
      <c r="LOG395" s="104"/>
      <c r="LOH395" s="119"/>
      <c r="LOI395" s="104"/>
      <c r="LOJ395" s="455"/>
      <c r="LOK395" s="104"/>
      <c r="LOL395" s="104"/>
      <c r="LOM395" s="109"/>
      <c r="LON395" s="104"/>
      <c r="LOO395" s="104"/>
      <c r="LOP395" s="119"/>
      <c r="LOQ395" s="104"/>
      <c r="LOR395" s="455"/>
      <c r="LOS395" s="104"/>
      <c r="LOT395" s="104"/>
      <c r="LOU395" s="109"/>
      <c r="LOV395" s="104"/>
      <c r="LOW395" s="104"/>
      <c r="LOX395" s="119"/>
      <c r="LOY395" s="104"/>
      <c r="LOZ395" s="455"/>
      <c r="LPA395" s="104"/>
      <c r="LPB395" s="104"/>
      <c r="LPC395" s="109"/>
      <c r="LPD395" s="104"/>
      <c r="LPE395" s="104"/>
      <c r="LPF395" s="119"/>
      <c r="LPG395" s="104"/>
      <c r="LPH395" s="455"/>
      <c r="LPI395" s="104"/>
      <c r="LPJ395" s="104"/>
      <c r="LPK395" s="109"/>
      <c r="LPL395" s="104"/>
      <c r="LPM395" s="104"/>
      <c r="LPN395" s="119"/>
      <c r="LPO395" s="104"/>
      <c r="LPP395" s="455"/>
      <c r="LPQ395" s="104"/>
      <c r="LPR395" s="104"/>
      <c r="LPS395" s="109"/>
      <c r="LPT395" s="104"/>
      <c r="LPU395" s="104"/>
      <c r="LPV395" s="119"/>
      <c r="LPW395" s="104"/>
      <c r="LPX395" s="455"/>
      <c r="LPY395" s="104"/>
      <c r="LPZ395" s="104"/>
      <c r="LQA395" s="109"/>
      <c r="LQB395" s="104"/>
      <c r="LQC395" s="104"/>
      <c r="LQD395" s="119"/>
      <c r="LQE395" s="104"/>
      <c r="LQF395" s="455"/>
      <c r="LQG395" s="104"/>
      <c r="LQH395" s="104"/>
      <c r="LQI395" s="109"/>
      <c r="LQJ395" s="104"/>
      <c r="LQK395" s="104"/>
      <c r="LQL395" s="119"/>
      <c r="LQM395" s="104"/>
      <c r="LQN395" s="455"/>
      <c r="LQO395" s="104"/>
      <c r="LQP395" s="104"/>
      <c r="LQQ395" s="109"/>
      <c r="LQR395" s="104"/>
      <c r="LQS395" s="104"/>
      <c r="LQT395" s="119"/>
      <c r="LQU395" s="104"/>
      <c r="LQV395" s="455"/>
      <c r="LQW395" s="104"/>
      <c r="LQX395" s="104"/>
      <c r="LQY395" s="109"/>
      <c r="LQZ395" s="104"/>
      <c r="LRA395" s="104"/>
      <c r="LRB395" s="119"/>
      <c r="LRC395" s="104"/>
      <c r="LRD395" s="455"/>
      <c r="LRE395" s="104"/>
      <c r="LRF395" s="104"/>
      <c r="LRG395" s="109"/>
      <c r="LRH395" s="104"/>
      <c r="LRI395" s="104"/>
      <c r="LRJ395" s="119"/>
      <c r="LRK395" s="104"/>
      <c r="LRL395" s="455"/>
      <c r="LRM395" s="104"/>
      <c r="LRN395" s="104"/>
      <c r="LRO395" s="109"/>
      <c r="LRP395" s="104"/>
      <c r="LRQ395" s="104"/>
      <c r="LRR395" s="119"/>
      <c r="LRS395" s="104"/>
      <c r="LRT395" s="455"/>
      <c r="LRU395" s="104"/>
      <c r="LRV395" s="104"/>
      <c r="LRW395" s="109"/>
      <c r="LRX395" s="104"/>
      <c r="LRY395" s="104"/>
      <c r="LRZ395" s="119"/>
      <c r="LSA395" s="104"/>
      <c r="LSB395" s="455"/>
      <c r="LSC395" s="104"/>
      <c r="LSD395" s="104"/>
      <c r="LSE395" s="109"/>
      <c r="LSF395" s="104"/>
      <c r="LSG395" s="104"/>
      <c r="LSH395" s="119"/>
      <c r="LSI395" s="104"/>
      <c r="LSJ395" s="455"/>
      <c r="LSK395" s="104"/>
      <c r="LSL395" s="104"/>
      <c r="LSM395" s="109"/>
      <c r="LSN395" s="104"/>
      <c r="LSO395" s="104"/>
      <c r="LSP395" s="119"/>
      <c r="LSQ395" s="104"/>
      <c r="LSR395" s="455"/>
      <c r="LSS395" s="104"/>
      <c r="LST395" s="104"/>
      <c r="LSU395" s="109"/>
      <c r="LSV395" s="104"/>
      <c r="LSW395" s="104"/>
      <c r="LSX395" s="119"/>
      <c r="LSY395" s="104"/>
      <c r="LSZ395" s="455"/>
      <c r="LTA395" s="104"/>
      <c r="LTB395" s="104"/>
      <c r="LTC395" s="109"/>
      <c r="LTD395" s="104"/>
      <c r="LTE395" s="104"/>
      <c r="LTF395" s="119"/>
      <c r="LTG395" s="104"/>
      <c r="LTH395" s="455"/>
      <c r="LTI395" s="104"/>
      <c r="LTJ395" s="104"/>
      <c r="LTK395" s="109"/>
      <c r="LTL395" s="104"/>
      <c r="LTM395" s="104"/>
      <c r="LTN395" s="119"/>
      <c r="LTO395" s="104"/>
      <c r="LTP395" s="455"/>
      <c r="LTQ395" s="104"/>
      <c r="LTR395" s="104"/>
      <c r="LTS395" s="109"/>
      <c r="LTT395" s="104"/>
      <c r="LTU395" s="104"/>
      <c r="LTV395" s="119"/>
      <c r="LTW395" s="104"/>
      <c r="LTX395" s="455"/>
      <c r="LTY395" s="104"/>
      <c r="LTZ395" s="104"/>
      <c r="LUA395" s="109"/>
      <c r="LUB395" s="104"/>
      <c r="LUC395" s="104"/>
      <c r="LUD395" s="119"/>
      <c r="LUE395" s="104"/>
      <c r="LUF395" s="455"/>
      <c r="LUG395" s="104"/>
      <c r="LUH395" s="104"/>
      <c r="LUI395" s="109"/>
      <c r="LUJ395" s="104"/>
      <c r="LUK395" s="104"/>
      <c r="LUL395" s="119"/>
      <c r="LUM395" s="104"/>
      <c r="LUN395" s="455"/>
      <c r="LUO395" s="104"/>
      <c r="LUP395" s="104"/>
      <c r="LUQ395" s="109"/>
      <c r="LUR395" s="104"/>
      <c r="LUS395" s="104"/>
      <c r="LUT395" s="119"/>
      <c r="LUU395" s="104"/>
      <c r="LUV395" s="455"/>
      <c r="LUW395" s="104"/>
      <c r="LUX395" s="104"/>
      <c r="LUY395" s="109"/>
      <c r="LUZ395" s="104"/>
      <c r="LVA395" s="104"/>
      <c r="LVB395" s="119"/>
      <c r="LVC395" s="104"/>
      <c r="LVD395" s="455"/>
      <c r="LVE395" s="104"/>
      <c r="LVF395" s="104"/>
      <c r="LVG395" s="109"/>
      <c r="LVH395" s="104"/>
      <c r="LVI395" s="104"/>
      <c r="LVJ395" s="119"/>
      <c r="LVK395" s="104"/>
      <c r="LVL395" s="455"/>
      <c r="LVM395" s="104"/>
      <c r="LVN395" s="104"/>
      <c r="LVO395" s="109"/>
      <c r="LVP395" s="104"/>
      <c r="LVQ395" s="104"/>
      <c r="LVR395" s="119"/>
      <c r="LVS395" s="104"/>
      <c r="LVT395" s="455"/>
      <c r="LVU395" s="104"/>
      <c r="LVV395" s="104"/>
      <c r="LVW395" s="109"/>
      <c r="LVX395" s="104"/>
      <c r="LVY395" s="104"/>
      <c r="LVZ395" s="119"/>
      <c r="LWA395" s="104"/>
      <c r="LWB395" s="455"/>
      <c r="LWC395" s="104"/>
      <c r="LWD395" s="104"/>
      <c r="LWE395" s="109"/>
      <c r="LWF395" s="104"/>
      <c r="LWG395" s="104"/>
      <c r="LWH395" s="119"/>
      <c r="LWI395" s="104"/>
      <c r="LWJ395" s="455"/>
      <c r="LWK395" s="104"/>
      <c r="LWL395" s="104"/>
      <c r="LWM395" s="109"/>
      <c r="LWN395" s="104"/>
      <c r="LWO395" s="104"/>
      <c r="LWP395" s="119"/>
      <c r="LWQ395" s="104"/>
      <c r="LWR395" s="455"/>
      <c r="LWS395" s="104"/>
      <c r="LWT395" s="104"/>
      <c r="LWU395" s="109"/>
      <c r="LWV395" s="104"/>
      <c r="LWW395" s="104"/>
      <c r="LWX395" s="119"/>
      <c r="LWY395" s="104"/>
      <c r="LWZ395" s="455"/>
      <c r="LXA395" s="104"/>
      <c r="LXB395" s="104"/>
      <c r="LXC395" s="109"/>
      <c r="LXD395" s="104"/>
      <c r="LXE395" s="104"/>
      <c r="LXF395" s="119"/>
      <c r="LXG395" s="104"/>
      <c r="LXH395" s="455"/>
      <c r="LXI395" s="104"/>
      <c r="LXJ395" s="104"/>
      <c r="LXK395" s="109"/>
      <c r="LXL395" s="104"/>
      <c r="LXM395" s="104"/>
      <c r="LXN395" s="119"/>
      <c r="LXO395" s="104"/>
      <c r="LXP395" s="455"/>
      <c r="LXQ395" s="104"/>
      <c r="LXR395" s="104"/>
      <c r="LXS395" s="109"/>
      <c r="LXT395" s="104"/>
      <c r="LXU395" s="104"/>
      <c r="LXV395" s="119"/>
      <c r="LXW395" s="104"/>
      <c r="LXX395" s="455"/>
      <c r="LXY395" s="104"/>
      <c r="LXZ395" s="104"/>
      <c r="LYA395" s="109"/>
      <c r="LYB395" s="104"/>
      <c r="LYC395" s="104"/>
      <c r="LYD395" s="119"/>
      <c r="LYE395" s="104"/>
      <c r="LYF395" s="455"/>
      <c r="LYG395" s="104"/>
      <c r="LYH395" s="104"/>
      <c r="LYI395" s="109"/>
      <c r="LYJ395" s="104"/>
      <c r="LYK395" s="104"/>
      <c r="LYL395" s="119"/>
      <c r="LYM395" s="104"/>
      <c r="LYN395" s="455"/>
      <c r="LYO395" s="104"/>
      <c r="LYP395" s="104"/>
      <c r="LYQ395" s="109"/>
      <c r="LYR395" s="104"/>
      <c r="LYS395" s="104"/>
      <c r="LYT395" s="119"/>
      <c r="LYU395" s="104"/>
      <c r="LYV395" s="455"/>
      <c r="LYW395" s="104"/>
      <c r="LYX395" s="104"/>
      <c r="LYY395" s="109"/>
      <c r="LYZ395" s="104"/>
      <c r="LZA395" s="104"/>
      <c r="LZB395" s="119"/>
      <c r="LZC395" s="104"/>
      <c r="LZD395" s="455"/>
      <c r="LZE395" s="104"/>
      <c r="LZF395" s="104"/>
      <c r="LZG395" s="109"/>
      <c r="LZH395" s="104"/>
      <c r="LZI395" s="104"/>
      <c r="LZJ395" s="119"/>
      <c r="LZK395" s="104"/>
      <c r="LZL395" s="455"/>
      <c r="LZM395" s="104"/>
      <c r="LZN395" s="104"/>
      <c r="LZO395" s="109"/>
      <c r="LZP395" s="104"/>
      <c r="LZQ395" s="104"/>
      <c r="LZR395" s="119"/>
      <c r="LZS395" s="104"/>
      <c r="LZT395" s="455"/>
      <c r="LZU395" s="104"/>
      <c r="LZV395" s="104"/>
      <c r="LZW395" s="109"/>
      <c r="LZX395" s="104"/>
      <c r="LZY395" s="104"/>
      <c r="LZZ395" s="119"/>
      <c r="MAA395" s="104"/>
      <c r="MAB395" s="455"/>
      <c r="MAC395" s="104"/>
      <c r="MAD395" s="104"/>
      <c r="MAE395" s="109"/>
      <c r="MAF395" s="104"/>
      <c r="MAG395" s="104"/>
      <c r="MAH395" s="119"/>
      <c r="MAI395" s="104"/>
      <c r="MAJ395" s="455"/>
      <c r="MAK395" s="104"/>
      <c r="MAL395" s="104"/>
      <c r="MAM395" s="109"/>
      <c r="MAN395" s="104"/>
      <c r="MAO395" s="104"/>
      <c r="MAP395" s="119"/>
      <c r="MAQ395" s="104"/>
      <c r="MAR395" s="455"/>
      <c r="MAS395" s="104"/>
      <c r="MAT395" s="104"/>
      <c r="MAU395" s="109"/>
      <c r="MAV395" s="104"/>
      <c r="MAW395" s="104"/>
      <c r="MAX395" s="119"/>
      <c r="MAY395" s="104"/>
      <c r="MAZ395" s="455"/>
      <c r="MBA395" s="104"/>
      <c r="MBB395" s="104"/>
      <c r="MBC395" s="109"/>
      <c r="MBD395" s="104"/>
      <c r="MBE395" s="104"/>
      <c r="MBF395" s="119"/>
      <c r="MBG395" s="104"/>
      <c r="MBH395" s="455"/>
      <c r="MBI395" s="104"/>
      <c r="MBJ395" s="104"/>
      <c r="MBK395" s="109"/>
      <c r="MBL395" s="104"/>
      <c r="MBM395" s="104"/>
      <c r="MBN395" s="119"/>
      <c r="MBO395" s="104"/>
      <c r="MBP395" s="455"/>
      <c r="MBQ395" s="104"/>
      <c r="MBR395" s="104"/>
      <c r="MBS395" s="109"/>
      <c r="MBT395" s="104"/>
      <c r="MBU395" s="104"/>
      <c r="MBV395" s="119"/>
      <c r="MBW395" s="104"/>
      <c r="MBX395" s="455"/>
      <c r="MBY395" s="104"/>
      <c r="MBZ395" s="104"/>
      <c r="MCA395" s="109"/>
      <c r="MCB395" s="104"/>
      <c r="MCC395" s="104"/>
      <c r="MCD395" s="119"/>
      <c r="MCE395" s="104"/>
      <c r="MCF395" s="455"/>
      <c r="MCG395" s="104"/>
      <c r="MCH395" s="104"/>
      <c r="MCI395" s="109"/>
      <c r="MCJ395" s="104"/>
      <c r="MCK395" s="104"/>
      <c r="MCL395" s="119"/>
      <c r="MCM395" s="104"/>
      <c r="MCN395" s="455"/>
      <c r="MCO395" s="104"/>
      <c r="MCP395" s="104"/>
      <c r="MCQ395" s="109"/>
      <c r="MCR395" s="104"/>
      <c r="MCS395" s="104"/>
      <c r="MCT395" s="119"/>
      <c r="MCU395" s="104"/>
      <c r="MCV395" s="455"/>
      <c r="MCW395" s="104"/>
      <c r="MCX395" s="104"/>
      <c r="MCY395" s="109"/>
      <c r="MCZ395" s="104"/>
      <c r="MDA395" s="104"/>
      <c r="MDB395" s="119"/>
      <c r="MDC395" s="104"/>
      <c r="MDD395" s="455"/>
      <c r="MDE395" s="104"/>
      <c r="MDF395" s="104"/>
      <c r="MDG395" s="109"/>
      <c r="MDH395" s="104"/>
      <c r="MDI395" s="104"/>
      <c r="MDJ395" s="119"/>
      <c r="MDK395" s="104"/>
      <c r="MDL395" s="455"/>
      <c r="MDM395" s="104"/>
      <c r="MDN395" s="104"/>
      <c r="MDO395" s="109"/>
      <c r="MDP395" s="104"/>
      <c r="MDQ395" s="104"/>
      <c r="MDR395" s="119"/>
      <c r="MDS395" s="104"/>
      <c r="MDT395" s="455"/>
      <c r="MDU395" s="104"/>
      <c r="MDV395" s="104"/>
      <c r="MDW395" s="109"/>
      <c r="MDX395" s="104"/>
      <c r="MDY395" s="104"/>
      <c r="MDZ395" s="119"/>
      <c r="MEA395" s="104"/>
      <c r="MEB395" s="455"/>
      <c r="MEC395" s="104"/>
      <c r="MED395" s="104"/>
      <c r="MEE395" s="109"/>
      <c r="MEF395" s="104"/>
      <c r="MEG395" s="104"/>
      <c r="MEH395" s="119"/>
      <c r="MEI395" s="104"/>
      <c r="MEJ395" s="455"/>
      <c r="MEK395" s="104"/>
      <c r="MEL395" s="104"/>
      <c r="MEM395" s="109"/>
      <c r="MEN395" s="104"/>
      <c r="MEO395" s="104"/>
      <c r="MEP395" s="119"/>
      <c r="MEQ395" s="104"/>
      <c r="MER395" s="455"/>
      <c r="MES395" s="104"/>
      <c r="MET395" s="104"/>
      <c r="MEU395" s="109"/>
      <c r="MEV395" s="104"/>
      <c r="MEW395" s="104"/>
      <c r="MEX395" s="119"/>
      <c r="MEY395" s="104"/>
      <c r="MEZ395" s="455"/>
      <c r="MFA395" s="104"/>
      <c r="MFB395" s="104"/>
      <c r="MFC395" s="109"/>
      <c r="MFD395" s="104"/>
      <c r="MFE395" s="104"/>
      <c r="MFF395" s="119"/>
      <c r="MFG395" s="104"/>
      <c r="MFH395" s="455"/>
      <c r="MFI395" s="104"/>
      <c r="MFJ395" s="104"/>
      <c r="MFK395" s="109"/>
      <c r="MFL395" s="104"/>
      <c r="MFM395" s="104"/>
      <c r="MFN395" s="119"/>
      <c r="MFO395" s="104"/>
      <c r="MFP395" s="455"/>
      <c r="MFQ395" s="104"/>
      <c r="MFR395" s="104"/>
      <c r="MFS395" s="109"/>
      <c r="MFT395" s="104"/>
      <c r="MFU395" s="104"/>
      <c r="MFV395" s="119"/>
      <c r="MFW395" s="104"/>
      <c r="MFX395" s="455"/>
      <c r="MFY395" s="104"/>
      <c r="MFZ395" s="104"/>
      <c r="MGA395" s="109"/>
      <c r="MGB395" s="104"/>
      <c r="MGC395" s="104"/>
      <c r="MGD395" s="119"/>
      <c r="MGE395" s="104"/>
      <c r="MGF395" s="455"/>
      <c r="MGG395" s="104"/>
      <c r="MGH395" s="104"/>
      <c r="MGI395" s="109"/>
      <c r="MGJ395" s="104"/>
      <c r="MGK395" s="104"/>
      <c r="MGL395" s="119"/>
      <c r="MGM395" s="104"/>
      <c r="MGN395" s="455"/>
      <c r="MGO395" s="104"/>
      <c r="MGP395" s="104"/>
      <c r="MGQ395" s="109"/>
      <c r="MGR395" s="104"/>
      <c r="MGS395" s="104"/>
      <c r="MGT395" s="119"/>
      <c r="MGU395" s="104"/>
      <c r="MGV395" s="455"/>
      <c r="MGW395" s="104"/>
      <c r="MGX395" s="104"/>
      <c r="MGY395" s="109"/>
      <c r="MGZ395" s="104"/>
      <c r="MHA395" s="104"/>
      <c r="MHB395" s="119"/>
      <c r="MHC395" s="104"/>
      <c r="MHD395" s="455"/>
      <c r="MHE395" s="104"/>
      <c r="MHF395" s="104"/>
      <c r="MHG395" s="109"/>
      <c r="MHH395" s="104"/>
      <c r="MHI395" s="104"/>
      <c r="MHJ395" s="119"/>
      <c r="MHK395" s="104"/>
      <c r="MHL395" s="455"/>
      <c r="MHM395" s="104"/>
      <c r="MHN395" s="104"/>
      <c r="MHO395" s="109"/>
      <c r="MHP395" s="104"/>
      <c r="MHQ395" s="104"/>
      <c r="MHR395" s="119"/>
      <c r="MHS395" s="104"/>
      <c r="MHT395" s="455"/>
      <c r="MHU395" s="104"/>
      <c r="MHV395" s="104"/>
      <c r="MHW395" s="109"/>
      <c r="MHX395" s="104"/>
      <c r="MHY395" s="104"/>
      <c r="MHZ395" s="119"/>
      <c r="MIA395" s="104"/>
      <c r="MIB395" s="455"/>
      <c r="MIC395" s="104"/>
      <c r="MID395" s="104"/>
      <c r="MIE395" s="109"/>
      <c r="MIF395" s="104"/>
      <c r="MIG395" s="104"/>
      <c r="MIH395" s="119"/>
      <c r="MII395" s="104"/>
      <c r="MIJ395" s="455"/>
      <c r="MIK395" s="104"/>
      <c r="MIL395" s="104"/>
      <c r="MIM395" s="109"/>
      <c r="MIN395" s="104"/>
      <c r="MIO395" s="104"/>
      <c r="MIP395" s="119"/>
      <c r="MIQ395" s="104"/>
      <c r="MIR395" s="455"/>
      <c r="MIS395" s="104"/>
      <c r="MIT395" s="104"/>
      <c r="MIU395" s="109"/>
      <c r="MIV395" s="104"/>
      <c r="MIW395" s="104"/>
      <c r="MIX395" s="119"/>
      <c r="MIY395" s="104"/>
      <c r="MIZ395" s="455"/>
      <c r="MJA395" s="104"/>
      <c r="MJB395" s="104"/>
      <c r="MJC395" s="109"/>
      <c r="MJD395" s="104"/>
      <c r="MJE395" s="104"/>
      <c r="MJF395" s="119"/>
      <c r="MJG395" s="104"/>
      <c r="MJH395" s="455"/>
      <c r="MJI395" s="104"/>
      <c r="MJJ395" s="104"/>
      <c r="MJK395" s="109"/>
      <c r="MJL395" s="104"/>
      <c r="MJM395" s="104"/>
      <c r="MJN395" s="119"/>
      <c r="MJO395" s="104"/>
      <c r="MJP395" s="455"/>
      <c r="MJQ395" s="104"/>
      <c r="MJR395" s="104"/>
      <c r="MJS395" s="109"/>
      <c r="MJT395" s="104"/>
      <c r="MJU395" s="104"/>
      <c r="MJV395" s="119"/>
      <c r="MJW395" s="104"/>
      <c r="MJX395" s="455"/>
      <c r="MJY395" s="104"/>
      <c r="MJZ395" s="104"/>
      <c r="MKA395" s="109"/>
      <c r="MKB395" s="104"/>
      <c r="MKC395" s="104"/>
      <c r="MKD395" s="119"/>
      <c r="MKE395" s="104"/>
      <c r="MKF395" s="455"/>
      <c r="MKG395" s="104"/>
      <c r="MKH395" s="104"/>
      <c r="MKI395" s="109"/>
      <c r="MKJ395" s="104"/>
      <c r="MKK395" s="104"/>
      <c r="MKL395" s="119"/>
      <c r="MKM395" s="104"/>
      <c r="MKN395" s="455"/>
      <c r="MKO395" s="104"/>
      <c r="MKP395" s="104"/>
      <c r="MKQ395" s="109"/>
      <c r="MKR395" s="104"/>
      <c r="MKS395" s="104"/>
      <c r="MKT395" s="119"/>
      <c r="MKU395" s="104"/>
      <c r="MKV395" s="455"/>
      <c r="MKW395" s="104"/>
      <c r="MKX395" s="104"/>
      <c r="MKY395" s="109"/>
      <c r="MKZ395" s="104"/>
      <c r="MLA395" s="104"/>
      <c r="MLB395" s="119"/>
      <c r="MLC395" s="104"/>
      <c r="MLD395" s="455"/>
      <c r="MLE395" s="104"/>
      <c r="MLF395" s="104"/>
      <c r="MLG395" s="109"/>
      <c r="MLH395" s="104"/>
      <c r="MLI395" s="104"/>
      <c r="MLJ395" s="119"/>
      <c r="MLK395" s="104"/>
      <c r="MLL395" s="455"/>
      <c r="MLM395" s="104"/>
      <c r="MLN395" s="104"/>
      <c r="MLO395" s="109"/>
      <c r="MLP395" s="104"/>
      <c r="MLQ395" s="104"/>
      <c r="MLR395" s="119"/>
      <c r="MLS395" s="104"/>
      <c r="MLT395" s="455"/>
      <c r="MLU395" s="104"/>
      <c r="MLV395" s="104"/>
      <c r="MLW395" s="109"/>
      <c r="MLX395" s="104"/>
      <c r="MLY395" s="104"/>
      <c r="MLZ395" s="119"/>
      <c r="MMA395" s="104"/>
      <c r="MMB395" s="455"/>
      <c r="MMC395" s="104"/>
      <c r="MMD395" s="104"/>
      <c r="MME395" s="109"/>
      <c r="MMF395" s="104"/>
      <c r="MMG395" s="104"/>
      <c r="MMH395" s="119"/>
      <c r="MMI395" s="104"/>
      <c r="MMJ395" s="455"/>
      <c r="MMK395" s="104"/>
      <c r="MML395" s="104"/>
      <c r="MMM395" s="109"/>
      <c r="MMN395" s="104"/>
      <c r="MMO395" s="104"/>
      <c r="MMP395" s="119"/>
      <c r="MMQ395" s="104"/>
      <c r="MMR395" s="455"/>
      <c r="MMS395" s="104"/>
      <c r="MMT395" s="104"/>
      <c r="MMU395" s="109"/>
      <c r="MMV395" s="104"/>
      <c r="MMW395" s="104"/>
      <c r="MMX395" s="119"/>
      <c r="MMY395" s="104"/>
      <c r="MMZ395" s="455"/>
      <c r="MNA395" s="104"/>
      <c r="MNB395" s="104"/>
      <c r="MNC395" s="109"/>
      <c r="MND395" s="104"/>
      <c r="MNE395" s="104"/>
      <c r="MNF395" s="119"/>
      <c r="MNG395" s="104"/>
      <c r="MNH395" s="455"/>
      <c r="MNI395" s="104"/>
      <c r="MNJ395" s="104"/>
      <c r="MNK395" s="109"/>
      <c r="MNL395" s="104"/>
      <c r="MNM395" s="104"/>
      <c r="MNN395" s="119"/>
      <c r="MNO395" s="104"/>
      <c r="MNP395" s="455"/>
      <c r="MNQ395" s="104"/>
      <c r="MNR395" s="104"/>
      <c r="MNS395" s="109"/>
      <c r="MNT395" s="104"/>
      <c r="MNU395" s="104"/>
      <c r="MNV395" s="119"/>
      <c r="MNW395" s="104"/>
      <c r="MNX395" s="455"/>
      <c r="MNY395" s="104"/>
      <c r="MNZ395" s="104"/>
      <c r="MOA395" s="109"/>
      <c r="MOB395" s="104"/>
      <c r="MOC395" s="104"/>
      <c r="MOD395" s="119"/>
      <c r="MOE395" s="104"/>
      <c r="MOF395" s="455"/>
      <c r="MOG395" s="104"/>
      <c r="MOH395" s="104"/>
      <c r="MOI395" s="109"/>
      <c r="MOJ395" s="104"/>
      <c r="MOK395" s="104"/>
      <c r="MOL395" s="119"/>
      <c r="MOM395" s="104"/>
      <c r="MON395" s="455"/>
      <c r="MOO395" s="104"/>
      <c r="MOP395" s="104"/>
      <c r="MOQ395" s="109"/>
      <c r="MOR395" s="104"/>
      <c r="MOS395" s="104"/>
      <c r="MOT395" s="119"/>
      <c r="MOU395" s="104"/>
      <c r="MOV395" s="455"/>
      <c r="MOW395" s="104"/>
      <c r="MOX395" s="104"/>
      <c r="MOY395" s="109"/>
      <c r="MOZ395" s="104"/>
      <c r="MPA395" s="104"/>
      <c r="MPB395" s="119"/>
      <c r="MPC395" s="104"/>
      <c r="MPD395" s="455"/>
      <c r="MPE395" s="104"/>
      <c r="MPF395" s="104"/>
      <c r="MPG395" s="109"/>
      <c r="MPH395" s="104"/>
      <c r="MPI395" s="104"/>
      <c r="MPJ395" s="119"/>
      <c r="MPK395" s="104"/>
      <c r="MPL395" s="455"/>
      <c r="MPM395" s="104"/>
      <c r="MPN395" s="104"/>
      <c r="MPO395" s="109"/>
      <c r="MPP395" s="104"/>
      <c r="MPQ395" s="104"/>
      <c r="MPR395" s="119"/>
      <c r="MPS395" s="104"/>
      <c r="MPT395" s="455"/>
      <c r="MPU395" s="104"/>
      <c r="MPV395" s="104"/>
      <c r="MPW395" s="109"/>
      <c r="MPX395" s="104"/>
      <c r="MPY395" s="104"/>
      <c r="MPZ395" s="119"/>
      <c r="MQA395" s="104"/>
      <c r="MQB395" s="455"/>
      <c r="MQC395" s="104"/>
      <c r="MQD395" s="104"/>
      <c r="MQE395" s="109"/>
      <c r="MQF395" s="104"/>
      <c r="MQG395" s="104"/>
      <c r="MQH395" s="119"/>
      <c r="MQI395" s="104"/>
      <c r="MQJ395" s="455"/>
      <c r="MQK395" s="104"/>
      <c r="MQL395" s="104"/>
      <c r="MQM395" s="109"/>
      <c r="MQN395" s="104"/>
      <c r="MQO395" s="104"/>
      <c r="MQP395" s="119"/>
      <c r="MQQ395" s="104"/>
      <c r="MQR395" s="455"/>
      <c r="MQS395" s="104"/>
      <c r="MQT395" s="104"/>
      <c r="MQU395" s="109"/>
      <c r="MQV395" s="104"/>
      <c r="MQW395" s="104"/>
      <c r="MQX395" s="119"/>
      <c r="MQY395" s="104"/>
      <c r="MQZ395" s="455"/>
      <c r="MRA395" s="104"/>
      <c r="MRB395" s="104"/>
      <c r="MRC395" s="109"/>
      <c r="MRD395" s="104"/>
      <c r="MRE395" s="104"/>
      <c r="MRF395" s="119"/>
      <c r="MRG395" s="104"/>
      <c r="MRH395" s="455"/>
      <c r="MRI395" s="104"/>
      <c r="MRJ395" s="104"/>
      <c r="MRK395" s="109"/>
      <c r="MRL395" s="104"/>
      <c r="MRM395" s="104"/>
      <c r="MRN395" s="119"/>
      <c r="MRO395" s="104"/>
      <c r="MRP395" s="455"/>
      <c r="MRQ395" s="104"/>
      <c r="MRR395" s="104"/>
      <c r="MRS395" s="109"/>
      <c r="MRT395" s="104"/>
      <c r="MRU395" s="104"/>
      <c r="MRV395" s="119"/>
      <c r="MRW395" s="104"/>
      <c r="MRX395" s="455"/>
      <c r="MRY395" s="104"/>
      <c r="MRZ395" s="104"/>
      <c r="MSA395" s="109"/>
      <c r="MSB395" s="104"/>
      <c r="MSC395" s="104"/>
      <c r="MSD395" s="119"/>
      <c r="MSE395" s="104"/>
      <c r="MSF395" s="455"/>
      <c r="MSG395" s="104"/>
      <c r="MSH395" s="104"/>
      <c r="MSI395" s="109"/>
      <c r="MSJ395" s="104"/>
      <c r="MSK395" s="104"/>
      <c r="MSL395" s="119"/>
      <c r="MSM395" s="104"/>
      <c r="MSN395" s="455"/>
      <c r="MSO395" s="104"/>
      <c r="MSP395" s="104"/>
      <c r="MSQ395" s="109"/>
      <c r="MSR395" s="104"/>
      <c r="MSS395" s="104"/>
      <c r="MST395" s="119"/>
      <c r="MSU395" s="104"/>
      <c r="MSV395" s="455"/>
      <c r="MSW395" s="104"/>
      <c r="MSX395" s="104"/>
      <c r="MSY395" s="109"/>
      <c r="MSZ395" s="104"/>
      <c r="MTA395" s="104"/>
      <c r="MTB395" s="119"/>
      <c r="MTC395" s="104"/>
      <c r="MTD395" s="455"/>
      <c r="MTE395" s="104"/>
      <c r="MTF395" s="104"/>
      <c r="MTG395" s="109"/>
      <c r="MTH395" s="104"/>
      <c r="MTI395" s="104"/>
      <c r="MTJ395" s="119"/>
      <c r="MTK395" s="104"/>
      <c r="MTL395" s="455"/>
      <c r="MTM395" s="104"/>
      <c r="MTN395" s="104"/>
      <c r="MTO395" s="109"/>
      <c r="MTP395" s="104"/>
      <c r="MTQ395" s="104"/>
      <c r="MTR395" s="119"/>
      <c r="MTS395" s="104"/>
      <c r="MTT395" s="455"/>
      <c r="MTU395" s="104"/>
      <c r="MTV395" s="104"/>
      <c r="MTW395" s="109"/>
      <c r="MTX395" s="104"/>
      <c r="MTY395" s="104"/>
      <c r="MTZ395" s="119"/>
      <c r="MUA395" s="104"/>
      <c r="MUB395" s="455"/>
      <c r="MUC395" s="104"/>
      <c r="MUD395" s="104"/>
      <c r="MUE395" s="109"/>
      <c r="MUF395" s="104"/>
      <c r="MUG395" s="104"/>
      <c r="MUH395" s="119"/>
      <c r="MUI395" s="104"/>
      <c r="MUJ395" s="455"/>
      <c r="MUK395" s="104"/>
      <c r="MUL395" s="104"/>
      <c r="MUM395" s="109"/>
      <c r="MUN395" s="104"/>
      <c r="MUO395" s="104"/>
      <c r="MUP395" s="119"/>
      <c r="MUQ395" s="104"/>
      <c r="MUR395" s="455"/>
      <c r="MUS395" s="104"/>
      <c r="MUT395" s="104"/>
      <c r="MUU395" s="109"/>
      <c r="MUV395" s="104"/>
      <c r="MUW395" s="104"/>
      <c r="MUX395" s="119"/>
      <c r="MUY395" s="104"/>
      <c r="MUZ395" s="455"/>
      <c r="MVA395" s="104"/>
      <c r="MVB395" s="104"/>
      <c r="MVC395" s="109"/>
      <c r="MVD395" s="104"/>
      <c r="MVE395" s="104"/>
      <c r="MVF395" s="119"/>
      <c r="MVG395" s="104"/>
      <c r="MVH395" s="455"/>
      <c r="MVI395" s="104"/>
      <c r="MVJ395" s="104"/>
      <c r="MVK395" s="109"/>
      <c r="MVL395" s="104"/>
      <c r="MVM395" s="104"/>
      <c r="MVN395" s="119"/>
      <c r="MVO395" s="104"/>
      <c r="MVP395" s="455"/>
      <c r="MVQ395" s="104"/>
      <c r="MVR395" s="104"/>
      <c r="MVS395" s="109"/>
      <c r="MVT395" s="104"/>
      <c r="MVU395" s="104"/>
      <c r="MVV395" s="119"/>
      <c r="MVW395" s="104"/>
      <c r="MVX395" s="455"/>
      <c r="MVY395" s="104"/>
      <c r="MVZ395" s="104"/>
      <c r="MWA395" s="109"/>
      <c r="MWB395" s="104"/>
      <c r="MWC395" s="104"/>
      <c r="MWD395" s="119"/>
      <c r="MWE395" s="104"/>
      <c r="MWF395" s="455"/>
      <c r="MWG395" s="104"/>
      <c r="MWH395" s="104"/>
      <c r="MWI395" s="109"/>
      <c r="MWJ395" s="104"/>
      <c r="MWK395" s="104"/>
      <c r="MWL395" s="119"/>
      <c r="MWM395" s="104"/>
      <c r="MWN395" s="455"/>
      <c r="MWO395" s="104"/>
      <c r="MWP395" s="104"/>
      <c r="MWQ395" s="109"/>
      <c r="MWR395" s="104"/>
      <c r="MWS395" s="104"/>
      <c r="MWT395" s="119"/>
      <c r="MWU395" s="104"/>
      <c r="MWV395" s="455"/>
      <c r="MWW395" s="104"/>
      <c r="MWX395" s="104"/>
      <c r="MWY395" s="109"/>
      <c r="MWZ395" s="104"/>
      <c r="MXA395" s="104"/>
      <c r="MXB395" s="119"/>
      <c r="MXC395" s="104"/>
      <c r="MXD395" s="455"/>
      <c r="MXE395" s="104"/>
      <c r="MXF395" s="104"/>
      <c r="MXG395" s="109"/>
      <c r="MXH395" s="104"/>
      <c r="MXI395" s="104"/>
      <c r="MXJ395" s="119"/>
      <c r="MXK395" s="104"/>
      <c r="MXL395" s="455"/>
      <c r="MXM395" s="104"/>
      <c r="MXN395" s="104"/>
      <c r="MXO395" s="109"/>
      <c r="MXP395" s="104"/>
      <c r="MXQ395" s="104"/>
      <c r="MXR395" s="119"/>
      <c r="MXS395" s="104"/>
      <c r="MXT395" s="455"/>
      <c r="MXU395" s="104"/>
      <c r="MXV395" s="104"/>
      <c r="MXW395" s="109"/>
      <c r="MXX395" s="104"/>
      <c r="MXY395" s="104"/>
      <c r="MXZ395" s="119"/>
      <c r="MYA395" s="104"/>
      <c r="MYB395" s="455"/>
      <c r="MYC395" s="104"/>
      <c r="MYD395" s="104"/>
      <c r="MYE395" s="109"/>
      <c r="MYF395" s="104"/>
      <c r="MYG395" s="104"/>
      <c r="MYH395" s="119"/>
      <c r="MYI395" s="104"/>
      <c r="MYJ395" s="455"/>
      <c r="MYK395" s="104"/>
      <c r="MYL395" s="104"/>
      <c r="MYM395" s="109"/>
      <c r="MYN395" s="104"/>
      <c r="MYO395" s="104"/>
      <c r="MYP395" s="119"/>
      <c r="MYQ395" s="104"/>
      <c r="MYR395" s="455"/>
      <c r="MYS395" s="104"/>
      <c r="MYT395" s="104"/>
      <c r="MYU395" s="109"/>
      <c r="MYV395" s="104"/>
      <c r="MYW395" s="104"/>
      <c r="MYX395" s="119"/>
      <c r="MYY395" s="104"/>
      <c r="MYZ395" s="455"/>
      <c r="MZA395" s="104"/>
      <c r="MZB395" s="104"/>
      <c r="MZC395" s="109"/>
      <c r="MZD395" s="104"/>
      <c r="MZE395" s="104"/>
      <c r="MZF395" s="119"/>
      <c r="MZG395" s="104"/>
      <c r="MZH395" s="455"/>
      <c r="MZI395" s="104"/>
      <c r="MZJ395" s="104"/>
      <c r="MZK395" s="109"/>
      <c r="MZL395" s="104"/>
      <c r="MZM395" s="104"/>
      <c r="MZN395" s="119"/>
      <c r="MZO395" s="104"/>
      <c r="MZP395" s="455"/>
      <c r="MZQ395" s="104"/>
      <c r="MZR395" s="104"/>
      <c r="MZS395" s="109"/>
      <c r="MZT395" s="104"/>
      <c r="MZU395" s="104"/>
      <c r="MZV395" s="119"/>
      <c r="MZW395" s="104"/>
      <c r="MZX395" s="455"/>
      <c r="MZY395" s="104"/>
      <c r="MZZ395" s="104"/>
      <c r="NAA395" s="109"/>
      <c r="NAB395" s="104"/>
      <c r="NAC395" s="104"/>
      <c r="NAD395" s="119"/>
      <c r="NAE395" s="104"/>
      <c r="NAF395" s="455"/>
      <c r="NAG395" s="104"/>
      <c r="NAH395" s="104"/>
      <c r="NAI395" s="109"/>
      <c r="NAJ395" s="104"/>
      <c r="NAK395" s="104"/>
      <c r="NAL395" s="119"/>
      <c r="NAM395" s="104"/>
      <c r="NAN395" s="455"/>
      <c r="NAO395" s="104"/>
      <c r="NAP395" s="104"/>
      <c r="NAQ395" s="109"/>
      <c r="NAR395" s="104"/>
      <c r="NAS395" s="104"/>
      <c r="NAT395" s="119"/>
      <c r="NAU395" s="104"/>
      <c r="NAV395" s="455"/>
      <c r="NAW395" s="104"/>
      <c r="NAX395" s="104"/>
      <c r="NAY395" s="109"/>
      <c r="NAZ395" s="104"/>
      <c r="NBA395" s="104"/>
      <c r="NBB395" s="119"/>
      <c r="NBC395" s="104"/>
      <c r="NBD395" s="455"/>
      <c r="NBE395" s="104"/>
      <c r="NBF395" s="104"/>
      <c r="NBG395" s="109"/>
      <c r="NBH395" s="104"/>
      <c r="NBI395" s="104"/>
      <c r="NBJ395" s="119"/>
      <c r="NBK395" s="104"/>
      <c r="NBL395" s="455"/>
      <c r="NBM395" s="104"/>
      <c r="NBN395" s="104"/>
      <c r="NBO395" s="109"/>
      <c r="NBP395" s="104"/>
      <c r="NBQ395" s="104"/>
      <c r="NBR395" s="119"/>
      <c r="NBS395" s="104"/>
      <c r="NBT395" s="455"/>
      <c r="NBU395" s="104"/>
      <c r="NBV395" s="104"/>
      <c r="NBW395" s="109"/>
      <c r="NBX395" s="104"/>
      <c r="NBY395" s="104"/>
      <c r="NBZ395" s="119"/>
      <c r="NCA395" s="104"/>
      <c r="NCB395" s="455"/>
      <c r="NCC395" s="104"/>
      <c r="NCD395" s="104"/>
      <c r="NCE395" s="109"/>
      <c r="NCF395" s="104"/>
      <c r="NCG395" s="104"/>
      <c r="NCH395" s="119"/>
      <c r="NCI395" s="104"/>
      <c r="NCJ395" s="455"/>
      <c r="NCK395" s="104"/>
      <c r="NCL395" s="104"/>
      <c r="NCM395" s="109"/>
      <c r="NCN395" s="104"/>
      <c r="NCO395" s="104"/>
      <c r="NCP395" s="119"/>
      <c r="NCQ395" s="104"/>
      <c r="NCR395" s="455"/>
      <c r="NCS395" s="104"/>
      <c r="NCT395" s="104"/>
      <c r="NCU395" s="109"/>
      <c r="NCV395" s="104"/>
      <c r="NCW395" s="104"/>
      <c r="NCX395" s="119"/>
      <c r="NCY395" s="104"/>
      <c r="NCZ395" s="455"/>
      <c r="NDA395" s="104"/>
      <c r="NDB395" s="104"/>
      <c r="NDC395" s="109"/>
      <c r="NDD395" s="104"/>
      <c r="NDE395" s="104"/>
      <c r="NDF395" s="119"/>
      <c r="NDG395" s="104"/>
      <c r="NDH395" s="455"/>
      <c r="NDI395" s="104"/>
      <c r="NDJ395" s="104"/>
      <c r="NDK395" s="109"/>
      <c r="NDL395" s="104"/>
      <c r="NDM395" s="104"/>
      <c r="NDN395" s="119"/>
      <c r="NDO395" s="104"/>
      <c r="NDP395" s="455"/>
      <c r="NDQ395" s="104"/>
      <c r="NDR395" s="104"/>
      <c r="NDS395" s="109"/>
      <c r="NDT395" s="104"/>
      <c r="NDU395" s="104"/>
      <c r="NDV395" s="119"/>
      <c r="NDW395" s="104"/>
      <c r="NDX395" s="455"/>
      <c r="NDY395" s="104"/>
      <c r="NDZ395" s="104"/>
      <c r="NEA395" s="109"/>
      <c r="NEB395" s="104"/>
      <c r="NEC395" s="104"/>
      <c r="NED395" s="119"/>
      <c r="NEE395" s="104"/>
      <c r="NEF395" s="455"/>
      <c r="NEG395" s="104"/>
      <c r="NEH395" s="104"/>
      <c r="NEI395" s="109"/>
      <c r="NEJ395" s="104"/>
      <c r="NEK395" s="104"/>
      <c r="NEL395" s="119"/>
      <c r="NEM395" s="104"/>
      <c r="NEN395" s="455"/>
      <c r="NEO395" s="104"/>
      <c r="NEP395" s="104"/>
      <c r="NEQ395" s="109"/>
      <c r="NER395" s="104"/>
      <c r="NES395" s="104"/>
      <c r="NET395" s="119"/>
      <c r="NEU395" s="104"/>
      <c r="NEV395" s="455"/>
      <c r="NEW395" s="104"/>
      <c r="NEX395" s="104"/>
      <c r="NEY395" s="109"/>
      <c r="NEZ395" s="104"/>
      <c r="NFA395" s="104"/>
      <c r="NFB395" s="119"/>
      <c r="NFC395" s="104"/>
      <c r="NFD395" s="455"/>
      <c r="NFE395" s="104"/>
      <c r="NFF395" s="104"/>
      <c r="NFG395" s="109"/>
      <c r="NFH395" s="104"/>
      <c r="NFI395" s="104"/>
      <c r="NFJ395" s="119"/>
      <c r="NFK395" s="104"/>
      <c r="NFL395" s="455"/>
      <c r="NFM395" s="104"/>
      <c r="NFN395" s="104"/>
      <c r="NFO395" s="109"/>
      <c r="NFP395" s="104"/>
      <c r="NFQ395" s="104"/>
      <c r="NFR395" s="119"/>
      <c r="NFS395" s="104"/>
      <c r="NFT395" s="455"/>
      <c r="NFU395" s="104"/>
      <c r="NFV395" s="104"/>
      <c r="NFW395" s="109"/>
      <c r="NFX395" s="104"/>
      <c r="NFY395" s="104"/>
      <c r="NFZ395" s="119"/>
      <c r="NGA395" s="104"/>
      <c r="NGB395" s="455"/>
      <c r="NGC395" s="104"/>
      <c r="NGD395" s="104"/>
      <c r="NGE395" s="109"/>
      <c r="NGF395" s="104"/>
      <c r="NGG395" s="104"/>
      <c r="NGH395" s="119"/>
      <c r="NGI395" s="104"/>
      <c r="NGJ395" s="455"/>
      <c r="NGK395" s="104"/>
      <c r="NGL395" s="104"/>
      <c r="NGM395" s="109"/>
      <c r="NGN395" s="104"/>
      <c r="NGO395" s="104"/>
      <c r="NGP395" s="119"/>
      <c r="NGQ395" s="104"/>
      <c r="NGR395" s="455"/>
      <c r="NGS395" s="104"/>
      <c r="NGT395" s="104"/>
      <c r="NGU395" s="109"/>
      <c r="NGV395" s="104"/>
      <c r="NGW395" s="104"/>
      <c r="NGX395" s="119"/>
      <c r="NGY395" s="104"/>
      <c r="NGZ395" s="455"/>
      <c r="NHA395" s="104"/>
      <c r="NHB395" s="104"/>
      <c r="NHC395" s="109"/>
      <c r="NHD395" s="104"/>
      <c r="NHE395" s="104"/>
      <c r="NHF395" s="119"/>
      <c r="NHG395" s="104"/>
      <c r="NHH395" s="455"/>
      <c r="NHI395" s="104"/>
      <c r="NHJ395" s="104"/>
      <c r="NHK395" s="109"/>
      <c r="NHL395" s="104"/>
      <c r="NHM395" s="104"/>
      <c r="NHN395" s="119"/>
      <c r="NHO395" s="104"/>
      <c r="NHP395" s="455"/>
      <c r="NHQ395" s="104"/>
      <c r="NHR395" s="104"/>
      <c r="NHS395" s="109"/>
      <c r="NHT395" s="104"/>
      <c r="NHU395" s="104"/>
      <c r="NHV395" s="119"/>
      <c r="NHW395" s="104"/>
      <c r="NHX395" s="455"/>
      <c r="NHY395" s="104"/>
      <c r="NHZ395" s="104"/>
      <c r="NIA395" s="109"/>
      <c r="NIB395" s="104"/>
      <c r="NIC395" s="104"/>
      <c r="NID395" s="119"/>
      <c r="NIE395" s="104"/>
      <c r="NIF395" s="455"/>
      <c r="NIG395" s="104"/>
      <c r="NIH395" s="104"/>
      <c r="NII395" s="109"/>
      <c r="NIJ395" s="104"/>
      <c r="NIK395" s="104"/>
      <c r="NIL395" s="119"/>
      <c r="NIM395" s="104"/>
      <c r="NIN395" s="455"/>
      <c r="NIO395" s="104"/>
      <c r="NIP395" s="104"/>
      <c r="NIQ395" s="109"/>
      <c r="NIR395" s="104"/>
      <c r="NIS395" s="104"/>
      <c r="NIT395" s="119"/>
      <c r="NIU395" s="104"/>
      <c r="NIV395" s="455"/>
      <c r="NIW395" s="104"/>
      <c r="NIX395" s="104"/>
      <c r="NIY395" s="109"/>
      <c r="NIZ395" s="104"/>
      <c r="NJA395" s="104"/>
      <c r="NJB395" s="119"/>
      <c r="NJC395" s="104"/>
      <c r="NJD395" s="455"/>
      <c r="NJE395" s="104"/>
      <c r="NJF395" s="104"/>
      <c r="NJG395" s="109"/>
      <c r="NJH395" s="104"/>
      <c r="NJI395" s="104"/>
      <c r="NJJ395" s="119"/>
      <c r="NJK395" s="104"/>
      <c r="NJL395" s="455"/>
      <c r="NJM395" s="104"/>
      <c r="NJN395" s="104"/>
      <c r="NJO395" s="109"/>
      <c r="NJP395" s="104"/>
      <c r="NJQ395" s="104"/>
      <c r="NJR395" s="119"/>
      <c r="NJS395" s="104"/>
      <c r="NJT395" s="455"/>
      <c r="NJU395" s="104"/>
      <c r="NJV395" s="104"/>
      <c r="NJW395" s="109"/>
      <c r="NJX395" s="104"/>
      <c r="NJY395" s="104"/>
      <c r="NJZ395" s="119"/>
      <c r="NKA395" s="104"/>
      <c r="NKB395" s="455"/>
      <c r="NKC395" s="104"/>
      <c r="NKD395" s="104"/>
      <c r="NKE395" s="109"/>
      <c r="NKF395" s="104"/>
      <c r="NKG395" s="104"/>
      <c r="NKH395" s="119"/>
      <c r="NKI395" s="104"/>
      <c r="NKJ395" s="455"/>
      <c r="NKK395" s="104"/>
      <c r="NKL395" s="104"/>
      <c r="NKM395" s="109"/>
      <c r="NKN395" s="104"/>
      <c r="NKO395" s="104"/>
      <c r="NKP395" s="119"/>
      <c r="NKQ395" s="104"/>
      <c r="NKR395" s="455"/>
      <c r="NKS395" s="104"/>
      <c r="NKT395" s="104"/>
      <c r="NKU395" s="109"/>
      <c r="NKV395" s="104"/>
      <c r="NKW395" s="104"/>
      <c r="NKX395" s="119"/>
      <c r="NKY395" s="104"/>
      <c r="NKZ395" s="455"/>
      <c r="NLA395" s="104"/>
      <c r="NLB395" s="104"/>
      <c r="NLC395" s="109"/>
      <c r="NLD395" s="104"/>
      <c r="NLE395" s="104"/>
      <c r="NLF395" s="119"/>
      <c r="NLG395" s="104"/>
      <c r="NLH395" s="455"/>
      <c r="NLI395" s="104"/>
      <c r="NLJ395" s="104"/>
      <c r="NLK395" s="109"/>
      <c r="NLL395" s="104"/>
      <c r="NLM395" s="104"/>
      <c r="NLN395" s="119"/>
      <c r="NLO395" s="104"/>
      <c r="NLP395" s="455"/>
      <c r="NLQ395" s="104"/>
      <c r="NLR395" s="104"/>
      <c r="NLS395" s="109"/>
      <c r="NLT395" s="104"/>
      <c r="NLU395" s="104"/>
      <c r="NLV395" s="119"/>
      <c r="NLW395" s="104"/>
      <c r="NLX395" s="455"/>
      <c r="NLY395" s="104"/>
      <c r="NLZ395" s="104"/>
      <c r="NMA395" s="109"/>
      <c r="NMB395" s="104"/>
      <c r="NMC395" s="104"/>
      <c r="NMD395" s="119"/>
      <c r="NME395" s="104"/>
      <c r="NMF395" s="455"/>
      <c r="NMG395" s="104"/>
      <c r="NMH395" s="104"/>
      <c r="NMI395" s="109"/>
      <c r="NMJ395" s="104"/>
      <c r="NMK395" s="104"/>
      <c r="NML395" s="119"/>
      <c r="NMM395" s="104"/>
      <c r="NMN395" s="455"/>
      <c r="NMO395" s="104"/>
      <c r="NMP395" s="104"/>
      <c r="NMQ395" s="109"/>
      <c r="NMR395" s="104"/>
      <c r="NMS395" s="104"/>
      <c r="NMT395" s="119"/>
      <c r="NMU395" s="104"/>
      <c r="NMV395" s="455"/>
      <c r="NMW395" s="104"/>
      <c r="NMX395" s="104"/>
      <c r="NMY395" s="109"/>
      <c r="NMZ395" s="104"/>
      <c r="NNA395" s="104"/>
      <c r="NNB395" s="119"/>
      <c r="NNC395" s="104"/>
      <c r="NND395" s="455"/>
      <c r="NNE395" s="104"/>
      <c r="NNF395" s="104"/>
      <c r="NNG395" s="109"/>
      <c r="NNH395" s="104"/>
      <c r="NNI395" s="104"/>
      <c r="NNJ395" s="119"/>
      <c r="NNK395" s="104"/>
      <c r="NNL395" s="455"/>
      <c r="NNM395" s="104"/>
      <c r="NNN395" s="104"/>
      <c r="NNO395" s="109"/>
      <c r="NNP395" s="104"/>
      <c r="NNQ395" s="104"/>
      <c r="NNR395" s="119"/>
      <c r="NNS395" s="104"/>
      <c r="NNT395" s="455"/>
      <c r="NNU395" s="104"/>
      <c r="NNV395" s="104"/>
      <c r="NNW395" s="109"/>
      <c r="NNX395" s="104"/>
      <c r="NNY395" s="104"/>
      <c r="NNZ395" s="119"/>
      <c r="NOA395" s="104"/>
      <c r="NOB395" s="455"/>
      <c r="NOC395" s="104"/>
      <c r="NOD395" s="104"/>
      <c r="NOE395" s="109"/>
      <c r="NOF395" s="104"/>
      <c r="NOG395" s="104"/>
      <c r="NOH395" s="119"/>
      <c r="NOI395" s="104"/>
      <c r="NOJ395" s="455"/>
      <c r="NOK395" s="104"/>
      <c r="NOL395" s="104"/>
      <c r="NOM395" s="109"/>
      <c r="NON395" s="104"/>
      <c r="NOO395" s="104"/>
      <c r="NOP395" s="119"/>
      <c r="NOQ395" s="104"/>
      <c r="NOR395" s="455"/>
      <c r="NOS395" s="104"/>
      <c r="NOT395" s="104"/>
      <c r="NOU395" s="109"/>
      <c r="NOV395" s="104"/>
      <c r="NOW395" s="104"/>
      <c r="NOX395" s="119"/>
      <c r="NOY395" s="104"/>
      <c r="NOZ395" s="455"/>
      <c r="NPA395" s="104"/>
      <c r="NPB395" s="104"/>
      <c r="NPC395" s="109"/>
      <c r="NPD395" s="104"/>
      <c r="NPE395" s="104"/>
      <c r="NPF395" s="119"/>
      <c r="NPG395" s="104"/>
      <c r="NPH395" s="455"/>
      <c r="NPI395" s="104"/>
      <c r="NPJ395" s="104"/>
      <c r="NPK395" s="109"/>
      <c r="NPL395" s="104"/>
      <c r="NPM395" s="104"/>
      <c r="NPN395" s="119"/>
      <c r="NPO395" s="104"/>
      <c r="NPP395" s="455"/>
      <c r="NPQ395" s="104"/>
      <c r="NPR395" s="104"/>
      <c r="NPS395" s="109"/>
      <c r="NPT395" s="104"/>
      <c r="NPU395" s="104"/>
      <c r="NPV395" s="119"/>
      <c r="NPW395" s="104"/>
      <c r="NPX395" s="455"/>
      <c r="NPY395" s="104"/>
      <c r="NPZ395" s="104"/>
      <c r="NQA395" s="109"/>
      <c r="NQB395" s="104"/>
      <c r="NQC395" s="104"/>
      <c r="NQD395" s="119"/>
      <c r="NQE395" s="104"/>
      <c r="NQF395" s="455"/>
      <c r="NQG395" s="104"/>
      <c r="NQH395" s="104"/>
      <c r="NQI395" s="109"/>
      <c r="NQJ395" s="104"/>
      <c r="NQK395" s="104"/>
      <c r="NQL395" s="119"/>
      <c r="NQM395" s="104"/>
      <c r="NQN395" s="455"/>
      <c r="NQO395" s="104"/>
      <c r="NQP395" s="104"/>
      <c r="NQQ395" s="109"/>
      <c r="NQR395" s="104"/>
      <c r="NQS395" s="104"/>
      <c r="NQT395" s="119"/>
      <c r="NQU395" s="104"/>
      <c r="NQV395" s="455"/>
      <c r="NQW395" s="104"/>
      <c r="NQX395" s="104"/>
      <c r="NQY395" s="109"/>
      <c r="NQZ395" s="104"/>
      <c r="NRA395" s="104"/>
      <c r="NRB395" s="119"/>
      <c r="NRC395" s="104"/>
      <c r="NRD395" s="455"/>
      <c r="NRE395" s="104"/>
      <c r="NRF395" s="104"/>
      <c r="NRG395" s="109"/>
      <c r="NRH395" s="104"/>
      <c r="NRI395" s="104"/>
      <c r="NRJ395" s="119"/>
      <c r="NRK395" s="104"/>
      <c r="NRL395" s="455"/>
      <c r="NRM395" s="104"/>
      <c r="NRN395" s="104"/>
      <c r="NRO395" s="109"/>
      <c r="NRP395" s="104"/>
      <c r="NRQ395" s="104"/>
      <c r="NRR395" s="119"/>
      <c r="NRS395" s="104"/>
      <c r="NRT395" s="455"/>
      <c r="NRU395" s="104"/>
      <c r="NRV395" s="104"/>
      <c r="NRW395" s="109"/>
      <c r="NRX395" s="104"/>
      <c r="NRY395" s="104"/>
      <c r="NRZ395" s="119"/>
      <c r="NSA395" s="104"/>
      <c r="NSB395" s="455"/>
      <c r="NSC395" s="104"/>
      <c r="NSD395" s="104"/>
      <c r="NSE395" s="109"/>
      <c r="NSF395" s="104"/>
      <c r="NSG395" s="104"/>
      <c r="NSH395" s="119"/>
      <c r="NSI395" s="104"/>
      <c r="NSJ395" s="455"/>
      <c r="NSK395" s="104"/>
      <c r="NSL395" s="104"/>
      <c r="NSM395" s="109"/>
      <c r="NSN395" s="104"/>
      <c r="NSO395" s="104"/>
      <c r="NSP395" s="119"/>
      <c r="NSQ395" s="104"/>
      <c r="NSR395" s="455"/>
      <c r="NSS395" s="104"/>
      <c r="NST395" s="104"/>
      <c r="NSU395" s="109"/>
      <c r="NSV395" s="104"/>
      <c r="NSW395" s="104"/>
      <c r="NSX395" s="119"/>
      <c r="NSY395" s="104"/>
      <c r="NSZ395" s="455"/>
      <c r="NTA395" s="104"/>
      <c r="NTB395" s="104"/>
      <c r="NTC395" s="109"/>
      <c r="NTD395" s="104"/>
      <c r="NTE395" s="104"/>
      <c r="NTF395" s="119"/>
      <c r="NTG395" s="104"/>
      <c r="NTH395" s="455"/>
      <c r="NTI395" s="104"/>
      <c r="NTJ395" s="104"/>
      <c r="NTK395" s="109"/>
      <c r="NTL395" s="104"/>
      <c r="NTM395" s="104"/>
      <c r="NTN395" s="119"/>
      <c r="NTO395" s="104"/>
      <c r="NTP395" s="455"/>
      <c r="NTQ395" s="104"/>
      <c r="NTR395" s="104"/>
      <c r="NTS395" s="109"/>
      <c r="NTT395" s="104"/>
      <c r="NTU395" s="104"/>
      <c r="NTV395" s="119"/>
      <c r="NTW395" s="104"/>
      <c r="NTX395" s="455"/>
      <c r="NTY395" s="104"/>
      <c r="NTZ395" s="104"/>
      <c r="NUA395" s="109"/>
      <c r="NUB395" s="104"/>
      <c r="NUC395" s="104"/>
      <c r="NUD395" s="119"/>
      <c r="NUE395" s="104"/>
      <c r="NUF395" s="455"/>
      <c r="NUG395" s="104"/>
      <c r="NUH395" s="104"/>
      <c r="NUI395" s="109"/>
      <c r="NUJ395" s="104"/>
      <c r="NUK395" s="104"/>
      <c r="NUL395" s="119"/>
      <c r="NUM395" s="104"/>
      <c r="NUN395" s="455"/>
      <c r="NUO395" s="104"/>
      <c r="NUP395" s="104"/>
      <c r="NUQ395" s="109"/>
      <c r="NUR395" s="104"/>
      <c r="NUS395" s="104"/>
      <c r="NUT395" s="119"/>
      <c r="NUU395" s="104"/>
      <c r="NUV395" s="455"/>
      <c r="NUW395" s="104"/>
      <c r="NUX395" s="104"/>
      <c r="NUY395" s="109"/>
      <c r="NUZ395" s="104"/>
      <c r="NVA395" s="104"/>
      <c r="NVB395" s="119"/>
      <c r="NVC395" s="104"/>
      <c r="NVD395" s="455"/>
      <c r="NVE395" s="104"/>
      <c r="NVF395" s="104"/>
      <c r="NVG395" s="109"/>
      <c r="NVH395" s="104"/>
      <c r="NVI395" s="104"/>
      <c r="NVJ395" s="119"/>
      <c r="NVK395" s="104"/>
      <c r="NVL395" s="455"/>
      <c r="NVM395" s="104"/>
      <c r="NVN395" s="104"/>
      <c r="NVO395" s="109"/>
      <c r="NVP395" s="104"/>
      <c r="NVQ395" s="104"/>
      <c r="NVR395" s="119"/>
      <c r="NVS395" s="104"/>
      <c r="NVT395" s="455"/>
      <c r="NVU395" s="104"/>
      <c r="NVV395" s="104"/>
      <c r="NVW395" s="109"/>
      <c r="NVX395" s="104"/>
      <c r="NVY395" s="104"/>
      <c r="NVZ395" s="119"/>
      <c r="NWA395" s="104"/>
      <c r="NWB395" s="455"/>
      <c r="NWC395" s="104"/>
      <c r="NWD395" s="104"/>
      <c r="NWE395" s="109"/>
      <c r="NWF395" s="104"/>
      <c r="NWG395" s="104"/>
      <c r="NWH395" s="119"/>
      <c r="NWI395" s="104"/>
      <c r="NWJ395" s="455"/>
      <c r="NWK395" s="104"/>
      <c r="NWL395" s="104"/>
      <c r="NWM395" s="109"/>
      <c r="NWN395" s="104"/>
      <c r="NWO395" s="104"/>
      <c r="NWP395" s="119"/>
      <c r="NWQ395" s="104"/>
      <c r="NWR395" s="455"/>
      <c r="NWS395" s="104"/>
      <c r="NWT395" s="104"/>
      <c r="NWU395" s="109"/>
      <c r="NWV395" s="104"/>
      <c r="NWW395" s="104"/>
      <c r="NWX395" s="119"/>
      <c r="NWY395" s="104"/>
      <c r="NWZ395" s="455"/>
      <c r="NXA395" s="104"/>
      <c r="NXB395" s="104"/>
      <c r="NXC395" s="109"/>
      <c r="NXD395" s="104"/>
      <c r="NXE395" s="104"/>
      <c r="NXF395" s="119"/>
      <c r="NXG395" s="104"/>
      <c r="NXH395" s="455"/>
      <c r="NXI395" s="104"/>
      <c r="NXJ395" s="104"/>
      <c r="NXK395" s="109"/>
      <c r="NXL395" s="104"/>
      <c r="NXM395" s="104"/>
      <c r="NXN395" s="119"/>
      <c r="NXO395" s="104"/>
      <c r="NXP395" s="455"/>
      <c r="NXQ395" s="104"/>
      <c r="NXR395" s="104"/>
      <c r="NXS395" s="109"/>
      <c r="NXT395" s="104"/>
      <c r="NXU395" s="104"/>
      <c r="NXV395" s="119"/>
      <c r="NXW395" s="104"/>
      <c r="NXX395" s="455"/>
      <c r="NXY395" s="104"/>
      <c r="NXZ395" s="104"/>
      <c r="NYA395" s="109"/>
      <c r="NYB395" s="104"/>
      <c r="NYC395" s="104"/>
      <c r="NYD395" s="119"/>
      <c r="NYE395" s="104"/>
      <c r="NYF395" s="455"/>
      <c r="NYG395" s="104"/>
      <c r="NYH395" s="104"/>
      <c r="NYI395" s="109"/>
      <c r="NYJ395" s="104"/>
      <c r="NYK395" s="104"/>
      <c r="NYL395" s="119"/>
      <c r="NYM395" s="104"/>
      <c r="NYN395" s="455"/>
      <c r="NYO395" s="104"/>
      <c r="NYP395" s="104"/>
      <c r="NYQ395" s="109"/>
      <c r="NYR395" s="104"/>
      <c r="NYS395" s="104"/>
      <c r="NYT395" s="119"/>
      <c r="NYU395" s="104"/>
      <c r="NYV395" s="455"/>
      <c r="NYW395" s="104"/>
      <c r="NYX395" s="104"/>
      <c r="NYY395" s="109"/>
      <c r="NYZ395" s="104"/>
      <c r="NZA395" s="104"/>
      <c r="NZB395" s="119"/>
      <c r="NZC395" s="104"/>
      <c r="NZD395" s="455"/>
      <c r="NZE395" s="104"/>
      <c r="NZF395" s="104"/>
      <c r="NZG395" s="109"/>
      <c r="NZH395" s="104"/>
      <c r="NZI395" s="104"/>
      <c r="NZJ395" s="119"/>
      <c r="NZK395" s="104"/>
      <c r="NZL395" s="455"/>
      <c r="NZM395" s="104"/>
      <c r="NZN395" s="104"/>
      <c r="NZO395" s="109"/>
      <c r="NZP395" s="104"/>
      <c r="NZQ395" s="104"/>
      <c r="NZR395" s="119"/>
      <c r="NZS395" s="104"/>
      <c r="NZT395" s="455"/>
      <c r="NZU395" s="104"/>
      <c r="NZV395" s="104"/>
      <c r="NZW395" s="109"/>
      <c r="NZX395" s="104"/>
      <c r="NZY395" s="104"/>
      <c r="NZZ395" s="119"/>
      <c r="OAA395" s="104"/>
      <c r="OAB395" s="455"/>
      <c r="OAC395" s="104"/>
      <c r="OAD395" s="104"/>
      <c r="OAE395" s="109"/>
      <c r="OAF395" s="104"/>
      <c r="OAG395" s="104"/>
      <c r="OAH395" s="119"/>
      <c r="OAI395" s="104"/>
      <c r="OAJ395" s="455"/>
      <c r="OAK395" s="104"/>
      <c r="OAL395" s="104"/>
      <c r="OAM395" s="109"/>
      <c r="OAN395" s="104"/>
      <c r="OAO395" s="104"/>
      <c r="OAP395" s="119"/>
      <c r="OAQ395" s="104"/>
      <c r="OAR395" s="455"/>
      <c r="OAS395" s="104"/>
      <c r="OAT395" s="104"/>
      <c r="OAU395" s="109"/>
      <c r="OAV395" s="104"/>
      <c r="OAW395" s="104"/>
      <c r="OAX395" s="119"/>
      <c r="OAY395" s="104"/>
      <c r="OAZ395" s="455"/>
      <c r="OBA395" s="104"/>
      <c r="OBB395" s="104"/>
      <c r="OBC395" s="109"/>
      <c r="OBD395" s="104"/>
      <c r="OBE395" s="104"/>
      <c r="OBF395" s="119"/>
      <c r="OBG395" s="104"/>
      <c r="OBH395" s="455"/>
      <c r="OBI395" s="104"/>
      <c r="OBJ395" s="104"/>
      <c r="OBK395" s="109"/>
      <c r="OBL395" s="104"/>
      <c r="OBM395" s="104"/>
      <c r="OBN395" s="119"/>
      <c r="OBO395" s="104"/>
      <c r="OBP395" s="455"/>
      <c r="OBQ395" s="104"/>
      <c r="OBR395" s="104"/>
      <c r="OBS395" s="109"/>
      <c r="OBT395" s="104"/>
      <c r="OBU395" s="104"/>
      <c r="OBV395" s="119"/>
      <c r="OBW395" s="104"/>
      <c r="OBX395" s="455"/>
      <c r="OBY395" s="104"/>
      <c r="OBZ395" s="104"/>
      <c r="OCA395" s="109"/>
      <c r="OCB395" s="104"/>
      <c r="OCC395" s="104"/>
      <c r="OCD395" s="119"/>
      <c r="OCE395" s="104"/>
      <c r="OCF395" s="455"/>
      <c r="OCG395" s="104"/>
      <c r="OCH395" s="104"/>
      <c r="OCI395" s="109"/>
      <c r="OCJ395" s="104"/>
      <c r="OCK395" s="104"/>
      <c r="OCL395" s="119"/>
      <c r="OCM395" s="104"/>
      <c r="OCN395" s="455"/>
      <c r="OCO395" s="104"/>
      <c r="OCP395" s="104"/>
      <c r="OCQ395" s="109"/>
      <c r="OCR395" s="104"/>
      <c r="OCS395" s="104"/>
      <c r="OCT395" s="119"/>
      <c r="OCU395" s="104"/>
      <c r="OCV395" s="455"/>
      <c r="OCW395" s="104"/>
      <c r="OCX395" s="104"/>
      <c r="OCY395" s="109"/>
      <c r="OCZ395" s="104"/>
      <c r="ODA395" s="104"/>
      <c r="ODB395" s="119"/>
      <c r="ODC395" s="104"/>
      <c r="ODD395" s="455"/>
      <c r="ODE395" s="104"/>
      <c r="ODF395" s="104"/>
      <c r="ODG395" s="109"/>
      <c r="ODH395" s="104"/>
      <c r="ODI395" s="104"/>
      <c r="ODJ395" s="119"/>
      <c r="ODK395" s="104"/>
      <c r="ODL395" s="455"/>
      <c r="ODM395" s="104"/>
      <c r="ODN395" s="104"/>
      <c r="ODO395" s="109"/>
      <c r="ODP395" s="104"/>
      <c r="ODQ395" s="104"/>
      <c r="ODR395" s="119"/>
      <c r="ODS395" s="104"/>
      <c r="ODT395" s="455"/>
      <c r="ODU395" s="104"/>
      <c r="ODV395" s="104"/>
      <c r="ODW395" s="109"/>
      <c r="ODX395" s="104"/>
      <c r="ODY395" s="104"/>
      <c r="ODZ395" s="119"/>
      <c r="OEA395" s="104"/>
      <c r="OEB395" s="455"/>
      <c r="OEC395" s="104"/>
      <c r="OED395" s="104"/>
      <c r="OEE395" s="109"/>
      <c r="OEF395" s="104"/>
      <c r="OEG395" s="104"/>
      <c r="OEH395" s="119"/>
      <c r="OEI395" s="104"/>
      <c r="OEJ395" s="455"/>
      <c r="OEK395" s="104"/>
      <c r="OEL395" s="104"/>
      <c r="OEM395" s="109"/>
      <c r="OEN395" s="104"/>
      <c r="OEO395" s="104"/>
      <c r="OEP395" s="119"/>
      <c r="OEQ395" s="104"/>
      <c r="OER395" s="455"/>
      <c r="OES395" s="104"/>
      <c r="OET395" s="104"/>
      <c r="OEU395" s="109"/>
      <c r="OEV395" s="104"/>
      <c r="OEW395" s="104"/>
      <c r="OEX395" s="119"/>
      <c r="OEY395" s="104"/>
      <c r="OEZ395" s="455"/>
      <c r="OFA395" s="104"/>
      <c r="OFB395" s="104"/>
      <c r="OFC395" s="109"/>
      <c r="OFD395" s="104"/>
      <c r="OFE395" s="104"/>
      <c r="OFF395" s="119"/>
      <c r="OFG395" s="104"/>
      <c r="OFH395" s="455"/>
      <c r="OFI395" s="104"/>
      <c r="OFJ395" s="104"/>
      <c r="OFK395" s="109"/>
      <c r="OFL395" s="104"/>
      <c r="OFM395" s="104"/>
      <c r="OFN395" s="119"/>
      <c r="OFO395" s="104"/>
      <c r="OFP395" s="455"/>
      <c r="OFQ395" s="104"/>
      <c r="OFR395" s="104"/>
      <c r="OFS395" s="109"/>
      <c r="OFT395" s="104"/>
      <c r="OFU395" s="104"/>
      <c r="OFV395" s="119"/>
      <c r="OFW395" s="104"/>
      <c r="OFX395" s="455"/>
      <c r="OFY395" s="104"/>
      <c r="OFZ395" s="104"/>
      <c r="OGA395" s="109"/>
      <c r="OGB395" s="104"/>
      <c r="OGC395" s="104"/>
      <c r="OGD395" s="119"/>
      <c r="OGE395" s="104"/>
      <c r="OGF395" s="455"/>
      <c r="OGG395" s="104"/>
      <c r="OGH395" s="104"/>
      <c r="OGI395" s="109"/>
      <c r="OGJ395" s="104"/>
      <c r="OGK395" s="104"/>
      <c r="OGL395" s="119"/>
      <c r="OGM395" s="104"/>
      <c r="OGN395" s="455"/>
      <c r="OGO395" s="104"/>
      <c r="OGP395" s="104"/>
      <c r="OGQ395" s="109"/>
      <c r="OGR395" s="104"/>
      <c r="OGS395" s="104"/>
      <c r="OGT395" s="119"/>
      <c r="OGU395" s="104"/>
      <c r="OGV395" s="455"/>
      <c r="OGW395" s="104"/>
      <c r="OGX395" s="104"/>
      <c r="OGY395" s="109"/>
      <c r="OGZ395" s="104"/>
      <c r="OHA395" s="104"/>
      <c r="OHB395" s="119"/>
      <c r="OHC395" s="104"/>
      <c r="OHD395" s="455"/>
      <c r="OHE395" s="104"/>
      <c r="OHF395" s="104"/>
      <c r="OHG395" s="109"/>
      <c r="OHH395" s="104"/>
      <c r="OHI395" s="104"/>
      <c r="OHJ395" s="119"/>
      <c r="OHK395" s="104"/>
      <c r="OHL395" s="455"/>
      <c r="OHM395" s="104"/>
      <c r="OHN395" s="104"/>
      <c r="OHO395" s="109"/>
      <c r="OHP395" s="104"/>
      <c r="OHQ395" s="104"/>
      <c r="OHR395" s="119"/>
      <c r="OHS395" s="104"/>
      <c r="OHT395" s="455"/>
      <c r="OHU395" s="104"/>
      <c r="OHV395" s="104"/>
      <c r="OHW395" s="109"/>
      <c r="OHX395" s="104"/>
      <c r="OHY395" s="104"/>
      <c r="OHZ395" s="119"/>
      <c r="OIA395" s="104"/>
      <c r="OIB395" s="455"/>
      <c r="OIC395" s="104"/>
      <c r="OID395" s="104"/>
      <c r="OIE395" s="109"/>
      <c r="OIF395" s="104"/>
      <c r="OIG395" s="104"/>
      <c r="OIH395" s="119"/>
      <c r="OII395" s="104"/>
      <c r="OIJ395" s="455"/>
      <c r="OIK395" s="104"/>
      <c r="OIL395" s="104"/>
      <c r="OIM395" s="109"/>
      <c r="OIN395" s="104"/>
      <c r="OIO395" s="104"/>
      <c r="OIP395" s="119"/>
      <c r="OIQ395" s="104"/>
      <c r="OIR395" s="455"/>
      <c r="OIS395" s="104"/>
      <c r="OIT395" s="104"/>
      <c r="OIU395" s="109"/>
      <c r="OIV395" s="104"/>
      <c r="OIW395" s="104"/>
      <c r="OIX395" s="119"/>
      <c r="OIY395" s="104"/>
      <c r="OIZ395" s="455"/>
      <c r="OJA395" s="104"/>
      <c r="OJB395" s="104"/>
      <c r="OJC395" s="109"/>
      <c r="OJD395" s="104"/>
      <c r="OJE395" s="104"/>
      <c r="OJF395" s="119"/>
      <c r="OJG395" s="104"/>
      <c r="OJH395" s="455"/>
      <c r="OJI395" s="104"/>
      <c r="OJJ395" s="104"/>
      <c r="OJK395" s="109"/>
      <c r="OJL395" s="104"/>
      <c r="OJM395" s="104"/>
      <c r="OJN395" s="119"/>
      <c r="OJO395" s="104"/>
      <c r="OJP395" s="455"/>
      <c r="OJQ395" s="104"/>
      <c r="OJR395" s="104"/>
      <c r="OJS395" s="109"/>
      <c r="OJT395" s="104"/>
      <c r="OJU395" s="104"/>
      <c r="OJV395" s="119"/>
      <c r="OJW395" s="104"/>
      <c r="OJX395" s="455"/>
      <c r="OJY395" s="104"/>
      <c r="OJZ395" s="104"/>
      <c r="OKA395" s="109"/>
      <c r="OKB395" s="104"/>
      <c r="OKC395" s="104"/>
      <c r="OKD395" s="119"/>
      <c r="OKE395" s="104"/>
      <c r="OKF395" s="455"/>
      <c r="OKG395" s="104"/>
      <c r="OKH395" s="104"/>
      <c r="OKI395" s="109"/>
      <c r="OKJ395" s="104"/>
      <c r="OKK395" s="104"/>
      <c r="OKL395" s="119"/>
      <c r="OKM395" s="104"/>
      <c r="OKN395" s="455"/>
      <c r="OKO395" s="104"/>
      <c r="OKP395" s="104"/>
      <c r="OKQ395" s="109"/>
      <c r="OKR395" s="104"/>
      <c r="OKS395" s="104"/>
      <c r="OKT395" s="119"/>
      <c r="OKU395" s="104"/>
      <c r="OKV395" s="455"/>
      <c r="OKW395" s="104"/>
      <c r="OKX395" s="104"/>
      <c r="OKY395" s="109"/>
      <c r="OKZ395" s="104"/>
      <c r="OLA395" s="104"/>
      <c r="OLB395" s="119"/>
      <c r="OLC395" s="104"/>
      <c r="OLD395" s="455"/>
      <c r="OLE395" s="104"/>
      <c r="OLF395" s="104"/>
      <c r="OLG395" s="109"/>
      <c r="OLH395" s="104"/>
      <c r="OLI395" s="104"/>
      <c r="OLJ395" s="119"/>
      <c r="OLK395" s="104"/>
      <c r="OLL395" s="455"/>
      <c r="OLM395" s="104"/>
      <c r="OLN395" s="104"/>
      <c r="OLO395" s="109"/>
      <c r="OLP395" s="104"/>
      <c r="OLQ395" s="104"/>
      <c r="OLR395" s="119"/>
      <c r="OLS395" s="104"/>
      <c r="OLT395" s="455"/>
      <c r="OLU395" s="104"/>
      <c r="OLV395" s="104"/>
      <c r="OLW395" s="109"/>
      <c r="OLX395" s="104"/>
      <c r="OLY395" s="104"/>
      <c r="OLZ395" s="119"/>
      <c r="OMA395" s="104"/>
      <c r="OMB395" s="455"/>
      <c r="OMC395" s="104"/>
      <c r="OMD395" s="104"/>
      <c r="OME395" s="109"/>
      <c r="OMF395" s="104"/>
      <c r="OMG395" s="104"/>
      <c r="OMH395" s="119"/>
      <c r="OMI395" s="104"/>
      <c r="OMJ395" s="455"/>
      <c r="OMK395" s="104"/>
      <c r="OML395" s="104"/>
      <c r="OMM395" s="109"/>
      <c r="OMN395" s="104"/>
      <c r="OMO395" s="104"/>
      <c r="OMP395" s="119"/>
      <c r="OMQ395" s="104"/>
      <c r="OMR395" s="455"/>
      <c r="OMS395" s="104"/>
      <c r="OMT395" s="104"/>
      <c r="OMU395" s="109"/>
      <c r="OMV395" s="104"/>
      <c r="OMW395" s="104"/>
      <c r="OMX395" s="119"/>
      <c r="OMY395" s="104"/>
      <c r="OMZ395" s="455"/>
      <c r="ONA395" s="104"/>
      <c r="ONB395" s="104"/>
      <c r="ONC395" s="109"/>
      <c r="OND395" s="104"/>
      <c r="ONE395" s="104"/>
      <c r="ONF395" s="119"/>
      <c r="ONG395" s="104"/>
      <c r="ONH395" s="455"/>
      <c r="ONI395" s="104"/>
      <c r="ONJ395" s="104"/>
      <c r="ONK395" s="109"/>
      <c r="ONL395" s="104"/>
      <c r="ONM395" s="104"/>
      <c r="ONN395" s="119"/>
      <c r="ONO395" s="104"/>
      <c r="ONP395" s="455"/>
      <c r="ONQ395" s="104"/>
      <c r="ONR395" s="104"/>
      <c r="ONS395" s="109"/>
      <c r="ONT395" s="104"/>
      <c r="ONU395" s="104"/>
      <c r="ONV395" s="119"/>
      <c r="ONW395" s="104"/>
      <c r="ONX395" s="455"/>
      <c r="ONY395" s="104"/>
      <c r="ONZ395" s="104"/>
      <c r="OOA395" s="109"/>
      <c r="OOB395" s="104"/>
      <c r="OOC395" s="104"/>
      <c r="OOD395" s="119"/>
      <c r="OOE395" s="104"/>
      <c r="OOF395" s="455"/>
      <c r="OOG395" s="104"/>
      <c r="OOH395" s="104"/>
      <c r="OOI395" s="109"/>
      <c r="OOJ395" s="104"/>
      <c r="OOK395" s="104"/>
      <c r="OOL395" s="119"/>
      <c r="OOM395" s="104"/>
      <c r="OON395" s="455"/>
      <c r="OOO395" s="104"/>
      <c r="OOP395" s="104"/>
      <c r="OOQ395" s="109"/>
      <c r="OOR395" s="104"/>
      <c r="OOS395" s="104"/>
      <c r="OOT395" s="119"/>
      <c r="OOU395" s="104"/>
      <c r="OOV395" s="455"/>
      <c r="OOW395" s="104"/>
      <c r="OOX395" s="104"/>
      <c r="OOY395" s="109"/>
      <c r="OOZ395" s="104"/>
      <c r="OPA395" s="104"/>
      <c r="OPB395" s="119"/>
      <c r="OPC395" s="104"/>
      <c r="OPD395" s="455"/>
      <c r="OPE395" s="104"/>
      <c r="OPF395" s="104"/>
      <c r="OPG395" s="109"/>
      <c r="OPH395" s="104"/>
      <c r="OPI395" s="104"/>
      <c r="OPJ395" s="119"/>
      <c r="OPK395" s="104"/>
      <c r="OPL395" s="455"/>
      <c r="OPM395" s="104"/>
      <c r="OPN395" s="104"/>
      <c r="OPO395" s="109"/>
      <c r="OPP395" s="104"/>
      <c r="OPQ395" s="104"/>
      <c r="OPR395" s="119"/>
      <c r="OPS395" s="104"/>
      <c r="OPT395" s="455"/>
      <c r="OPU395" s="104"/>
      <c r="OPV395" s="104"/>
      <c r="OPW395" s="109"/>
      <c r="OPX395" s="104"/>
      <c r="OPY395" s="104"/>
      <c r="OPZ395" s="119"/>
      <c r="OQA395" s="104"/>
      <c r="OQB395" s="455"/>
      <c r="OQC395" s="104"/>
      <c r="OQD395" s="104"/>
      <c r="OQE395" s="109"/>
      <c r="OQF395" s="104"/>
      <c r="OQG395" s="104"/>
      <c r="OQH395" s="119"/>
      <c r="OQI395" s="104"/>
      <c r="OQJ395" s="455"/>
      <c r="OQK395" s="104"/>
      <c r="OQL395" s="104"/>
      <c r="OQM395" s="109"/>
      <c r="OQN395" s="104"/>
      <c r="OQO395" s="104"/>
      <c r="OQP395" s="119"/>
      <c r="OQQ395" s="104"/>
      <c r="OQR395" s="455"/>
      <c r="OQS395" s="104"/>
      <c r="OQT395" s="104"/>
      <c r="OQU395" s="109"/>
      <c r="OQV395" s="104"/>
      <c r="OQW395" s="104"/>
      <c r="OQX395" s="119"/>
      <c r="OQY395" s="104"/>
      <c r="OQZ395" s="455"/>
      <c r="ORA395" s="104"/>
      <c r="ORB395" s="104"/>
      <c r="ORC395" s="109"/>
      <c r="ORD395" s="104"/>
      <c r="ORE395" s="104"/>
      <c r="ORF395" s="119"/>
      <c r="ORG395" s="104"/>
      <c r="ORH395" s="455"/>
      <c r="ORI395" s="104"/>
      <c r="ORJ395" s="104"/>
      <c r="ORK395" s="109"/>
      <c r="ORL395" s="104"/>
      <c r="ORM395" s="104"/>
      <c r="ORN395" s="119"/>
      <c r="ORO395" s="104"/>
      <c r="ORP395" s="455"/>
      <c r="ORQ395" s="104"/>
      <c r="ORR395" s="104"/>
      <c r="ORS395" s="109"/>
      <c r="ORT395" s="104"/>
      <c r="ORU395" s="104"/>
      <c r="ORV395" s="119"/>
      <c r="ORW395" s="104"/>
      <c r="ORX395" s="455"/>
      <c r="ORY395" s="104"/>
      <c r="ORZ395" s="104"/>
      <c r="OSA395" s="109"/>
      <c r="OSB395" s="104"/>
      <c r="OSC395" s="104"/>
      <c r="OSD395" s="119"/>
      <c r="OSE395" s="104"/>
      <c r="OSF395" s="455"/>
      <c r="OSG395" s="104"/>
      <c r="OSH395" s="104"/>
      <c r="OSI395" s="109"/>
      <c r="OSJ395" s="104"/>
      <c r="OSK395" s="104"/>
      <c r="OSL395" s="119"/>
      <c r="OSM395" s="104"/>
      <c r="OSN395" s="455"/>
      <c r="OSO395" s="104"/>
      <c r="OSP395" s="104"/>
      <c r="OSQ395" s="109"/>
      <c r="OSR395" s="104"/>
      <c r="OSS395" s="104"/>
      <c r="OST395" s="119"/>
      <c r="OSU395" s="104"/>
      <c r="OSV395" s="455"/>
      <c r="OSW395" s="104"/>
      <c r="OSX395" s="104"/>
      <c r="OSY395" s="109"/>
      <c r="OSZ395" s="104"/>
      <c r="OTA395" s="104"/>
      <c r="OTB395" s="119"/>
      <c r="OTC395" s="104"/>
      <c r="OTD395" s="455"/>
      <c r="OTE395" s="104"/>
      <c r="OTF395" s="104"/>
      <c r="OTG395" s="109"/>
      <c r="OTH395" s="104"/>
      <c r="OTI395" s="104"/>
      <c r="OTJ395" s="119"/>
      <c r="OTK395" s="104"/>
      <c r="OTL395" s="455"/>
      <c r="OTM395" s="104"/>
      <c r="OTN395" s="104"/>
      <c r="OTO395" s="109"/>
      <c r="OTP395" s="104"/>
      <c r="OTQ395" s="104"/>
      <c r="OTR395" s="119"/>
      <c r="OTS395" s="104"/>
      <c r="OTT395" s="455"/>
      <c r="OTU395" s="104"/>
      <c r="OTV395" s="104"/>
      <c r="OTW395" s="109"/>
      <c r="OTX395" s="104"/>
      <c r="OTY395" s="104"/>
      <c r="OTZ395" s="119"/>
      <c r="OUA395" s="104"/>
      <c r="OUB395" s="455"/>
      <c r="OUC395" s="104"/>
      <c r="OUD395" s="104"/>
      <c r="OUE395" s="109"/>
      <c r="OUF395" s="104"/>
      <c r="OUG395" s="104"/>
      <c r="OUH395" s="119"/>
      <c r="OUI395" s="104"/>
      <c r="OUJ395" s="455"/>
      <c r="OUK395" s="104"/>
      <c r="OUL395" s="104"/>
      <c r="OUM395" s="109"/>
      <c r="OUN395" s="104"/>
      <c r="OUO395" s="104"/>
      <c r="OUP395" s="119"/>
      <c r="OUQ395" s="104"/>
      <c r="OUR395" s="455"/>
      <c r="OUS395" s="104"/>
      <c r="OUT395" s="104"/>
      <c r="OUU395" s="109"/>
      <c r="OUV395" s="104"/>
      <c r="OUW395" s="104"/>
      <c r="OUX395" s="119"/>
      <c r="OUY395" s="104"/>
      <c r="OUZ395" s="455"/>
      <c r="OVA395" s="104"/>
      <c r="OVB395" s="104"/>
      <c r="OVC395" s="109"/>
      <c r="OVD395" s="104"/>
      <c r="OVE395" s="104"/>
      <c r="OVF395" s="119"/>
      <c r="OVG395" s="104"/>
      <c r="OVH395" s="455"/>
      <c r="OVI395" s="104"/>
      <c r="OVJ395" s="104"/>
      <c r="OVK395" s="109"/>
      <c r="OVL395" s="104"/>
      <c r="OVM395" s="104"/>
      <c r="OVN395" s="119"/>
      <c r="OVO395" s="104"/>
      <c r="OVP395" s="455"/>
      <c r="OVQ395" s="104"/>
      <c r="OVR395" s="104"/>
      <c r="OVS395" s="109"/>
      <c r="OVT395" s="104"/>
      <c r="OVU395" s="104"/>
      <c r="OVV395" s="119"/>
      <c r="OVW395" s="104"/>
      <c r="OVX395" s="455"/>
      <c r="OVY395" s="104"/>
      <c r="OVZ395" s="104"/>
      <c r="OWA395" s="109"/>
      <c r="OWB395" s="104"/>
      <c r="OWC395" s="104"/>
      <c r="OWD395" s="119"/>
      <c r="OWE395" s="104"/>
      <c r="OWF395" s="455"/>
      <c r="OWG395" s="104"/>
      <c r="OWH395" s="104"/>
      <c r="OWI395" s="109"/>
      <c r="OWJ395" s="104"/>
      <c r="OWK395" s="104"/>
      <c r="OWL395" s="119"/>
      <c r="OWM395" s="104"/>
      <c r="OWN395" s="455"/>
      <c r="OWO395" s="104"/>
      <c r="OWP395" s="104"/>
      <c r="OWQ395" s="109"/>
      <c r="OWR395" s="104"/>
      <c r="OWS395" s="104"/>
      <c r="OWT395" s="119"/>
      <c r="OWU395" s="104"/>
      <c r="OWV395" s="455"/>
      <c r="OWW395" s="104"/>
      <c r="OWX395" s="104"/>
      <c r="OWY395" s="109"/>
      <c r="OWZ395" s="104"/>
      <c r="OXA395" s="104"/>
      <c r="OXB395" s="119"/>
      <c r="OXC395" s="104"/>
      <c r="OXD395" s="455"/>
      <c r="OXE395" s="104"/>
      <c r="OXF395" s="104"/>
      <c r="OXG395" s="109"/>
      <c r="OXH395" s="104"/>
      <c r="OXI395" s="104"/>
      <c r="OXJ395" s="119"/>
      <c r="OXK395" s="104"/>
      <c r="OXL395" s="455"/>
      <c r="OXM395" s="104"/>
      <c r="OXN395" s="104"/>
      <c r="OXO395" s="109"/>
      <c r="OXP395" s="104"/>
      <c r="OXQ395" s="104"/>
      <c r="OXR395" s="119"/>
      <c r="OXS395" s="104"/>
      <c r="OXT395" s="455"/>
      <c r="OXU395" s="104"/>
      <c r="OXV395" s="104"/>
      <c r="OXW395" s="109"/>
      <c r="OXX395" s="104"/>
      <c r="OXY395" s="104"/>
      <c r="OXZ395" s="119"/>
      <c r="OYA395" s="104"/>
      <c r="OYB395" s="455"/>
      <c r="OYC395" s="104"/>
      <c r="OYD395" s="104"/>
      <c r="OYE395" s="109"/>
      <c r="OYF395" s="104"/>
      <c r="OYG395" s="104"/>
      <c r="OYH395" s="119"/>
      <c r="OYI395" s="104"/>
      <c r="OYJ395" s="455"/>
      <c r="OYK395" s="104"/>
      <c r="OYL395" s="104"/>
      <c r="OYM395" s="109"/>
      <c r="OYN395" s="104"/>
      <c r="OYO395" s="104"/>
      <c r="OYP395" s="119"/>
      <c r="OYQ395" s="104"/>
      <c r="OYR395" s="455"/>
      <c r="OYS395" s="104"/>
      <c r="OYT395" s="104"/>
      <c r="OYU395" s="109"/>
      <c r="OYV395" s="104"/>
      <c r="OYW395" s="104"/>
      <c r="OYX395" s="119"/>
      <c r="OYY395" s="104"/>
      <c r="OYZ395" s="455"/>
      <c r="OZA395" s="104"/>
      <c r="OZB395" s="104"/>
      <c r="OZC395" s="109"/>
      <c r="OZD395" s="104"/>
      <c r="OZE395" s="104"/>
      <c r="OZF395" s="119"/>
      <c r="OZG395" s="104"/>
      <c r="OZH395" s="455"/>
      <c r="OZI395" s="104"/>
      <c r="OZJ395" s="104"/>
      <c r="OZK395" s="109"/>
      <c r="OZL395" s="104"/>
      <c r="OZM395" s="104"/>
      <c r="OZN395" s="119"/>
      <c r="OZO395" s="104"/>
      <c r="OZP395" s="455"/>
      <c r="OZQ395" s="104"/>
      <c r="OZR395" s="104"/>
      <c r="OZS395" s="109"/>
      <c r="OZT395" s="104"/>
      <c r="OZU395" s="104"/>
      <c r="OZV395" s="119"/>
      <c r="OZW395" s="104"/>
      <c r="OZX395" s="455"/>
      <c r="OZY395" s="104"/>
      <c r="OZZ395" s="104"/>
      <c r="PAA395" s="109"/>
      <c r="PAB395" s="104"/>
      <c r="PAC395" s="104"/>
      <c r="PAD395" s="119"/>
      <c r="PAE395" s="104"/>
      <c r="PAF395" s="455"/>
      <c r="PAG395" s="104"/>
      <c r="PAH395" s="104"/>
      <c r="PAI395" s="109"/>
      <c r="PAJ395" s="104"/>
      <c r="PAK395" s="104"/>
      <c r="PAL395" s="119"/>
      <c r="PAM395" s="104"/>
      <c r="PAN395" s="455"/>
      <c r="PAO395" s="104"/>
      <c r="PAP395" s="104"/>
      <c r="PAQ395" s="109"/>
      <c r="PAR395" s="104"/>
      <c r="PAS395" s="104"/>
      <c r="PAT395" s="119"/>
      <c r="PAU395" s="104"/>
      <c r="PAV395" s="455"/>
      <c r="PAW395" s="104"/>
      <c r="PAX395" s="104"/>
      <c r="PAY395" s="109"/>
      <c r="PAZ395" s="104"/>
      <c r="PBA395" s="104"/>
      <c r="PBB395" s="119"/>
      <c r="PBC395" s="104"/>
      <c r="PBD395" s="455"/>
      <c r="PBE395" s="104"/>
      <c r="PBF395" s="104"/>
      <c r="PBG395" s="109"/>
      <c r="PBH395" s="104"/>
      <c r="PBI395" s="104"/>
      <c r="PBJ395" s="119"/>
      <c r="PBK395" s="104"/>
      <c r="PBL395" s="455"/>
      <c r="PBM395" s="104"/>
      <c r="PBN395" s="104"/>
      <c r="PBO395" s="109"/>
      <c r="PBP395" s="104"/>
      <c r="PBQ395" s="104"/>
      <c r="PBR395" s="119"/>
      <c r="PBS395" s="104"/>
      <c r="PBT395" s="455"/>
      <c r="PBU395" s="104"/>
      <c r="PBV395" s="104"/>
      <c r="PBW395" s="109"/>
      <c r="PBX395" s="104"/>
      <c r="PBY395" s="104"/>
      <c r="PBZ395" s="119"/>
      <c r="PCA395" s="104"/>
      <c r="PCB395" s="455"/>
      <c r="PCC395" s="104"/>
      <c r="PCD395" s="104"/>
      <c r="PCE395" s="109"/>
      <c r="PCF395" s="104"/>
      <c r="PCG395" s="104"/>
      <c r="PCH395" s="119"/>
      <c r="PCI395" s="104"/>
      <c r="PCJ395" s="455"/>
      <c r="PCK395" s="104"/>
      <c r="PCL395" s="104"/>
      <c r="PCM395" s="109"/>
      <c r="PCN395" s="104"/>
      <c r="PCO395" s="104"/>
      <c r="PCP395" s="119"/>
      <c r="PCQ395" s="104"/>
      <c r="PCR395" s="455"/>
      <c r="PCS395" s="104"/>
      <c r="PCT395" s="104"/>
      <c r="PCU395" s="109"/>
      <c r="PCV395" s="104"/>
      <c r="PCW395" s="104"/>
      <c r="PCX395" s="119"/>
      <c r="PCY395" s="104"/>
      <c r="PCZ395" s="455"/>
      <c r="PDA395" s="104"/>
      <c r="PDB395" s="104"/>
      <c r="PDC395" s="109"/>
      <c r="PDD395" s="104"/>
      <c r="PDE395" s="104"/>
      <c r="PDF395" s="119"/>
      <c r="PDG395" s="104"/>
      <c r="PDH395" s="455"/>
      <c r="PDI395" s="104"/>
      <c r="PDJ395" s="104"/>
      <c r="PDK395" s="109"/>
      <c r="PDL395" s="104"/>
      <c r="PDM395" s="104"/>
      <c r="PDN395" s="119"/>
      <c r="PDO395" s="104"/>
      <c r="PDP395" s="455"/>
      <c r="PDQ395" s="104"/>
      <c r="PDR395" s="104"/>
      <c r="PDS395" s="109"/>
      <c r="PDT395" s="104"/>
      <c r="PDU395" s="104"/>
      <c r="PDV395" s="119"/>
      <c r="PDW395" s="104"/>
      <c r="PDX395" s="455"/>
      <c r="PDY395" s="104"/>
      <c r="PDZ395" s="104"/>
      <c r="PEA395" s="109"/>
      <c r="PEB395" s="104"/>
      <c r="PEC395" s="104"/>
      <c r="PED395" s="119"/>
      <c r="PEE395" s="104"/>
      <c r="PEF395" s="455"/>
      <c r="PEG395" s="104"/>
      <c r="PEH395" s="104"/>
      <c r="PEI395" s="109"/>
      <c r="PEJ395" s="104"/>
      <c r="PEK395" s="104"/>
      <c r="PEL395" s="119"/>
      <c r="PEM395" s="104"/>
      <c r="PEN395" s="455"/>
      <c r="PEO395" s="104"/>
      <c r="PEP395" s="104"/>
      <c r="PEQ395" s="109"/>
      <c r="PER395" s="104"/>
      <c r="PES395" s="104"/>
      <c r="PET395" s="119"/>
      <c r="PEU395" s="104"/>
      <c r="PEV395" s="455"/>
      <c r="PEW395" s="104"/>
      <c r="PEX395" s="104"/>
      <c r="PEY395" s="109"/>
      <c r="PEZ395" s="104"/>
      <c r="PFA395" s="104"/>
      <c r="PFB395" s="119"/>
      <c r="PFC395" s="104"/>
      <c r="PFD395" s="455"/>
      <c r="PFE395" s="104"/>
      <c r="PFF395" s="104"/>
      <c r="PFG395" s="109"/>
      <c r="PFH395" s="104"/>
      <c r="PFI395" s="104"/>
      <c r="PFJ395" s="119"/>
      <c r="PFK395" s="104"/>
      <c r="PFL395" s="455"/>
      <c r="PFM395" s="104"/>
      <c r="PFN395" s="104"/>
      <c r="PFO395" s="109"/>
      <c r="PFP395" s="104"/>
      <c r="PFQ395" s="104"/>
      <c r="PFR395" s="119"/>
      <c r="PFS395" s="104"/>
      <c r="PFT395" s="455"/>
      <c r="PFU395" s="104"/>
      <c r="PFV395" s="104"/>
      <c r="PFW395" s="109"/>
      <c r="PFX395" s="104"/>
      <c r="PFY395" s="104"/>
      <c r="PFZ395" s="119"/>
      <c r="PGA395" s="104"/>
      <c r="PGB395" s="455"/>
      <c r="PGC395" s="104"/>
      <c r="PGD395" s="104"/>
      <c r="PGE395" s="109"/>
      <c r="PGF395" s="104"/>
      <c r="PGG395" s="104"/>
      <c r="PGH395" s="119"/>
      <c r="PGI395" s="104"/>
      <c r="PGJ395" s="455"/>
      <c r="PGK395" s="104"/>
      <c r="PGL395" s="104"/>
      <c r="PGM395" s="109"/>
      <c r="PGN395" s="104"/>
      <c r="PGO395" s="104"/>
      <c r="PGP395" s="119"/>
      <c r="PGQ395" s="104"/>
      <c r="PGR395" s="455"/>
      <c r="PGS395" s="104"/>
      <c r="PGT395" s="104"/>
      <c r="PGU395" s="109"/>
      <c r="PGV395" s="104"/>
      <c r="PGW395" s="104"/>
      <c r="PGX395" s="119"/>
      <c r="PGY395" s="104"/>
      <c r="PGZ395" s="455"/>
      <c r="PHA395" s="104"/>
      <c r="PHB395" s="104"/>
      <c r="PHC395" s="109"/>
      <c r="PHD395" s="104"/>
      <c r="PHE395" s="104"/>
      <c r="PHF395" s="119"/>
      <c r="PHG395" s="104"/>
      <c r="PHH395" s="455"/>
      <c r="PHI395" s="104"/>
      <c r="PHJ395" s="104"/>
      <c r="PHK395" s="109"/>
      <c r="PHL395" s="104"/>
      <c r="PHM395" s="104"/>
      <c r="PHN395" s="119"/>
      <c r="PHO395" s="104"/>
      <c r="PHP395" s="455"/>
      <c r="PHQ395" s="104"/>
      <c r="PHR395" s="104"/>
      <c r="PHS395" s="109"/>
      <c r="PHT395" s="104"/>
      <c r="PHU395" s="104"/>
      <c r="PHV395" s="119"/>
      <c r="PHW395" s="104"/>
      <c r="PHX395" s="455"/>
      <c r="PHY395" s="104"/>
      <c r="PHZ395" s="104"/>
      <c r="PIA395" s="109"/>
      <c r="PIB395" s="104"/>
      <c r="PIC395" s="104"/>
      <c r="PID395" s="119"/>
      <c r="PIE395" s="104"/>
      <c r="PIF395" s="455"/>
      <c r="PIG395" s="104"/>
      <c r="PIH395" s="104"/>
      <c r="PII395" s="109"/>
      <c r="PIJ395" s="104"/>
      <c r="PIK395" s="104"/>
      <c r="PIL395" s="119"/>
      <c r="PIM395" s="104"/>
      <c r="PIN395" s="455"/>
      <c r="PIO395" s="104"/>
      <c r="PIP395" s="104"/>
      <c r="PIQ395" s="109"/>
      <c r="PIR395" s="104"/>
      <c r="PIS395" s="104"/>
      <c r="PIT395" s="119"/>
      <c r="PIU395" s="104"/>
      <c r="PIV395" s="455"/>
      <c r="PIW395" s="104"/>
      <c r="PIX395" s="104"/>
      <c r="PIY395" s="109"/>
      <c r="PIZ395" s="104"/>
      <c r="PJA395" s="104"/>
      <c r="PJB395" s="119"/>
      <c r="PJC395" s="104"/>
      <c r="PJD395" s="455"/>
      <c r="PJE395" s="104"/>
      <c r="PJF395" s="104"/>
      <c r="PJG395" s="109"/>
      <c r="PJH395" s="104"/>
      <c r="PJI395" s="104"/>
      <c r="PJJ395" s="119"/>
      <c r="PJK395" s="104"/>
      <c r="PJL395" s="455"/>
      <c r="PJM395" s="104"/>
      <c r="PJN395" s="104"/>
      <c r="PJO395" s="109"/>
      <c r="PJP395" s="104"/>
      <c r="PJQ395" s="104"/>
      <c r="PJR395" s="119"/>
      <c r="PJS395" s="104"/>
      <c r="PJT395" s="455"/>
      <c r="PJU395" s="104"/>
      <c r="PJV395" s="104"/>
      <c r="PJW395" s="109"/>
      <c r="PJX395" s="104"/>
      <c r="PJY395" s="104"/>
      <c r="PJZ395" s="119"/>
      <c r="PKA395" s="104"/>
      <c r="PKB395" s="455"/>
      <c r="PKC395" s="104"/>
      <c r="PKD395" s="104"/>
      <c r="PKE395" s="109"/>
      <c r="PKF395" s="104"/>
      <c r="PKG395" s="104"/>
      <c r="PKH395" s="119"/>
      <c r="PKI395" s="104"/>
      <c r="PKJ395" s="455"/>
      <c r="PKK395" s="104"/>
      <c r="PKL395" s="104"/>
      <c r="PKM395" s="109"/>
      <c r="PKN395" s="104"/>
      <c r="PKO395" s="104"/>
      <c r="PKP395" s="119"/>
      <c r="PKQ395" s="104"/>
      <c r="PKR395" s="455"/>
      <c r="PKS395" s="104"/>
      <c r="PKT395" s="104"/>
      <c r="PKU395" s="109"/>
      <c r="PKV395" s="104"/>
      <c r="PKW395" s="104"/>
      <c r="PKX395" s="119"/>
      <c r="PKY395" s="104"/>
      <c r="PKZ395" s="455"/>
      <c r="PLA395" s="104"/>
      <c r="PLB395" s="104"/>
      <c r="PLC395" s="109"/>
      <c r="PLD395" s="104"/>
      <c r="PLE395" s="104"/>
      <c r="PLF395" s="119"/>
      <c r="PLG395" s="104"/>
      <c r="PLH395" s="455"/>
      <c r="PLI395" s="104"/>
      <c r="PLJ395" s="104"/>
      <c r="PLK395" s="109"/>
      <c r="PLL395" s="104"/>
      <c r="PLM395" s="104"/>
      <c r="PLN395" s="119"/>
      <c r="PLO395" s="104"/>
      <c r="PLP395" s="455"/>
      <c r="PLQ395" s="104"/>
      <c r="PLR395" s="104"/>
      <c r="PLS395" s="109"/>
      <c r="PLT395" s="104"/>
      <c r="PLU395" s="104"/>
      <c r="PLV395" s="119"/>
      <c r="PLW395" s="104"/>
      <c r="PLX395" s="455"/>
      <c r="PLY395" s="104"/>
      <c r="PLZ395" s="104"/>
      <c r="PMA395" s="109"/>
      <c r="PMB395" s="104"/>
      <c r="PMC395" s="104"/>
      <c r="PMD395" s="119"/>
      <c r="PME395" s="104"/>
      <c r="PMF395" s="455"/>
      <c r="PMG395" s="104"/>
      <c r="PMH395" s="104"/>
      <c r="PMI395" s="109"/>
      <c r="PMJ395" s="104"/>
      <c r="PMK395" s="104"/>
      <c r="PML395" s="119"/>
      <c r="PMM395" s="104"/>
      <c r="PMN395" s="455"/>
      <c r="PMO395" s="104"/>
      <c r="PMP395" s="104"/>
      <c r="PMQ395" s="109"/>
      <c r="PMR395" s="104"/>
      <c r="PMS395" s="104"/>
      <c r="PMT395" s="119"/>
      <c r="PMU395" s="104"/>
      <c r="PMV395" s="455"/>
      <c r="PMW395" s="104"/>
      <c r="PMX395" s="104"/>
      <c r="PMY395" s="109"/>
      <c r="PMZ395" s="104"/>
      <c r="PNA395" s="104"/>
      <c r="PNB395" s="119"/>
      <c r="PNC395" s="104"/>
      <c r="PND395" s="455"/>
      <c r="PNE395" s="104"/>
      <c r="PNF395" s="104"/>
      <c r="PNG395" s="109"/>
      <c r="PNH395" s="104"/>
      <c r="PNI395" s="104"/>
      <c r="PNJ395" s="119"/>
      <c r="PNK395" s="104"/>
      <c r="PNL395" s="455"/>
      <c r="PNM395" s="104"/>
      <c r="PNN395" s="104"/>
      <c r="PNO395" s="109"/>
      <c r="PNP395" s="104"/>
      <c r="PNQ395" s="104"/>
      <c r="PNR395" s="119"/>
      <c r="PNS395" s="104"/>
      <c r="PNT395" s="455"/>
      <c r="PNU395" s="104"/>
      <c r="PNV395" s="104"/>
      <c r="PNW395" s="109"/>
      <c r="PNX395" s="104"/>
      <c r="PNY395" s="104"/>
      <c r="PNZ395" s="119"/>
      <c r="POA395" s="104"/>
      <c r="POB395" s="455"/>
      <c r="POC395" s="104"/>
      <c r="POD395" s="104"/>
      <c r="POE395" s="109"/>
      <c r="POF395" s="104"/>
      <c r="POG395" s="104"/>
      <c r="POH395" s="119"/>
      <c r="POI395" s="104"/>
      <c r="POJ395" s="455"/>
      <c r="POK395" s="104"/>
      <c r="POL395" s="104"/>
      <c r="POM395" s="109"/>
      <c r="PON395" s="104"/>
      <c r="POO395" s="104"/>
      <c r="POP395" s="119"/>
      <c r="POQ395" s="104"/>
      <c r="POR395" s="455"/>
      <c r="POS395" s="104"/>
      <c r="POT395" s="104"/>
      <c r="POU395" s="109"/>
      <c r="POV395" s="104"/>
      <c r="POW395" s="104"/>
      <c r="POX395" s="119"/>
      <c r="POY395" s="104"/>
      <c r="POZ395" s="455"/>
      <c r="PPA395" s="104"/>
      <c r="PPB395" s="104"/>
      <c r="PPC395" s="109"/>
      <c r="PPD395" s="104"/>
      <c r="PPE395" s="104"/>
      <c r="PPF395" s="119"/>
      <c r="PPG395" s="104"/>
      <c r="PPH395" s="455"/>
      <c r="PPI395" s="104"/>
      <c r="PPJ395" s="104"/>
      <c r="PPK395" s="109"/>
      <c r="PPL395" s="104"/>
      <c r="PPM395" s="104"/>
      <c r="PPN395" s="119"/>
      <c r="PPO395" s="104"/>
      <c r="PPP395" s="455"/>
      <c r="PPQ395" s="104"/>
      <c r="PPR395" s="104"/>
      <c r="PPS395" s="109"/>
      <c r="PPT395" s="104"/>
      <c r="PPU395" s="104"/>
      <c r="PPV395" s="119"/>
      <c r="PPW395" s="104"/>
      <c r="PPX395" s="455"/>
      <c r="PPY395" s="104"/>
      <c r="PPZ395" s="104"/>
      <c r="PQA395" s="109"/>
      <c r="PQB395" s="104"/>
      <c r="PQC395" s="104"/>
      <c r="PQD395" s="119"/>
      <c r="PQE395" s="104"/>
      <c r="PQF395" s="455"/>
      <c r="PQG395" s="104"/>
      <c r="PQH395" s="104"/>
      <c r="PQI395" s="109"/>
      <c r="PQJ395" s="104"/>
      <c r="PQK395" s="104"/>
      <c r="PQL395" s="119"/>
      <c r="PQM395" s="104"/>
      <c r="PQN395" s="455"/>
      <c r="PQO395" s="104"/>
      <c r="PQP395" s="104"/>
      <c r="PQQ395" s="109"/>
      <c r="PQR395" s="104"/>
      <c r="PQS395" s="104"/>
      <c r="PQT395" s="119"/>
      <c r="PQU395" s="104"/>
      <c r="PQV395" s="455"/>
      <c r="PQW395" s="104"/>
      <c r="PQX395" s="104"/>
      <c r="PQY395" s="109"/>
      <c r="PQZ395" s="104"/>
      <c r="PRA395" s="104"/>
      <c r="PRB395" s="119"/>
      <c r="PRC395" s="104"/>
      <c r="PRD395" s="455"/>
      <c r="PRE395" s="104"/>
      <c r="PRF395" s="104"/>
      <c r="PRG395" s="109"/>
      <c r="PRH395" s="104"/>
      <c r="PRI395" s="104"/>
      <c r="PRJ395" s="119"/>
      <c r="PRK395" s="104"/>
      <c r="PRL395" s="455"/>
      <c r="PRM395" s="104"/>
      <c r="PRN395" s="104"/>
      <c r="PRO395" s="109"/>
      <c r="PRP395" s="104"/>
      <c r="PRQ395" s="104"/>
      <c r="PRR395" s="119"/>
      <c r="PRS395" s="104"/>
      <c r="PRT395" s="455"/>
      <c r="PRU395" s="104"/>
      <c r="PRV395" s="104"/>
      <c r="PRW395" s="109"/>
      <c r="PRX395" s="104"/>
      <c r="PRY395" s="104"/>
      <c r="PRZ395" s="119"/>
      <c r="PSA395" s="104"/>
      <c r="PSB395" s="455"/>
      <c r="PSC395" s="104"/>
      <c r="PSD395" s="104"/>
      <c r="PSE395" s="109"/>
      <c r="PSF395" s="104"/>
      <c r="PSG395" s="104"/>
      <c r="PSH395" s="119"/>
      <c r="PSI395" s="104"/>
      <c r="PSJ395" s="455"/>
      <c r="PSK395" s="104"/>
      <c r="PSL395" s="104"/>
      <c r="PSM395" s="109"/>
      <c r="PSN395" s="104"/>
      <c r="PSO395" s="104"/>
      <c r="PSP395" s="119"/>
      <c r="PSQ395" s="104"/>
      <c r="PSR395" s="455"/>
      <c r="PSS395" s="104"/>
      <c r="PST395" s="104"/>
      <c r="PSU395" s="109"/>
      <c r="PSV395" s="104"/>
      <c r="PSW395" s="104"/>
      <c r="PSX395" s="119"/>
      <c r="PSY395" s="104"/>
      <c r="PSZ395" s="455"/>
      <c r="PTA395" s="104"/>
      <c r="PTB395" s="104"/>
      <c r="PTC395" s="109"/>
      <c r="PTD395" s="104"/>
      <c r="PTE395" s="104"/>
      <c r="PTF395" s="119"/>
      <c r="PTG395" s="104"/>
      <c r="PTH395" s="455"/>
      <c r="PTI395" s="104"/>
      <c r="PTJ395" s="104"/>
      <c r="PTK395" s="109"/>
      <c r="PTL395" s="104"/>
      <c r="PTM395" s="104"/>
      <c r="PTN395" s="119"/>
      <c r="PTO395" s="104"/>
      <c r="PTP395" s="455"/>
      <c r="PTQ395" s="104"/>
      <c r="PTR395" s="104"/>
      <c r="PTS395" s="109"/>
      <c r="PTT395" s="104"/>
      <c r="PTU395" s="104"/>
      <c r="PTV395" s="119"/>
      <c r="PTW395" s="104"/>
      <c r="PTX395" s="455"/>
      <c r="PTY395" s="104"/>
      <c r="PTZ395" s="104"/>
      <c r="PUA395" s="109"/>
      <c r="PUB395" s="104"/>
      <c r="PUC395" s="104"/>
      <c r="PUD395" s="119"/>
      <c r="PUE395" s="104"/>
      <c r="PUF395" s="455"/>
      <c r="PUG395" s="104"/>
      <c r="PUH395" s="104"/>
      <c r="PUI395" s="109"/>
      <c r="PUJ395" s="104"/>
      <c r="PUK395" s="104"/>
      <c r="PUL395" s="119"/>
      <c r="PUM395" s="104"/>
      <c r="PUN395" s="455"/>
      <c r="PUO395" s="104"/>
      <c r="PUP395" s="104"/>
      <c r="PUQ395" s="109"/>
      <c r="PUR395" s="104"/>
      <c r="PUS395" s="104"/>
      <c r="PUT395" s="119"/>
      <c r="PUU395" s="104"/>
      <c r="PUV395" s="455"/>
      <c r="PUW395" s="104"/>
      <c r="PUX395" s="104"/>
      <c r="PUY395" s="109"/>
      <c r="PUZ395" s="104"/>
      <c r="PVA395" s="104"/>
      <c r="PVB395" s="119"/>
      <c r="PVC395" s="104"/>
      <c r="PVD395" s="455"/>
      <c r="PVE395" s="104"/>
      <c r="PVF395" s="104"/>
      <c r="PVG395" s="109"/>
      <c r="PVH395" s="104"/>
      <c r="PVI395" s="104"/>
      <c r="PVJ395" s="119"/>
      <c r="PVK395" s="104"/>
      <c r="PVL395" s="455"/>
      <c r="PVM395" s="104"/>
      <c r="PVN395" s="104"/>
      <c r="PVO395" s="109"/>
      <c r="PVP395" s="104"/>
      <c r="PVQ395" s="104"/>
      <c r="PVR395" s="119"/>
      <c r="PVS395" s="104"/>
      <c r="PVT395" s="455"/>
      <c r="PVU395" s="104"/>
      <c r="PVV395" s="104"/>
      <c r="PVW395" s="109"/>
      <c r="PVX395" s="104"/>
      <c r="PVY395" s="104"/>
      <c r="PVZ395" s="119"/>
      <c r="PWA395" s="104"/>
      <c r="PWB395" s="455"/>
      <c r="PWC395" s="104"/>
      <c r="PWD395" s="104"/>
      <c r="PWE395" s="109"/>
      <c r="PWF395" s="104"/>
      <c r="PWG395" s="104"/>
      <c r="PWH395" s="119"/>
      <c r="PWI395" s="104"/>
      <c r="PWJ395" s="455"/>
      <c r="PWK395" s="104"/>
      <c r="PWL395" s="104"/>
      <c r="PWM395" s="109"/>
      <c r="PWN395" s="104"/>
      <c r="PWO395" s="104"/>
      <c r="PWP395" s="119"/>
      <c r="PWQ395" s="104"/>
      <c r="PWR395" s="455"/>
      <c r="PWS395" s="104"/>
      <c r="PWT395" s="104"/>
      <c r="PWU395" s="109"/>
      <c r="PWV395" s="104"/>
      <c r="PWW395" s="104"/>
      <c r="PWX395" s="119"/>
      <c r="PWY395" s="104"/>
      <c r="PWZ395" s="455"/>
      <c r="PXA395" s="104"/>
      <c r="PXB395" s="104"/>
      <c r="PXC395" s="109"/>
      <c r="PXD395" s="104"/>
      <c r="PXE395" s="104"/>
      <c r="PXF395" s="119"/>
      <c r="PXG395" s="104"/>
      <c r="PXH395" s="455"/>
      <c r="PXI395" s="104"/>
      <c r="PXJ395" s="104"/>
      <c r="PXK395" s="109"/>
      <c r="PXL395" s="104"/>
      <c r="PXM395" s="104"/>
      <c r="PXN395" s="119"/>
      <c r="PXO395" s="104"/>
      <c r="PXP395" s="455"/>
      <c r="PXQ395" s="104"/>
      <c r="PXR395" s="104"/>
      <c r="PXS395" s="109"/>
      <c r="PXT395" s="104"/>
      <c r="PXU395" s="104"/>
      <c r="PXV395" s="119"/>
      <c r="PXW395" s="104"/>
      <c r="PXX395" s="455"/>
      <c r="PXY395" s="104"/>
      <c r="PXZ395" s="104"/>
      <c r="PYA395" s="109"/>
      <c r="PYB395" s="104"/>
      <c r="PYC395" s="104"/>
      <c r="PYD395" s="119"/>
      <c r="PYE395" s="104"/>
      <c r="PYF395" s="455"/>
      <c r="PYG395" s="104"/>
      <c r="PYH395" s="104"/>
      <c r="PYI395" s="109"/>
      <c r="PYJ395" s="104"/>
      <c r="PYK395" s="104"/>
      <c r="PYL395" s="119"/>
      <c r="PYM395" s="104"/>
      <c r="PYN395" s="455"/>
      <c r="PYO395" s="104"/>
      <c r="PYP395" s="104"/>
      <c r="PYQ395" s="109"/>
      <c r="PYR395" s="104"/>
      <c r="PYS395" s="104"/>
      <c r="PYT395" s="119"/>
      <c r="PYU395" s="104"/>
      <c r="PYV395" s="455"/>
      <c r="PYW395" s="104"/>
      <c r="PYX395" s="104"/>
      <c r="PYY395" s="109"/>
      <c r="PYZ395" s="104"/>
      <c r="PZA395" s="104"/>
      <c r="PZB395" s="119"/>
      <c r="PZC395" s="104"/>
      <c r="PZD395" s="455"/>
      <c r="PZE395" s="104"/>
      <c r="PZF395" s="104"/>
      <c r="PZG395" s="109"/>
      <c r="PZH395" s="104"/>
      <c r="PZI395" s="104"/>
      <c r="PZJ395" s="119"/>
      <c r="PZK395" s="104"/>
      <c r="PZL395" s="455"/>
      <c r="PZM395" s="104"/>
      <c r="PZN395" s="104"/>
      <c r="PZO395" s="109"/>
      <c r="PZP395" s="104"/>
      <c r="PZQ395" s="104"/>
      <c r="PZR395" s="119"/>
      <c r="PZS395" s="104"/>
      <c r="PZT395" s="455"/>
      <c r="PZU395" s="104"/>
      <c r="PZV395" s="104"/>
      <c r="PZW395" s="109"/>
      <c r="PZX395" s="104"/>
      <c r="PZY395" s="104"/>
      <c r="PZZ395" s="119"/>
      <c r="QAA395" s="104"/>
      <c r="QAB395" s="455"/>
      <c r="QAC395" s="104"/>
      <c r="QAD395" s="104"/>
      <c r="QAE395" s="109"/>
      <c r="QAF395" s="104"/>
      <c r="QAG395" s="104"/>
      <c r="QAH395" s="119"/>
      <c r="QAI395" s="104"/>
      <c r="QAJ395" s="455"/>
      <c r="QAK395" s="104"/>
      <c r="QAL395" s="104"/>
      <c r="QAM395" s="109"/>
      <c r="QAN395" s="104"/>
      <c r="QAO395" s="104"/>
      <c r="QAP395" s="119"/>
      <c r="QAQ395" s="104"/>
      <c r="QAR395" s="455"/>
      <c r="QAS395" s="104"/>
      <c r="QAT395" s="104"/>
      <c r="QAU395" s="109"/>
      <c r="QAV395" s="104"/>
      <c r="QAW395" s="104"/>
      <c r="QAX395" s="119"/>
      <c r="QAY395" s="104"/>
      <c r="QAZ395" s="455"/>
      <c r="QBA395" s="104"/>
      <c r="QBB395" s="104"/>
      <c r="QBC395" s="109"/>
      <c r="QBD395" s="104"/>
      <c r="QBE395" s="104"/>
      <c r="QBF395" s="119"/>
      <c r="QBG395" s="104"/>
      <c r="QBH395" s="455"/>
      <c r="QBI395" s="104"/>
      <c r="QBJ395" s="104"/>
      <c r="QBK395" s="109"/>
      <c r="QBL395" s="104"/>
      <c r="QBM395" s="104"/>
      <c r="QBN395" s="119"/>
      <c r="QBO395" s="104"/>
      <c r="QBP395" s="455"/>
      <c r="QBQ395" s="104"/>
      <c r="QBR395" s="104"/>
      <c r="QBS395" s="109"/>
      <c r="QBT395" s="104"/>
      <c r="QBU395" s="104"/>
      <c r="QBV395" s="119"/>
      <c r="QBW395" s="104"/>
      <c r="QBX395" s="455"/>
      <c r="QBY395" s="104"/>
      <c r="QBZ395" s="104"/>
      <c r="QCA395" s="109"/>
      <c r="QCB395" s="104"/>
      <c r="QCC395" s="104"/>
      <c r="QCD395" s="119"/>
      <c r="QCE395" s="104"/>
      <c r="QCF395" s="455"/>
      <c r="QCG395" s="104"/>
      <c r="QCH395" s="104"/>
      <c r="QCI395" s="109"/>
      <c r="QCJ395" s="104"/>
      <c r="QCK395" s="104"/>
      <c r="QCL395" s="119"/>
      <c r="QCM395" s="104"/>
      <c r="QCN395" s="455"/>
      <c r="QCO395" s="104"/>
      <c r="QCP395" s="104"/>
      <c r="QCQ395" s="109"/>
      <c r="QCR395" s="104"/>
      <c r="QCS395" s="104"/>
      <c r="QCT395" s="119"/>
      <c r="QCU395" s="104"/>
      <c r="QCV395" s="455"/>
      <c r="QCW395" s="104"/>
      <c r="QCX395" s="104"/>
      <c r="QCY395" s="109"/>
      <c r="QCZ395" s="104"/>
      <c r="QDA395" s="104"/>
      <c r="QDB395" s="119"/>
      <c r="QDC395" s="104"/>
      <c r="QDD395" s="455"/>
      <c r="QDE395" s="104"/>
      <c r="QDF395" s="104"/>
      <c r="QDG395" s="109"/>
      <c r="QDH395" s="104"/>
      <c r="QDI395" s="104"/>
      <c r="QDJ395" s="119"/>
      <c r="QDK395" s="104"/>
      <c r="QDL395" s="455"/>
      <c r="QDM395" s="104"/>
      <c r="QDN395" s="104"/>
      <c r="QDO395" s="109"/>
      <c r="QDP395" s="104"/>
      <c r="QDQ395" s="104"/>
      <c r="QDR395" s="119"/>
      <c r="QDS395" s="104"/>
      <c r="QDT395" s="455"/>
      <c r="QDU395" s="104"/>
      <c r="QDV395" s="104"/>
      <c r="QDW395" s="109"/>
      <c r="QDX395" s="104"/>
      <c r="QDY395" s="104"/>
      <c r="QDZ395" s="119"/>
      <c r="QEA395" s="104"/>
      <c r="QEB395" s="455"/>
      <c r="QEC395" s="104"/>
      <c r="QED395" s="104"/>
      <c r="QEE395" s="109"/>
      <c r="QEF395" s="104"/>
      <c r="QEG395" s="104"/>
      <c r="QEH395" s="119"/>
      <c r="QEI395" s="104"/>
      <c r="QEJ395" s="455"/>
      <c r="QEK395" s="104"/>
      <c r="QEL395" s="104"/>
      <c r="QEM395" s="109"/>
      <c r="QEN395" s="104"/>
      <c r="QEO395" s="104"/>
      <c r="QEP395" s="119"/>
      <c r="QEQ395" s="104"/>
      <c r="QER395" s="455"/>
      <c r="QES395" s="104"/>
      <c r="QET395" s="104"/>
      <c r="QEU395" s="109"/>
      <c r="QEV395" s="104"/>
      <c r="QEW395" s="104"/>
      <c r="QEX395" s="119"/>
      <c r="QEY395" s="104"/>
      <c r="QEZ395" s="455"/>
      <c r="QFA395" s="104"/>
      <c r="QFB395" s="104"/>
      <c r="QFC395" s="109"/>
      <c r="QFD395" s="104"/>
      <c r="QFE395" s="104"/>
      <c r="QFF395" s="119"/>
      <c r="QFG395" s="104"/>
      <c r="QFH395" s="455"/>
      <c r="QFI395" s="104"/>
      <c r="QFJ395" s="104"/>
      <c r="QFK395" s="109"/>
      <c r="QFL395" s="104"/>
      <c r="QFM395" s="104"/>
      <c r="QFN395" s="119"/>
      <c r="QFO395" s="104"/>
      <c r="QFP395" s="455"/>
      <c r="QFQ395" s="104"/>
      <c r="QFR395" s="104"/>
      <c r="QFS395" s="109"/>
      <c r="QFT395" s="104"/>
      <c r="QFU395" s="104"/>
      <c r="QFV395" s="119"/>
      <c r="QFW395" s="104"/>
      <c r="QFX395" s="455"/>
      <c r="QFY395" s="104"/>
      <c r="QFZ395" s="104"/>
      <c r="QGA395" s="109"/>
      <c r="QGB395" s="104"/>
      <c r="QGC395" s="104"/>
      <c r="QGD395" s="119"/>
      <c r="QGE395" s="104"/>
      <c r="QGF395" s="455"/>
      <c r="QGG395" s="104"/>
      <c r="QGH395" s="104"/>
      <c r="QGI395" s="109"/>
      <c r="QGJ395" s="104"/>
      <c r="QGK395" s="104"/>
      <c r="QGL395" s="119"/>
      <c r="QGM395" s="104"/>
      <c r="QGN395" s="455"/>
      <c r="QGO395" s="104"/>
      <c r="QGP395" s="104"/>
      <c r="QGQ395" s="109"/>
      <c r="QGR395" s="104"/>
      <c r="QGS395" s="104"/>
      <c r="QGT395" s="119"/>
      <c r="QGU395" s="104"/>
      <c r="QGV395" s="455"/>
      <c r="QGW395" s="104"/>
      <c r="QGX395" s="104"/>
      <c r="QGY395" s="109"/>
      <c r="QGZ395" s="104"/>
      <c r="QHA395" s="104"/>
      <c r="QHB395" s="119"/>
      <c r="QHC395" s="104"/>
      <c r="QHD395" s="455"/>
      <c r="QHE395" s="104"/>
      <c r="QHF395" s="104"/>
      <c r="QHG395" s="109"/>
      <c r="QHH395" s="104"/>
      <c r="QHI395" s="104"/>
      <c r="QHJ395" s="119"/>
      <c r="QHK395" s="104"/>
      <c r="QHL395" s="455"/>
      <c r="QHM395" s="104"/>
      <c r="QHN395" s="104"/>
      <c r="QHO395" s="109"/>
      <c r="QHP395" s="104"/>
      <c r="QHQ395" s="104"/>
      <c r="QHR395" s="119"/>
      <c r="QHS395" s="104"/>
      <c r="QHT395" s="455"/>
      <c r="QHU395" s="104"/>
      <c r="QHV395" s="104"/>
      <c r="QHW395" s="109"/>
      <c r="QHX395" s="104"/>
      <c r="QHY395" s="104"/>
      <c r="QHZ395" s="119"/>
      <c r="QIA395" s="104"/>
      <c r="QIB395" s="455"/>
      <c r="QIC395" s="104"/>
      <c r="QID395" s="104"/>
      <c r="QIE395" s="109"/>
      <c r="QIF395" s="104"/>
      <c r="QIG395" s="104"/>
      <c r="QIH395" s="119"/>
      <c r="QII395" s="104"/>
      <c r="QIJ395" s="455"/>
      <c r="QIK395" s="104"/>
      <c r="QIL395" s="104"/>
      <c r="QIM395" s="109"/>
      <c r="QIN395" s="104"/>
      <c r="QIO395" s="104"/>
      <c r="QIP395" s="119"/>
      <c r="QIQ395" s="104"/>
      <c r="QIR395" s="455"/>
      <c r="QIS395" s="104"/>
      <c r="QIT395" s="104"/>
      <c r="QIU395" s="109"/>
      <c r="QIV395" s="104"/>
      <c r="QIW395" s="104"/>
      <c r="QIX395" s="119"/>
      <c r="QIY395" s="104"/>
      <c r="QIZ395" s="455"/>
      <c r="QJA395" s="104"/>
      <c r="QJB395" s="104"/>
      <c r="QJC395" s="109"/>
      <c r="QJD395" s="104"/>
      <c r="QJE395" s="104"/>
      <c r="QJF395" s="119"/>
      <c r="QJG395" s="104"/>
      <c r="QJH395" s="455"/>
      <c r="QJI395" s="104"/>
      <c r="QJJ395" s="104"/>
      <c r="QJK395" s="109"/>
      <c r="QJL395" s="104"/>
      <c r="QJM395" s="104"/>
      <c r="QJN395" s="119"/>
      <c r="QJO395" s="104"/>
      <c r="QJP395" s="455"/>
      <c r="QJQ395" s="104"/>
      <c r="QJR395" s="104"/>
      <c r="QJS395" s="109"/>
      <c r="QJT395" s="104"/>
      <c r="QJU395" s="104"/>
      <c r="QJV395" s="119"/>
      <c r="QJW395" s="104"/>
      <c r="QJX395" s="455"/>
      <c r="QJY395" s="104"/>
      <c r="QJZ395" s="104"/>
      <c r="QKA395" s="109"/>
      <c r="QKB395" s="104"/>
      <c r="QKC395" s="104"/>
      <c r="QKD395" s="119"/>
      <c r="QKE395" s="104"/>
      <c r="QKF395" s="455"/>
      <c r="QKG395" s="104"/>
      <c r="QKH395" s="104"/>
      <c r="QKI395" s="109"/>
      <c r="QKJ395" s="104"/>
      <c r="QKK395" s="104"/>
      <c r="QKL395" s="119"/>
      <c r="QKM395" s="104"/>
      <c r="QKN395" s="455"/>
      <c r="QKO395" s="104"/>
      <c r="QKP395" s="104"/>
      <c r="QKQ395" s="109"/>
      <c r="QKR395" s="104"/>
      <c r="QKS395" s="104"/>
      <c r="QKT395" s="119"/>
      <c r="QKU395" s="104"/>
      <c r="QKV395" s="455"/>
      <c r="QKW395" s="104"/>
      <c r="QKX395" s="104"/>
      <c r="QKY395" s="109"/>
      <c r="QKZ395" s="104"/>
      <c r="QLA395" s="104"/>
      <c r="QLB395" s="119"/>
      <c r="QLC395" s="104"/>
      <c r="QLD395" s="455"/>
      <c r="QLE395" s="104"/>
      <c r="QLF395" s="104"/>
      <c r="QLG395" s="109"/>
      <c r="QLH395" s="104"/>
      <c r="QLI395" s="104"/>
      <c r="QLJ395" s="119"/>
      <c r="QLK395" s="104"/>
      <c r="QLL395" s="455"/>
      <c r="QLM395" s="104"/>
      <c r="QLN395" s="104"/>
      <c r="QLO395" s="109"/>
      <c r="QLP395" s="104"/>
      <c r="QLQ395" s="104"/>
      <c r="QLR395" s="119"/>
      <c r="QLS395" s="104"/>
      <c r="QLT395" s="455"/>
      <c r="QLU395" s="104"/>
      <c r="QLV395" s="104"/>
      <c r="QLW395" s="109"/>
      <c r="QLX395" s="104"/>
      <c r="QLY395" s="104"/>
      <c r="QLZ395" s="119"/>
      <c r="QMA395" s="104"/>
      <c r="QMB395" s="455"/>
      <c r="QMC395" s="104"/>
      <c r="QMD395" s="104"/>
      <c r="QME395" s="109"/>
      <c r="QMF395" s="104"/>
      <c r="QMG395" s="104"/>
      <c r="QMH395" s="119"/>
      <c r="QMI395" s="104"/>
      <c r="QMJ395" s="455"/>
      <c r="QMK395" s="104"/>
      <c r="QML395" s="104"/>
      <c r="QMM395" s="109"/>
      <c r="QMN395" s="104"/>
      <c r="QMO395" s="104"/>
      <c r="QMP395" s="119"/>
      <c r="QMQ395" s="104"/>
      <c r="QMR395" s="455"/>
      <c r="QMS395" s="104"/>
      <c r="QMT395" s="104"/>
      <c r="QMU395" s="109"/>
      <c r="QMV395" s="104"/>
      <c r="QMW395" s="104"/>
      <c r="QMX395" s="119"/>
      <c r="QMY395" s="104"/>
      <c r="QMZ395" s="455"/>
      <c r="QNA395" s="104"/>
      <c r="QNB395" s="104"/>
      <c r="QNC395" s="109"/>
      <c r="QND395" s="104"/>
      <c r="QNE395" s="104"/>
      <c r="QNF395" s="119"/>
      <c r="QNG395" s="104"/>
      <c r="QNH395" s="455"/>
      <c r="QNI395" s="104"/>
      <c r="QNJ395" s="104"/>
      <c r="QNK395" s="109"/>
      <c r="QNL395" s="104"/>
      <c r="QNM395" s="104"/>
      <c r="QNN395" s="119"/>
      <c r="QNO395" s="104"/>
      <c r="QNP395" s="455"/>
      <c r="QNQ395" s="104"/>
      <c r="QNR395" s="104"/>
      <c r="QNS395" s="109"/>
      <c r="QNT395" s="104"/>
      <c r="QNU395" s="104"/>
      <c r="QNV395" s="119"/>
      <c r="QNW395" s="104"/>
      <c r="QNX395" s="455"/>
      <c r="QNY395" s="104"/>
      <c r="QNZ395" s="104"/>
      <c r="QOA395" s="109"/>
      <c r="QOB395" s="104"/>
      <c r="QOC395" s="104"/>
      <c r="QOD395" s="119"/>
      <c r="QOE395" s="104"/>
      <c r="QOF395" s="455"/>
      <c r="QOG395" s="104"/>
      <c r="QOH395" s="104"/>
      <c r="QOI395" s="109"/>
      <c r="QOJ395" s="104"/>
      <c r="QOK395" s="104"/>
      <c r="QOL395" s="119"/>
      <c r="QOM395" s="104"/>
      <c r="QON395" s="455"/>
      <c r="QOO395" s="104"/>
      <c r="QOP395" s="104"/>
      <c r="QOQ395" s="109"/>
      <c r="QOR395" s="104"/>
      <c r="QOS395" s="104"/>
      <c r="QOT395" s="119"/>
      <c r="QOU395" s="104"/>
      <c r="QOV395" s="455"/>
      <c r="QOW395" s="104"/>
      <c r="QOX395" s="104"/>
      <c r="QOY395" s="109"/>
      <c r="QOZ395" s="104"/>
      <c r="QPA395" s="104"/>
      <c r="QPB395" s="119"/>
      <c r="QPC395" s="104"/>
      <c r="QPD395" s="455"/>
      <c r="QPE395" s="104"/>
      <c r="QPF395" s="104"/>
      <c r="QPG395" s="109"/>
      <c r="QPH395" s="104"/>
      <c r="QPI395" s="104"/>
      <c r="QPJ395" s="119"/>
      <c r="QPK395" s="104"/>
      <c r="QPL395" s="455"/>
      <c r="QPM395" s="104"/>
      <c r="QPN395" s="104"/>
      <c r="QPO395" s="109"/>
      <c r="QPP395" s="104"/>
      <c r="QPQ395" s="104"/>
      <c r="QPR395" s="119"/>
      <c r="QPS395" s="104"/>
      <c r="QPT395" s="455"/>
      <c r="QPU395" s="104"/>
      <c r="QPV395" s="104"/>
      <c r="QPW395" s="109"/>
      <c r="QPX395" s="104"/>
      <c r="QPY395" s="104"/>
      <c r="QPZ395" s="119"/>
      <c r="QQA395" s="104"/>
      <c r="QQB395" s="455"/>
      <c r="QQC395" s="104"/>
      <c r="QQD395" s="104"/>
      <c r="QQE395" s="109"/>
      <c r="QQF395" s="104"/>
      <c r="QQG395" s="104"/>
      <c r="QQH395" s="119"/>
      <c r="QQI395" s="104"/>
      <c r="QQJ395" s="455"/>
      <c r="QQK395" s="104"/>
      <c r="QQL395" s="104"/>
      <c r="QQM395" s="109"/>
      <c r="QQN395" s="104"/>
      <c r="QQO395" s="104"/>
      <c r="QQP395" s="119"/>
      <c r="QQQ395" s="104"/>
      <c r="QQR395" s="455"/>
      <c r="QQS395" s="104"/>
      <c r="QQT395" s="104"/>
      <c r="QQU395" s="109"/>
      <c r="QQV395" s="104"/>
      <c r="QQW395" s="104"/>
      <c r="QQX395" s="119"/>
      <c r="QQY395" s="104"/>
      <c r="QQZ395" s="455"/>
      <c r="QRA395" s="104"/>
      <c r="QRB395" s="104"/>
      <c r="QRC395" s="109"/>
      <c r="QRD395" s="104"/>
      <c r="QRE395" s="104"/>
      <c r="QRF395" s="119"/>
      <c r="QRG395" s="104"/>
      <c r="QRH395" s="455"/>
      <c r="QRI395" s="104"/>
      <c r="QRJ395" s="104"/>
      <c r="QRK395" s="109"/>
      <c r="QRL395" s="104"/>
      <c r="QRM395" s="104"/>
      <c r="QRN395" s="119"/>
      <c r="QRO395" s="104"/>
      <c r="QRP395" s="455"/>
      <c r="QRQ395" s="104"/>
      <c r="QRR395" s="104"/>
      <c r="QRS395" s="109"/>
      <c r="QRT395" s="104"/>
      <c r="QRU395" s="104"/>
      <c r="QRV395" s="119"/>
      <c r="QRW395" s="104"/>
      <c r="QRX395" s="455"/>
      <c r="QRY395" s="104"/>
      <c r="QRZ395" s="104"/>
      <c r="QSA395" s="109"/>
      <c r="QSB395" s="104"/>
      <c r="QSC395" s="104"/>
      <c r="QSD395" s="119"/>
      <c r="QSE395" s="104"/>
      <c r="QSF395" s="455"/>
      <c r="QSG395" s="104"/>
      <c r="QSH395" s="104"/>
      <c r="QSI395" s="109"/>
      <c r="QSJ395" s="104"/>
      <c r="QSK395" s="104"/>
      <c r="QSL395" s="119"/>
      <c r="QSM395" s="104"/>
      <c r="QSN395" s="455"/>
      <c r="QSO395" s="104"/>
      <c r="QSP395" s="104"/>
      <c r="QSQ395" s="109"/>
      <c r="QSR395" s="104"/>
      <c r="QSS395" s="104"/>
      <c r="QST395" s="119"/>
      <c r="QSU395" s="104"/>
      <c r="QSV395" s="455"/>
      <c r="QSW395" s="104"/>
      <c r="QSX395" s="104"/>
      <c r="QSY395" s="109"/>
      <c r="QSZ395" s="104"/>
      <c r="QTA395" s="104"/>
      <c r="QTB395" s="119"/>
      <c r="QTC395" s="104"/>
      <c r="QTD395" s="455"/>
      <c r="QTE395" s="104"/>
      <c r="QTF395" s="104"/>
      <c r="QTG395" s="109"/>
      <c r="QTH395" s="104"/>
      <c r="QTI395" s="104"/>
      <c r="QTJ395" s="119"/>
      <c r="QTK395" s="104"/>
      <c r="QTL395" s="455"/>
      <c r="QTM395" s="104"/>
      <c r="QTN395" s="104"/>
      <c r="QTO395" s="109"/>
      <c r="QTP395" s="104"/>
      <c r="QTQ395" s="104"/>
      <c r="QTR395" s="119"/>
      <c r="QTS395" s="104"/>
      <c r="QTT395" s="455"/>
      <c r="QTU395" s="104"/>
      <c r="QTV395" s="104"/>
      <c r="QTW395" s="109"/>
      <c r="QTX395" s="104"/>
      <c r="QTY395" s="104"/>
      <c r="QTZ395" s="119"/>
      <c r="QUA395" s="104"/>
      <c r="QUB395" s="455"/>
      <c r="QUC395" s="104"/>
      <c r="QUD395" s="104"/>
      <c r="QUE395" s="109"/>
      <c r="QUF395" s="104"/>
      <c r="QUG395" s="104"/>
      <c r="QUH395" s="119"/>
      <c r="QUI395" s="104"/>
      <c r="QUJ395" s="455"/>
      <c r="QUK395" s="104"/>
      <c r="QUL395" s="104"/>
      <c r="QUM395" s="109"/>
      <c r="QUN395" s="104"/>
      <c r="QUO395" s="104"/>
      <c r="QUP395" s="119"/>
      <c r="QUQ395" s="104"/>
      <c r="QUR395" s="455"/>
      <c r="QUS395" s="104"/>
      <c r="QUT395" s="104"/>
      <c r="QUU395" s="109"/>
      <c r="QUV395" s="104"/>
      <c r="QUW395" s="104"/>
      <c r="QUX395" s="119"/>
      <c r="QUY395" s="104"/>
      <c r="QUZ395" s="455"/>
      <c r="QVA395" s="104"/>
      <c r="QVB395" s="104"/>
      <c r="QVC395" s="109"/>
      <c r="QVD395" s="104"/>
      <c r="QVE395" s="104"/>
      <c r="QVF395" s="119"/>
      <c r="QVG395" s="104"/>
      <c r="QVH395" s="455"/>
      <c r="QVI395" s="104"/>
      <c r="QVJ395" s="104"/>
      <c r="QVK395" s="109"/>
      <c r="QVL395" s="104"/>
      <c r="QVM395" s="104"/>
      <c r="QVN395" s="119"/>
      <c r="QVO395" s="104"/>
      <c r="QVP395" s="455"/>
      <c r="QVQ395" s="104"/>
      <c r="QVR395" s="104"/>
      <c r="QVS395" s="109"/>
      <c r="QVT395" s="104"/>
      <c r="QVU395" s="104"/>
      <c r="QVV395" s="119"/>
      <c r="QVW395" s="104"/>
      <c r="QVX395" s="455"/>
      <c r="QVY395" s="104"/>
      <c r="QVZ395" s="104"/>
      <c r="QWA395" s="109"/>
      <c r="QWB395" s="104"/>
      <c r="QWC395" s="104"/>
      <c r="QWD395" s="119"/>
      <c r="QWE395" s="104"/>
      <c r="QWF395" s="455"/>
      <c r="QWG395" s="104"/>
      <c r="QWH395" s="104"/>
      <c r="QWI395" s="109"/>
      <c r="QWJ395" s="104"/>
      <c r="QWK395" s="104"/>
      <c r="QWL395" s="119"/>
      <c r="QWM395" s="104"/>
      <c r="QWN395" s="455"/>
      <c r="QWO395" s="104"/>
      <c r="QWP395" s="104"/>
      <c r="QWQ395" s="109"/>
      <c r="QWR395" s="104"/>
      <c r="QWS395" s="104"/>
      <c r="QWT395" s="119"/>
      <c r="QWU395" s="104"/>
      <c r="QWV395" s="455"/>
      <c r="QWW395" s="104"/>
      <c r="QWX395" s="104"/>
      <c r="QWY395" s="109"/>
      <c r="QWZ395" s="104"/>
      <c r="QXA395" s="104"/>
      <c r="QXB395" s="119"/>
      <c r="QXC395" s="104"/>
      <c r="QXD395" s="455"/>
      <c r="QXE395" s="104"/>
      <c r="QXF395" s="104"/>
      <c r="QXG395" s="109"/>
      <c r="QXH395" s="104"/>
      <c r="QXI395" s="104"/>
      <c r="QXJ395" s="119"/>
      <c r="QXK395" s="104"/>
      <c r="QXL395" s="455"/>
      <c r="QXM395" s="104"/>
      <c r="QXN395" s="104"/>
      <c r="QXO395" s="109"/>
      <c r="QXP395" s="104"/>
      <c r="QXQ395" s="104"/>
      <c r="QXR395" s="119"/>
      <c r="QXS395" s="104"/>
      <c r="QXT395" s="455"/>
      <c r="QXU395" s="104"/>
      <c r="QXV395" s="104"/>
      <c r="QXW395" s="109"/>
      <c r="QXX395" s="104"/>
      <c r="QXY395" s="104"/>
      <c r="QXZ395" s="119"/>
      <c r="QYA395" s="104"/>
      <c r="QYB395" s="455"/>
      <c r="QYC395" s="104"/>
      <c r="QYD395" s="104"/>
      <c r="QYE395" s="109"/>
      <c r="QYF395" s="104"/>
      <c r="QYG395" s="104"/>
      <c r="QYH395" s="119"/>
      <c r="QYI395" s="104"/>
      <c r="QYJ395" s="455"/>
      <c r="QYK395" s="104"/>
      <c r="QYL395" s="104"/>
      <c r="QYM395" s="109"/>
      <c r="QYN395" s="104"/>
      <c r="QYO395" s="104"/>
      <c r="QYP395" s="119"/>
      <c r="QYQ395" s="104"/>
      <c r="QYR395" s="455"/>
      <c r="QYS395" s="104"/>
      <c r="QYT395" s="104"/>
      <c r="QYU395" s="109"/>
      <c r="QYV395" s="104"/>
      <c r="QYW395" s="104"/>
      <c r="QYX395" s="119"/>
      <c r="QYY395" s="104"/>
      <c r="QYZ395" s="455"/>
      <c r="QZA395" s="104"/>
      <c r="QZB395" s="104"/>
      <c r="QZC395" s="109"/>
      <c r="QZD395" s="104"/>
      <c r="QZE395" s="104"/>
      <c r="QZF395" s="119"/>
      <c r="QZG395" s="104"/>
      <c r="QZH395" s="455"/>
      <c r="QZI395" s="104"/>
      <c r="QZJ395" s="104"/>
      <c r="QZK395" s="109"/>
      <c r="QZL395" s="104"/>
      <c r="QZM395" s="104"/>
      <c r="QZN395" s="119"/>
      <c r="QZO395" s="104"/>
      <c r="QZP395" s="455"/>
      <c r="QZQ395" s="104"/>
      <c r="QZR395" s="104"/>
      <c r="QZS395" s="109"/>
      <c r="QZT395" s="104"/>
      <c r="QZU395" s="104"/>
      <c r="QZV395" s="119"/>
      <c r="QZW395" s="104"/>
      <c r="QZX395" s="455"/>
      <c r="QZY395" s="104"/>
      <c r="QZZ395" s="104"/>
      <c r="RAA395" s="109"/>
      <c r="RAB395" s="104"/>
      <c r="RAC395" s="104"/>
      <c r="RAD395" s="119"/>
      <c r="RAE395" s="104"/>
      <c r="RAF395" s="455"/>
      <c r="RAG395" s="104"/>
      <c r="RAH395" s="104"/>
      <c r="RAI395" s="109"/>
      <c r="RAJ395" s="104"/>
      <c r="RAK395" s="104"/>
      <c r="RAL395" s="119"/>
      <c r="RAM395" s="104"/>
      <c r="RAN395" s="455"/>
      <c r="RAO395" s="104"/>
      <c r="RAP395" s="104"/>
      <c r="RAQ395" s="109"/>
      <c r="RAR395" s="104"/>
      <c r="RAS395" s="104"/>
      <c r="RAT395" s="119"/>
      <c r="RAU395" s="104"/>
      <c r="RAV395" s="455"/>
      <c r="RAW395" s="104"/>
      <c r="RAX395" s="104"/>
      <c r="RAY395" s="109"/>
      <c r="RAZ395" s="104"/>
      <c r="RBA395" s="104"/>
      <c r="RBB395" s="119"/>
      <c r="RBC395" s="104"/>
      <c r="RBD395" s="455"/>
      <c r="RBE395" s="104"/>
      <c r="RBF395" s="104"/>
      <c r="RBG395" s="109"/>
      <c r="RBH395" s="104"/>
      <c r="RBI395" s="104"/>
      <c r="RBJ395" s="119"/>
      <c r="RBK395" s="104"/>
      <c r="RBL395" s="455"/>
      <c r="RBM395" s="104"/>
      <c r="RBN395" s="104"/>
      <c r="RBO395" s="109"/>
      <c r="RBP395" s="104"/>
      <c r="RBQ395" s="104"/>
      <c r="RBR395" s="119"/>
      <c r="RBS395" s="104"/>
      <c r="RBT395" s="455"/>
      <c r="RBU395" s="104"/>
      <c r="RBV395" s="104"/>
      <c r="RBW395" s="109"/>
      <c r="RBX395" s="104"/>
      <c r="RBY395" s="104"/>
      <c r="RBZ395" s="119"/>
      <c r="RCA395" s="104"/>
      <c r="RCB395" s="455"/>
      <c r="RCC395" s="104"/>
      <c r="RCD395" s="104"/>
      <c r="RCE395" s="109"/>
      <c r="RCF395" s="104"/>
      <c r="RCG395" s="104"/>
      <c r="RCH395" s="119"/>
      <c r="RCI395" s="104"/>
      <c r="RCJ395" s="455"/>
      <c r="RCK395" s="104"/>
      <c r="RCL395" s="104"/>
      <c r="RCM395" s="109"/>
      <c r="RCN395" s="104"/>
      <c r="RCO395" s="104"/>
      <c r="RCP395" s="119"/>
      <c r="RCQ395" s="104"/>
      <c r="RCR395" s="455"/>
      <c r="RCS395" s="104"/>
      <c r="RCT395" s="104"/>
      <c r="RCU395" s="109"/>
      <c r="RCV395" s="104"/>
      <c r="RCW395" s="104"/>
      <c r="RCX395" s="119"/>
      <c r="RCY395" s="104"/>
      <c r="RCZ395" s="455"/>
      <c r="RDA395" s="104"/>
      <c r="RDB395" s="104"/>
      <c r="RDC395" s="109"/>
      <c r="RDD395" s="104"/>
      <c r="RDE395" s="104"/>
      <c r="RDF395" s="119"/>
      <c r="RDG395" s="104"/>
      <c r="RDH395" s="455"/>
      <c r="RDI395" s="104"/>
      <c r="RDJ395" s="104"/>
      <c r="RDK395" s="109"/>
      <c r="RDL395" s="104"/>
      <c r="RDM395" s="104"/>
      <c r="RDN395" s="119"/>
      <c r="RDO395" s="104"/>
      <c r="RDP395" s="455"/>
      <c r="RDQ395" s="104"/>
      <c r="RDR395" s="104"/>
      <c r="RDS395" s="109"/>
      <c r="RDT395" s="104"/>
      <c r="RDU395" s="104"/>
      <c r="RDV395" s="119"/>
      <c r="RDW395" s="104"/>
      <c r="RDX395" s="455"/>
      <c r="RDY395" s="104"/>
      <c r="RDZ395" s="104"/>
      <c r="REA395" s="109"/>
      <c r="REB395" s="104"/>
      <c r="REC395" s="104"/>
      <c r="RED395" s="119"/>
      <c r="REE395" s="104"/>
      <c r="REF395" s="455"/>
      <c r="REG395" s="104"/>
      <c r="REH395" s="104"/>
      <c r="REI395" s="109"/>
      <c r="REJ395" s="104"/>
      <c r="REK395" s="104"/>
      <c r="REL395" s="119"/>
      <c r="REM395" s="104"/>
      <c r="REN395" s="455"/>
      <c r="REO395" s="104"/>
      <c r="REP395" s="104"/>
      <c r="REQ395" s="109"/>
      <c r="RER395" s="104"/>
      <c r="RES395" s="104"/>
      <c r="RET395" s="119"/>
      <c r="REU395" s="104"/>
      <c r="REV395" s="455"/>
      <c r="REW395" s="104"/>
      <c r="REX395" s="104"/>
      <c r="REY395" s="109"/>
      <c r="REZ395" s="104"/>
      <c r="RFA395" s="104"/>
      <c r="RFB395" s="119"/>
      <c r="RFC395" s="104"/>
      <c r="RFD395" s="455"/>
      <c r="RFE395" s="104"/>
      <c r="RFF395" s="104"/>
      <c r="RFG395" s="109"/>
      <c r="RFH395" s="104"/>
      <c r="RFI395" s="104"/>
      <c r="RFJ395" s="119"/>
      <c r="RFK395" s="104"/>
      <c r="RFL395" s="455"/>
      <c r="RFM395" s="104"/>
      <c r="RFN395" s="104"/>
      <c r="RFO395" s="109"/>
      <c r="RFP395" s="104"/>
      <c r="RFQ395" s="104"/>
      <c r="RFR395" s="119"/>
      <c r="RFS395" s="104"/>
      <c r="RFT395" s="455"/>
      <c r="RFU395" s="104"/>
      <c r="RFV395" s="104"/>
      <c r="RFW395" s="109"/>
      <c r="RFX395" s="104"/>
      <c r="RFY395" s="104"/>
      <c r="RFZ395" s="119"/>
      <c r="RGA395" s="104"/>
      <c r="RGB395" s="455"/>
      <c r="RGC395" s="104"/>
      <c r="RGD395" s="104"/>
      <c r="RGE395" s="109"/>
      <c r="RGF395" s="104"/>
      <c r="RGG395" s="104"/>
      <c r="RGH395" s="119"/>
      <c r="RGI395" s="104"/>
      <c r="RGJ395" s="455"/>
      <c r="RGK395" s="104"/>
      <c r="RGL395" s="104"/>
      <c r="RGM395" s="109"/>
      <c r="RGN395" s="104"/>
      <c r="RGO395" s="104"/>
      <c r="RGP395" s="119"/>
      <c r="RGQ395" s="104"/>
      <c r="RGR395" s="455"/>
      <c r="RGS395" s="104"/>
      <c r="RGT395" s="104"/>
      <c r="RGU395" s="109"/>
      <c r="RGV395" s="104"/>
      <c r="RGW395" s="104"/>
      <c r="RGX395" s="119"/>
      <c r="RGY395" s="104"/>
      <c r="RGZ395" s="455"/>
      <c r="RHA395" s="104"/>
      <c r="RHB395" s="104"/>
      <c r="RHC395" s="109"/>
      <c r="RHD395" s="104"/>
      <c r="RHE395" s="104"/>
      <c r="RHF395" s="119"/>
      <c r="RHG395" s="104"/>
      <c r="RHH395" s="455"/>
      <c r="RHI395" s="104"/>
      <c r="RHJ395" s="104"/>
      <c r="RHK395" s="109"/>
      <c r="RHL395" s="104"/>
      <c r="RHM395" s="104"/>
      <c r="RHN395" s="119"/>
      <c r="RHO395" s="104"/>
      <c r="RHP395" s="455"/>
      <c r="RHQ395" s="104"/>
      <c r="RHR395" s="104"/>
      <c r="RHS395" s="109"/>
      <c r="RHT395" s="104"/>
      <c r="RHU395" s="104"/>
      <c r="RHV395" s="119"/>
      <c r="RHW395" s="104"/>
      <c r="RHX395" s="455"/>
      <c r="RHY395" s="104"/>
      <c r="RHZ395" s="104"/>
      <c r="RIA395" s="109"/>
      <c r="RIB395" s="104"/>
      <c r="RIC395" s="104"/>
      <c r="RID395" s="119"/>
      <c r="RIE395" s="104"/>
      <c r="RIF395" s="455"/>
      <c r="RIG395" s="104"/>
      <c r="RIH395" s="104"/>
      <c r="RII395" s="109"/>
      <c r="RIJ395" s="104"/>
      <c r="RIK395" s="104"/>
      <c r="RIL395" s="119"/>
      <c r="RIM395" s="104"/>
      <c r="RIN395" s="455"/>
      <c r="RIO395" s="104"/>
      <c r="RIP395" s="104"/>
      <c r="RIQ395" s="109"/>
      <c r="RIR395" s="104"/>
      <c r="RIS395" s="104"/>
      <c r="RIT395" s="119"/>
      <c r="RIU395" s="104"/>
      <c r="RIV395" s="455"/>
      <c r="RIW395" s="104"/>
      <c r="RIX395" s="104"/>
      <c r="RIY395" s="109"/>
      <c r="RIZ395" s="104"/>
      <c r="RJA395" s="104"/>
      <c r="RJB395" s="119"/>
      <c r="RJC395" s="104"/>
      <c r="RJD395" s="455"/>
      <c r="RJE395" s="104"/>
      <c r="RJF395" s="104"/>
      <c r="RJG395" s="109"/>
      <c r="RJH395" s="104"/>
      <c r="RJI395" s="104"/>
      <c r="RJJ395" s="119"/>
      <c r="RJK395" s="104"/>
      <c r="RJL395" s="455"/>
      <c r="RJM395" s="104"/>
      <c r="RJN395" s="104"/>
      <c r="RJO395" s="109"/>
      <c r="RJP395" s="104"/>
      <c r="RJQ395" s="104"/>
      <c r="RJR395" s="119"/>
      <c r="RJS395" s="104"/>
      <c r="RJT395" s="455"/>
      <c r="RJU395" s="104"/>
      <c r="RJV395" s="104"/>
      <c r="RJW395" s="109"/>
      <c r="RJX395" s="104"/>
      <c r="RJY395" s="104"/>
      <c r="RJZ395" s="119"/>
      <c r="RKA395" s="104"/>
      <c r="RKB395" s="455"/>
      <c r="RKC395" s="104"/>
      <c r="RKD395" s="104"/>
      <c r="RKE395" s="109"/>
      <c r="RKF395" s="104"/>
      <c r="RKG395" s="104"/>
      <c r="RKH395" s="119"/>
      <c r="RKI395" s="104"/>
      <c r="RKJ395" s="455"/>
      <c r="RKK395" s="104"/>
      <c r="RKL395" s="104"/>
      <c r="RKM395" s="109"/>
      <c r="RKN395" s="104"/>
      <c r="RKO395" s="104"/>
      <c r="RKP395" s="119"/>
      <c r="RKQ395" s="104"/>
      <c r="RKR395" s="455"/>
      <c r="RKS395" s="104"/>
      <c r="RKT395" s="104"/>
      <c r="RKU395" s="109"/>
      <c r="RKV395" s="104"/>
      <c r="RKW395" s="104"/>
      <c r="RKX395" s="119"/>
      <c r="RKY395" s="104"/>
      <c r="RKZ395" s="455"/>
      <c r="RLA395" s="104"/>
      <c r="RLB395" s="104"/>
      <c r="RLC395" s="109"/>
      <c r="RLD395" s="104"/>
      <c r="RLE395" s="104"/>
      <c r="RLF395" s="119"/>
      <c r="RLG395" s="104"/>
      <c r="RLH395" s="455"/>
      <c r="RLI395" s="104"/>
      <c r="RLJ395" s="104"/>
      <c r="RLK395" s="109"/>
      <c r="RLL395" s="104"/>
      <c r="RLM395" s="104"/>
      <c r="RLN395" s="119"/>
      <c r="RLO395" s="104"/>
      <c r="RLP395" s="455"/>
      <c r="RLQ395" s="104"/>
      <c r="RLR395" s="104"/>
      <c r="RLS395" s="109"/>
      <c r="RLT395" s="104"/>
      <c r="RLU395" s="104"/>
      <c r="RLV395" s="119"/>
      <c r="RLW395" s="104"/>
      <c r="RLX395" s="455"/>
      <c r="RLY395" s="104"/>
      <c r="RLZ395" s="104"/>
      <c r="RMA395" s="109"/>
      <c r="RMB395" s="104"/>
      <c r="RMC395" s="104"/>
      <c r="RMD395" s="119"/>
      <c r="RME395" s="104"/>
      <c r="RMF395" s="455"/>
      <c r="RMG395" s="104"/>
      <c r="RMH395" s="104"/>
      <c r="RMI395" s="109"/>
      <c r="RMJ395" s="104"/>
      <c r="RMK395" s="104"/>
      <c r="RML395" s="119"/>
      <c r="RMM395" s="104"/>
      <c r="RMN395" s="455"/>
      <c r="RMO395" s="104"/>
      <c r="RMP395" s="104"/>
      <c r="RMQ395" s="109"/>
      <c r="RMR395" s="104"/>
      <c r="RMS395" s="104"/>
      <c r="RMT395" s="119"/>
      <c r="RMU395" s="104"/>
      <c r="RMV395" s="455"/>
      <c r="RMW395" s="104"/>
      <c r="RMX395" s="104"/>
      <c r="RMY395" s="109"/>
      <c r="RMZ395" s="104"/>
      <c r="RNA395" s="104"/>
      <c r="RNB395" s="119"/>
      <c r="RNC395" s="104"/>
      <c r="RND395" s="455"/>
      <c r="RNE395" s="104"/>
      <c r="RNF395" s="104"/>
      <c r="RNG395" s="109"/>
      <c r="RNH395" s="104"/>
      <c r="RNI395" s="104"/>
      <c r="RNJ395" s="119"/>
      <c r="RNK395" s="104"/>
      <c r="RNL395" s="455"/>
      <c r="RNM395" s="104"/>
      <c r="RNN395" s="104"/>
      <c r="RNO395" s="109"/>
      <c r="RNP395" s="104"/>
      <c r="RNQ395" s="104"/>
      <c r="RNR395" s="119"/>
      <c r="RNS395" s="104"/>
      <c r="RNT395" s="455"/>
      <c r="RNU395" s="104"/>
      <c r="RNV395" s="104"/>
      <c r="RNW395" s="109"/>
      <c r="RNX395" s="104"/>
      <c r="RNY395" s="104"/>
      <c r="RNZ395" s="119"/>
      <c r="ROA395" s="104"/>
      <c r="ROB395" s="455"/>
      <c r="ROC395" s="104"/>
      <c r="ROD395" s="104"/>
      <c r="ROE395" s="109"/>
      <c r="ROF395" s="104"/>
      <c r="ROG395" s="104"/>
      <c r="ROH395" s="119"/>
      <c r="ROI395" s="104"/>
      <c r="ROJ395" s="455"/>
      <c r="ROK395" s="104"/>
      <c r="ROL395" s="104"/>
      <c r="ROM395" s="109"/>
      <c r="RON395" s="104"/>
      <c r="ROO395" s="104"/>
      <c r="ROP395" s="119"/>
      <c r="ROQ395" s="104"/>
      <c r="ROR395" s="455"/>
      <c r="ROS395" s="104"/>
      <c r="ROT395" s="104"/>
      <c r="ROU395" s="109"/>
      <c r="ROV395" s="104"/>
      <c r="ROW395" s="104"/>
      <c r="ROX395" s="119"/>
      <c r="ROY395" s="104"/>
      <c r="ROZ395" s="455"/>
      <c r="RPA395" s="104"/>
      <c r="RPB395" s="104"/>
      <c r="RPC395" s="109"/>
      <c r="RPD395" s="104"/>
      <c r="RPE395" s="104"/>
      <c r="RPF395" s="119"/>
      <c r="RPG395" s="104"/>
      <c r="RPH395" s="455"/>
      <c r="RPI395" s="104"/>
      <c r="RPJ395" s="104"/>
      <c r="RPK395" s="109"/>
      <c r="RPL395" s="104"/>
      <c r="RPM395" s="104"/>
      <c r="RPN395" s="119"/>
      <c r="RPO395" s="104"/>
      <c r="RPP395" s="455"/>
      <c r="RPQ395" s="104"/>
      <c r="RPR395" s="104"/>
      <c r="RPS395" s="109"/>
      <c r="RPT395" s="104"/>
      <c r="RPU395" s="104"/>
      <c r="RPV395" s="119"/>
      <c r="RPW395" s="104"/>
      <c r="RPX395" s="455"/>
      <c r="RPY395" s="104"/>
      <c r="RPZ395" s="104"/>
      <c r="RQA395" s="109"/>
      <c r="RQB395" s="104"/>
      <c r="RQC395" s="104"/>
      <c r="RQD395" s="119"/>
      <c r="RQE395" s="104"/>
      <c r="RQF395" s="455"/>
      <c r="RQG395" s="104"/>
      <c r="RQH395" s="104"/>
      <c r="RQI395" s="109"/>
      <c r="RQJ395" s="104"/>
      <c r="RQK395" s="104"/>
      <c r="RQL395" s="119"/>
      <c r="RQM395" s="104"/>
      <c r="RQN395" s="455"/>
      <c r="RQO395" s="104"/>
      <c r="RQP395" s="104"/>
      <c r="RQQ395" s="109"/>
      <c r="RQR395" s="104"/>
      <c r="RQS395" s="104"/>
      <c r="RQT395" s="119"/>
      <c r="RQU395" s="104"/>
      <c r="RQV395" s="455"/>
      <c r="RQW395" s="104"/>
      <c r="RQX395" s="104"/>
      <c r="RQY395" s="109"/>
      <c r="RQZ395" s="104"/>
      <c r="RRA395" s="104"/>
      <c r="RRB395" s="119"/>
      <c r="RRC395" s="104"/>
      <c r="RRD395" s="455"/>
      <c r="RRE395" s="104"/>
      <c r="RRF395" s="104"/>
      <c r="RRG395" s="109"/>
      <c r="RRH395" s="104"/>
      <c r="RRI395" s="104"/>
      <c r="RRJ395" s="119"/>
      <c r="RRK395" s="104"/>
      <c r="RRL395" s="455"/>
      <c r="RRM395" s="104"/>
      <c r="RRN395" s="104"/>
      <c r="RRO395" s="109"/>
      <c r="RRP395" s="104"/>
      <c r="RRQ395" s="104"/>
      <c r="RRR395" s="119"/>
      <c r="RRS395" s="104"/>
      <c r="RRT395" s="455"/>
      <c r="RRU395" s="104"/>
      <c r="RRV395" s="104"/>
      <c r="RRW395" s="109"/>
      <c r="RRX395" s="104"/>
      <c r="RRY395" s="104"/>
      <c r="RRZ395" s="119"/>
      <c r="RSA395" s="104"/>
      <c r="RSB395" s="455"/>
      <c r="RSC395" s="104"/>
      <c r="RSD395" s="104"/>
      <c r="RSE395" s="109"/>
      <c r="RSF395" s="104"/>
      <c r="RSG395" s="104"/>
      <c r="RSH395" s="119"/>
      <c r="RSI395" s="104"/>
      <c r="RSJ395" s="455"/>
      <c r="RSK395" s="104"/>
      <c r="RSL395" s="104"/>
      <c r="RSM395" s="109"/>
      <c r="RSN395" s="104"/>
      <c r="RSO395" s="104"/>
      <c r="RSP395" s="119"/>
      <c r="RSQ395" s="104"/>
      <c r="RSR395" s="455"/>
      <c r="RSS395" s="104"/>
      <c r="RST395" s="104"/>
      <c r="RSU395" s="109"/>
      <c r="RSV395" s="104"/>
      <c r="RSW395" s="104"/>
      <c r="RSX395" s="119"/>
      <c r="RSY395" s="104"/>
      <c r="RSZ395" s="455"/>
      <c r="RTA395" s="104"/>
      <c r="RTB395" s="104"/>
      <c r="RTC395" s="109"/>
      <c r="RTD395" s="104"/>
      <c r="RTE395" s="104"/>
      <c r="RTF395" s="119"/>
      <c r="RTG395" s="104"/>
      <c r="RTH395" s="455"/>
      <c r="RTI395" s="104"/>
      <c r="RTJ395" s="104"/>
      <c r="RTK395" s="109"/>
      <c r="RTL395" s="104"/>
      <c r="RTM395" s="104"/>
      <c r="RTN395" s="119"/>
      <c r="RTO395" s="104"/>
      <c r="RTP395" s="455"/>
      <c r="RTQ395" s="104"/>
      <c r="RTR395" s="104"/>
      <c r="RTS395" s="109"/>
      <c r="RTT395" s="104"/>
      <c r="RTU395" s="104"/>
      <c r="RTV395" s="119"/>
      <c r="RTW395" s="104"/>
      <c r="RTX395" s="455"/>
      <c r="RTY395" s="104"/>
      <c r="RTZ395" s="104"/>
      <c r="RUA395" s="109"/>
      <c r="RUB395" s="104"/>
      <c r="RUC395" s="104"/>
      <c r="RUD395" s="119"/>
      <c r="RUE395" s="104"/>
      <c r="RUF395" s="455"/>
      <c r="RUG395" s="104"/>
      <c r="RUH395" s="104"/>
      <c r="RUI395" s="109"/>
      <c r="RUJ395" s="104"/>
      <c r="RUK395" s="104"/>
      <c r="RUL395" s="119"/>
      <c r="RUM395" s="104"/>
      <c r="RUN395" s="455"/>
      <c r="RUO395" s="104"/>
      <c r="RUP395" s="104"/>
      <c r="RUQ395" s="109"/>
      <c r="RUR395" s="104"/>
      <c r="RUS395" s="104"/>
      <c r="RUT395" s="119"/>
      <c r="RUU395" s="104"/>
      <c r="RUV395" s="455"/>
      <c r="RUW395" s="104"/>
      <c r="RUX395" s="104"/>
      <c r="RUY395" s="109"/>
      <c r="RUZ395" s="104"/>
      <c r="RVA395" s="104"/>
      <c r="RVB395" s="119"/>
      <c r="RVC395" s="104"/>
      <c r="RVD395" s="455"/>
      <c r="RVE395" s="104"/>
      <c r="RVF395" s="104"/>
      <c r="RVG395" s="109"/>
      <c r="RVH395" s="104"/>
      <c r="RVI395" s="104"/>
      <c r="RVJ395" s="119"/>
      <c r="RVK395" s="104"/>
      <c r="RVL395" s="455"/>
      <c r="RVM395" s="104"/>
      <c r="RVN395" s="104"/>
      <c r="RVO395" s="109"/>
      <c r="RVP395" s="104"/>
      <c r="RVQ395" s="104"/>
      <c r="RVR395" s="119"/>
      <c r="RVS395" s="104"/>
      <c r="RVT395" s="455"/>
      <c r="RVU395" s="104"/>
      <c r="RVV395" s="104"/>
      <c r="RVW395" s="109"/>
      <c r="RVX395" s="104"/>
      <c r="RVY395" s="104"/>
      <c r="RVZ395" s="119"/>
      <c r="RWA395" s="104"/>
      <c r="RWB395" s="455"/>
      <c r="RWC395" s="104"/>
      <c r="RWD395" s="104"/>
      <c r="RWE395" s="109"/>
      <c r="RWF395" s="104"/>
      <c r="RWG395" s="104"/>
      <c r="RWH395" s="119"/>
      <c r="RWI395" s="104"/>
      <c r="RWJ395" s="455"/>
      <c r="RWK395" s="104"/>
      <c r="RWL395" s="104"/>
      <c r="RWM395" s="109"/>
      <c r="RWN395" s="104"/>
      <c r="RWO395" s="104"/>
      <c r="RWP395" s="119"/>
      <c r="RWQ395" s="104"/>
      <c r="RWR395" s="455"/>
      <c r="RWS395" s="104"/>
      <c r="RWT395" s="104"/>
      <c r="RWU395" s="109"/>
      <c r="RWV395" s="104"/>
      <c r="RWW395" s="104"/>
      <c r="RWX395" s="119"/>
      <c r="RWY395" s="104"/>
      <c r="RWZ395" s="455"/>
      <c r="RXA395" s="104"/>
      <c r="RXB395" s="104"/>
      <c r="RXC395" s="109"/>
      <c r="RXD395" s="104"/>
      <c r="RXE395" s="104"/>
      <c r="RXF395" s="119"/>
      <c r="RXG395" s="104"/>
      <c r="RXH395" s="455"/>
      <c r="RXI395" s="104"/>
      <c r="RXJ395" s="104"/>
      <c r="RXK395" s="109"/>
      <c r="RXL395" s="104"/>
      <c r="RXM395" s="104"/>
      <c r="RXN395" s="119"/>
      <c r="RXO395" s="104"/>
      <c r="RXP395" s="455"/>
      <c r="RXQ395" s="104"/>
      <c r="RXR395" s="104"/>
      <c r="RXS395" s="109"/>
      <c r="RXT395" s="104"/>
      <c r="RXU395" s="104"/>
      <c r="RXV395" s="119"/>
      <c r="RXW395" s="104"/>
      <c r="RXX395" s="455"/>
      <c r="RXY395" s="104"/>
      <c r="RXZ395" s="104"/>
      <c r="RYA395" s="109"/>
      <c r="RYB395" s="104"/>
      <c r="RYC395" s="104"/>
      <c r="RYD395" s="119"/>
      <c r="RYE395" s="104"/>
      <c r="RYF395" s="455"/>
      <c r="RYG395" s="104"/>
      <c r="RYH395" s="104"/>
      <c r="RYI395" s="109"/>
      <c r="RYJ395" s="104"/>
      <c r="RYK395" s="104"/>
      <c r="RYL395" s="119"/>
      <c r="RYM395" s="104"/>
      <c r="RYN395" s="455"/>
      <c r="RYO395" s="104"/>
      <c r="RYP395" s="104"/>
      <c r="RYQ395" s="109"/>
      <c r="RYR395" s="104"/>
      <c r="RYS395" s="104"/>
      <c r="RYT395" s="119"/>
      <c r="RYU395" s="104"/>
      <c r="RYV395" s="455"/>
      <c r="RYW395" s="104"/>
      <c r="RYX395" s="104"/>
      <c r="RYY395" s="109"/>
      <c r="RYZ395" s="104"/>
      <c r="RZA395" s="104"/>
      <c r="RZB395" s="119"/>
      <c r="RZC395" s="104"/>
      <c r="RZD395" s="455"/>
      <c r="RZE395" s="104"/>
      <c r="RZF395" s="104"/>
      <c r="RZG395" s="109"/>
      <c r="RZH395" s="104"/>
      <c r="RZI395" s="104"/>
      <c r="RZJ395" s="119"/>
      <c r="RZK395" s="104"/>
      <c r="RZL395" s="455"/>
      <c r="RZM395" s="104"/>
      <c r="RZN395" s="104"/>
      <c r="RZO395" s="109"/>
      <c r="RZP395" s="104"/>
      <c r="RZQ395" s="104"/>
      <c r="RZR395" s="119"/>
      <c r="RZS395" s="104"/>
      <c r="RZT395" s="455"/>
      <c r="RZU395" s="104"/>
      <c r="RZV395" s="104"/>
      <c r="RZW395" s="109"/>
      <c r="RZX395" s="104"/>
      <c r="RZY395" s="104"/>
      <c r="RZZ395" s="119"/>
      <c r="SAA395" s="104"/>
      <c r="SAB395" s="455"/>
      <c r="SAC395" s="104"/>
      <c r="SAD395" s="104"/>
      <c r="SAE395" s="109"/>
      <c r="SAF395" s="104"/>
      <c r="SAG395" s="104"/>
      <c r="SAH395" s="119"/>
      <c r="SAI395" s="104"/>
      <c r="SAJ395" s="455"/>
      <c r="SAK395" s="104"/>
      <c r="SAL395" s="104"/>
      <c r="SAM395" s="109"/>
      <c r="SAN395" s="104"/>
      <c r="SAO395" s="104"/>
      <c r="SAP395" s="119"/>
      <c r="SAQ395" s="104"/>
      <c r="SAR395" s="455"/>
      <c r="SAS395" s="104"/>
      <c r="SAT395" s="104"/>
      <c r="SAU395" s="109"/>
      <c r="SAV395" s="104"/>
      <c r="SAW395" s="104"/>
      <c r="SAX395" s="119"/>
      <c r="SAY395" s="104"/>
      <c r="SAZ395" s="455"/>
      <c r="SBA395" s="104"/>
      <c r="SBB395" s="104"/>
      <c r="SBC395" s="109"/>
      <c r="SBD395" s="104"/>
      <c r="SBE395" s="104"/>
      <c r="SBF395" s="119"/>
      <c r="SBG395" s="104"/>
      <c r="SBH395" s="455"/>
      <c r="SBI395" s="104"/>
      <c r="SBJ395" s="104"/>
      <c r="SBK395" s="109"/>
      <c r="SBL395" s="104"/>
      <c r="SBM395" s="104"/>
      <c r="SBN395" s="119"/>
      <c r="SBO395" s="104"/>
      <c r="SBP395" s="455"/>
      <c r="SBQ395" s="104"/>
      <c r="SBR395" s="104"/>
      <c r="SBS395" s="109"/>
      <c r="SBT395" s="104"/>
      <c r="SBU395" s="104"/>
      <c r="SBV395" s="119"/>
      <c r="SBW395" s="104"/>
      <c r="SBX395" s="455"/>
      <c r="SBY395" s="104"/>
      <c r="SBZ395" s="104"/>
      <c r="SCA395" s="109"/>
      <c r="SCB395" s="104"/>
      <c r="SCC395" s="104"/>
      <c r="SCD395" s="119"/>
      <c r="SCE395" s="104"/>
      <c r="SCF395" s="455"/>
      <c r="SCG395" s="104"/>
      <c r="SCH395" s="104"/>
      <c r="SCI395" s="109"/>
      <c r="SCJ395" s="104"/>
      <c r="SCK395" s="104"/>
      <c r="SCL395" s="119"/>
      <c r="SCM395" s="104"/>
      <c r="SCN395" s="455"/>
      <c r="SCO395" s="104"/>
      <c r="SCP395" s="104"/>
      <c r="SCQ395" s="109"/>
      <c r="SCR395" s="104"/>
      <c r="SCS395" s="104"/>
      <c r="SCT395" s="119"/>
      <c r="SCU395" s="104"/>
      <c r="SCV395" s="455"/>
      <c r="SCW395" s="104"/>
      <c r="SCX395" s="104"/>
      <c r="SCY395" s="109"/>
      <c r="SCZ395" s="104"/>
      <c r="SDA395" s="104"/>
      <c r="SDB395" s="119"/>
      <c r="SDC395" s="104"/>
      <c r="SDD395" s="455"/>
      <c r="SDE395" s="104"/>
      <c r="SDF395" s="104"/>
      <c r="SDG395" s="109"/>
      <c r="SDH395" s="104"/>
      <c r="SDI395" s="104"/>
      <c r="SDJ395" s="119"/>
      <c r="SDK395" s="104"/>
      <c r="SDL395" s="455"/>
      <c r="SDM395" s="104"/>
      <c r="SDN395" s="104"/>
      <c r="SDO395" s="109"/>
      <c r="SDP395" s="104"/>
      <c r="SDQ395" s="104"/>
      <c r="SDR395" s="119"/>
      <c r="SDS395" s="104"/>
      <c r="SDT395" s="455"/>
      <c r="SDU395" s="104"/>
      <c r="SDV395" s="104"/>
      <c r="SDW395" s="109"/>
      <c r="SDX395" s="104"/>
      <c r="SDY395" s="104"/>
      <c r="SDZ395" s="119"/>
      <c r="SEA395" s="104"/>
      <c r="SEB395" s="455"/>
      <c r="SEC395" s="104"/>
      <c r="SED395" s="104"/>
      <c r="SEE395" s="109"/>
      <c r="SEF395" s="104"/>
      <c r="SEG395" s="104"/>
      <c r="SEH395" s="119"/>
      <c r="SEI395" s="104"/>
      <c r="SEJ395" s="455"/>
      <c r="SEK395" s="104"/>
      <c r="SEL395" s="104"/>
      <c r="SEM395" s="109"/>
      <c r="SEN395" s="104"/>
      <c r="SEO395" s="104"/>
      <c r="SEP395" s="119"/>
      <c r="SEQ395" s="104"/>
      <c r="SER395" s="455"/>
      <c r="SES395" s="104"/>
      <c r="SET395" s="104"/>
      <c r="SEU395" s="109"/>
      <c r="SEV395" s="104"/>
      <c r="SEW395" s="104"/>
      <c r="SEX395" s="119"/>
      <c r="SEY395" s="104"/>
      <c r="SEZ395" s="455"/>
      <c r="SFA395" s="104"/>
      <c r="SFB395" s="104"/>
      <c r="SFC395" s="109"/>
      <c r="SFD395" s="104"/>
      <c r="SFE395" s="104"/>
      <c r="SFF395" s="119"/>
      <c r="SFG395" s="104"/>
      <c r="SFH395" s="455"/>
      <c r="SFI395" s="104"/>
      <c r="SFJ395" s="104"/>
      <c r="SFK395" s="109"/>
      <c r="SFL395" s="104"/>
      <c r="SFM395" s="104"/>
      <c r="SFN395" s="119"/>
      <c r="SFO395" s="104"/>
      <c r="SFP395" s="455"/>
      <c r="SFQ395" s="104"/>
      <c r="SFR395" s="104"/>
      <c r="SFS395" s="109"/>
      <c r="SFT395" s="104"/>
      <c r="SFU395" s="104"/>
      <c r="SFV395" s="119"/>
      <c r="SFW395" s="104"/>
      <c r="SFX395" s="455"/>
      <c r="SFY395" s="104"/>
      <c r="SFZ395" s="104"/>
      <c r="SGA395" s="109"/>
      <c r="SGB395" s="104"/>
      <c r="SGC395" s="104"/>
      <c r="SGD395" s="119"/>
      <c r="SGE395" s="104"/>
      <c r="SGF395" s="455"/>
      <c r="SGG395" s="104"/>
      <c r="SGH395" s="104"/>
      <c r="SGI395" s="109"/>
      <c r="SGJ395" s="104"/>
      <c r="SGK395" s="104"/>
      <c r="SGL395" s="119"/>
      <c r="SGM395" s="104"/>
      <c r="SGN395" s="455"/>
      <c r="SGO395" s="104"/>
      <c r="SGP395" s="104"/>
      <c r="SGQ395" s="109"/>
      <c r="SGR395" s="104"/>
      <c r="SGS395" s="104"/>
      <c r="SGT395" s="119"/>
      <c r="SGU395" s="104"/>
      <c r="SGV395" s="455"/>
      <c r="SGW395" s="104"/>
      <c r="SGX395" s="104"/>
      <c r="SGY395" s="109"/>
      <c r="SGZ395" s="104"/>
      <c r="SHA395" s="104"/>
      <c r="SHB395" s="119"/>
      <c r="SHC395" s="104"/>
      <c r="SHD395" s="455"/>
      <c r="SHE395" s="104"/>
      <c r="SHF395" s="104"/>
      <c r="SHG395" s="109"/>
      <c r="SHH395" s="104"/>
      <c r="SHI395" s="104"/>
      <c r="SHJ395" s="119"/>
      <c r="SHK395" s="104"/>
      <c r="SHL395" s="455"/>
      <c r="SHM395" s="104"/>
      <c r="SHN395" s="104"/>
      <c r="SHO395" s="109"/>
      <c r="SHP395" s="104"/>
      <c r="SHQ395" s="104"/>
      <c r="SHR395" s="119"/>
      <c r="SHS395" s="104"/>
      <c r="SHT395" s="455"/>
      <c r="SHU395" s="104"/>
      <c r="SHV395" s="104"/>
      <c r="SHW395" s="109"/>
      <c r="SHX395" s="104"/>
      <c r="SHY395" s="104"/>
      <c r="SHZ395" s="119"/>
      <c r="SIA395" s="104"/>
      <c r="SIB395" s="455"/>
      <c r="SIC395" s="104"/>
      <c r="SID395" s="104"/>
      <c r="SIE395" s="109"/>
      <c r="SIF395" s="104"/>
      <c r="SIG395" s="104"/>
      <c r="SIH395" s="119"/>
      <c r="SII395" s="104"/>
      <c r="SIJ395" s="455"/>
      <c r="SIK395" s="104"/>
      <c r="SIL395" s="104"/>
      <c r="SIM395" s="109"/>
      <c r="SIN395" s="104"/>
      <c r="SIO395" s="104"/>
      <c r="SIP395" s="119"/>
      <c r="SIQ395" s="104"/>
      <c r="SIR395" s="455"/>
      <c r="SIS395" s="104"/>
      <c r="SIT395" s="104"/>
      <c r="SIU395" s="109"/>
      <c r="SIV395" s="104"/>
      <c r="SIW395" s="104"/>
      <c r="SIX395" s="119"/>
      <c r="SIY395" s="104"/>
      <c r="SIZ395" s="455"/>
      <c r="SJA395" s="104"/>
      <c r="SJB395" s="104"/>
      <c r="SJC395" s="109"/>
      <c r="SJD395" s="104"/>
      <c r="SJE395" s="104"/>
      <c r="SJF395" s="119"/>
      <c r="SJG395" s="104"/>
      <c r="SJH395" s="455"/>
      <c r="SJI395" s="104"/>
      <c r="SJJ395" s="104"/>
      <c r="SJK395" s="109"/>
      <c r="SJL395" s="104"/>
      <c r="SJM395" s="104"/>
      <c r="SJN395" s="119"/>
      <c r="SJO395" s="104"/>
      <c r="SJP395" s="455"/>
      <c r="SJQ395" s="104"/>
      <c r="SJR395" s="104"/>
      <c r="SJS395" s="109"/>
      <c r="SJT395" s="104"/>
      <c r="SJU395" s="104"/>
      <c r="SJV395" s="119"/>
      <c r="SJW395" s="104"/>
      <c r="SJX395" s="455"/>
      <c r="SJY395" s="104"/>
      <c r="SJZ395" s="104"/>
      <c r="SKA395" s="109"/>
      <c r="SKB395" s="104"/>
      <c r="SKC395" s="104"/>
      <c r="SKD395" s="119"/>
      <c r="SKE395" s="104"/>
      <c r="SKF395" s="455"/>
      <c r="SKG395" s="104"/>
      <c r="SKH395" s="104"/>
      <c r="SKI395" s="109"/>
      <c r="SKJ395" s="104"/>
      <c r="SKK395" s="104"/>
      <c r="SKL395" s="119"/>
      <c r="SKM395" s="104"/>
      <c r="SKN395" s="455"/>
      <c r="SKO395" s="104"/>
      <c r="SKP395" s="104"/>
      <c r="SKQ395" s="109"/>
      <c r="SKR395" s="104"/>
      <c r="SKS395" s="104"/>
      <c r="SKT395" s="119"/>
      <c r="SKU395" s="104"/>
      <c r="SKV395" s="455"/>
      <c r="SKW395" s="104"/>
      <c r="SKX395" s="104"/>
      <c r="SKY395" s="109"/>
      <c r="SKZ395" s="104"/>
      <c r="SLA395" s="104"/>
      <c r="SLB395" s="119"/>
      <c r="SLC395" s="104"/>
      <c r="SLD395" s="455"/>
      <c r="SLE395" s="104"/>
      <c r="SLF395" s="104"/>
      <c r="SLG395" s="109"/>
      <c r="SLH395" s="104"/>
      <c r="SLI395" s="104"/>
      <c r="SLJ395" s="119"/>
      <c r="SLK395" s="104"/>
      <c r="SLL395" s="455"/>
      <c r="SLM395" s="104"/>
      <c r="SLN395" s="104"/>
      <c r="SLO395" s="109"/>
      <c r="SLP395" s="104"/>
      <c r="SLQ395" s="104"/>
      <c r="SLR395" s="119"/>
      <c r="SLS395" s="104"/>
      <c r="SLT395" s="455"/>
      <c r="SLU395" s="104"/>
      <c r="SLV395" s="104"/>
      <c r="SLW395" s="109"/>
      <c r="SLX395" s="104"/>
      <c r="SLY395" s="104"/>
      <c r="SLZ395" s="119"/>
      <c r="SMA395" s="104"/>
      <c r="SMB395" s="455"/>
      <c r="SMC395" s="104"/>
      <c r="SMD395" s="104"/>
      <c r="SME395" s="109"/>
      <c r="SMF395" s="104"/>
      <c r="SMG395" s="104"/>
      <c r="SMH395" s="119"/>
      <c r="SMI395" s="104"/>
      <c r="SMJ395" s="455"/>
      <c r="SMK395" s="104"/>
      <c r="SML395" s="104"/>
      <c r="SMM395" s="109"/>
      <c r="SMN395" s="104"/>
      <c r="SMO395" s="104"/>
      <c r="SMP395" s="119"/>
      <c r="SMQ395" s="104"/>
      <c r="SMR395" s="455"/>
      <c r="SMS395" s="104"/>
      <c r="SMT395" s="104"/>
      <c r="SMU395" s="109"/>
      <c r="SMV395" s="104"/>
      <c r="SMW395" s="104"/>
      <c r="SMX395" s="119"/>
      <c r="SMY395" s="104"/>
      <c r="SMZ395" s="455"/>
      <c r="SNA395" s="104"/>
      <c r="SNB395" s="104"/>
      <c r="SNC395" s="109"/>
      <c r="SND395" s="104"/>
      <c r="SNE395" s="104"/>
      <c r="SNF395" s="119"/>
      <c r="SNG395" s="104"/>
      <c r="SNH395" s="455"/>
      <c r="SNI395" s="104"/>
      <c r="SNJ395" s="104"/>
      <c r="SNK395" s="109"/>
      <c r="SNL395" s="104"/>
      <c r="SNM395" s="104"/>
      <c r="SNN395" s="119"/>
      <c r="SNO395" s="104"/>
      <c r="SNP395" s="455"/>
      <c r="SNQ395" s="104"/>
      <c r="SNR395" s="104"/>
      <c r="SNS395" s="109"/>
      <c r="SNT395" s="104"/>
      <c r="SNU395" s="104"/>
      <c r="SNV395" s="119"/>
      <c r="SNW395" s="104"/>
      <c r="SNX395" s="455"/>
      <c r="SNY395" s="104"/>
      <c r="SNZ395" s="104"/>
      <c r="SOA395" s="109"/>
      <c r="SOB395" s="104"/>
      <c r="SOC395" s="104"/>
      <c r="SOD395" s="119"/>
      <c r="SOE395" s="104"/>
      <c r="SOF395" s="455"/>
      <c r="SOG395" s="104"/>
      <c r="SOH395" s="104"/>
      <c r="SOI395" s="109"/>
      <c r="SOJ395" s="104"/>
      <c r="SOK395" s="104"/>
      <c r="SOL395" s="119"/>
      <c r="SOM395" s="104"/>
      <c r="SON395" s="455"/>
      <c r="SOO395" s="104"/>
      <c r="SOP395" s="104"/>
      <c r="SOQ395" s="109"/>
      <c r="SOR395" s="104"/>
      <c r="SOS395" s="104"/>
      <c r="SOT395" s="119"/>
      <c r="SOU395" s="104"/>
      <c r="SOV395" s="455"/>
      <c r="SOW395" s="104"/>
      <c r="SOX395" s="104"/>
      <c r="SOY395" s="109"/>
      <c r="SOZ395" s="104"/>
      <c r="SPA395" s="104"/>
      <c r="SPB395" s="119"/>
      <c r="SPC395" s="104"/>
      <c r="SPD395" s="455"/>
      <c r="SPE395" s="104"/>
      <c r="SPF395" s="104"/>
      <c r="SPG395" s="109"/>
      <c r="SPH395" s="104"/>
      <c r="SPI395" s="104"/>
      <c r="SPJ395" s="119"/>
      <c r="SPK395" s="104"/>
      <c r="SPL395" s="455"/>
      <c r="SPM395" s="104"/>
      <c r="SPN395" s="104"/>
      <c r="SPO395" s="109"/>
      <c r="SPP395" s="104"/>
      <c r="SPQ395" s="104"/>
      <c r="SPR395" s="119"/>
      <c r="SPS395" s="104"/>
      <c r="SPT395" s="455"/>
      <c r="SPU395" s="104"/>
      <c r="SPV395" s="104"/>
      <c r="SPW395" s="109"/>
      <c r="SPX395" s="104"/>
      <c r="SPY395" s="104"/>
      <c r="SPZ395" s="119"/>
      <c r="SQA395" s="104"/>
      <c r="SQB395" s="455"/>
      <c r="SQC395" s="104"/>
      <c r="SQD395" s="104"/>
      <c r="SQE395" s="109"/>
      <c r="SQF395" s="104"/>
      <c r="SQG395" s="104"/>
      <c r="SQH395" s="119"/>
      <c r="SQI395" s="104"/>
      <c r="SQJ395" s="455"/>
      <c r="SQK395" s="104"/>
      <c r="SQL395" s="104"/>
      <c r="SQM395" s="109"/>
      <c r="SQN395" s="104"/>
      <c r="SQO395" s="104"/>
      <c r="SQP395" s="119"/>
      <c r="SQQ395" s="104"/>
      <c r="SQR395" s="455"/>
      <c r="SQS395" s="104"/>
      <c r="SQT395" s="104"/>
      <c r="SQU395" s="109"/>
      <c r="SQV395" s="104"/>
      <c r="SQW395" s="104"/>
      <c r="SQX395" s="119"/>
      <c r="SQY395" s="104"/>
      <c r="SQZ395" s="455"/>
      <c r="SRA395" s="104"/>
      <c r="SRB395" s="104"/>
      <c r="SRC395" s="109"/>
      <c r="SRD395" s="104"/>
      <c r="SRE395" s="104"/>
      <c r="SRF395" s="119"/>
      <c r="SRG395" s="104"/>
      <c r="SRH395" s="455"/>
      <c r="SRI395" s="104"/>
      <c r="SRJ395" s="104"/>
      <c r="SRK395" s="109"/>
      <c r="SRL395" s="104"/>
      <c r="SRM395" s="104"/>
      <c r="SRN395" s="119"/>
      <c r="SRO395" s="104"/>
      <c r="SRP395" s="455"/>
      <c r="SRQ395" s="104"/>
      <c r="SRR395" s="104"/>
      <c r="SRS395" s="109"/>
      <c r="SRT395" s="104"/>
      <c r="SRU395" s="104"/>
      <c r="SRV395" s="119"/>
      <c r="SRW395" s="104"/>
      <c r="SRX395" s="455"/>
      <c r="SRY395" s="104"/>
      <c r="SRZ395" s="104"/>
      <c r="SSA395" s="109"/>
      <c r="SSB395" s="104"/>
      <c r="SSC395" s="104"/>
      <c r="SSD395" s="119"/>
      <c r="SSE395" s="104"/>
      <c r="SSF395" s="455"/>
      <c r="SSG395" s="104"/>
      <c r="SSH395" s="104"/>
      <c r="SSI395" s="109"/>
      <c r="SSJ395" s="104"/>
      <c r="SSK395" s="104"/>
      <c r="SSL395" s="119"/>
      <c r="SSM395" s="104"/>
      <c r="SSN395" s="455"/>
      <c r="SSO395" s="104"/>
      <c r="SSP395" s="104"/>
      <c r="SSQ395" s="109"/>
      <c r="SSR395" s="104"/>
      <c r="SSS395" s="104"/>
      <c r="SST395" s="119"/>
      <c r="SSU395" s="104"/>
      <c r="SSV395" s="455"/>
      <c r="SSW395" s="104"/>
      <c r="SSX395" s="104"/>
      <c r="SSY395" s="109"/>
      <c r="SSZ395" s="104"/>
      <c r="STA395" s="104"/>
      <c r="STB395" s="119"/>
      <c r="STC395" s="104"/>
      <c r="STD395" s="455"/>
      <c r="STE395" s="104"/>
      <c r="STF395" s="104"/>
      <c r="STG395" s="109"/>
      <c r="STH395" s="104"/>
      <c r="STI395" s="104"/>
      <c r="STJ395" s="119"/>
      <c r="STK395" s="104"/>
      <c r="STL395" s="455"/>
      <c r="STM395" s="104"/>
      <c r="STN395" s="104"/>
      <c r="STO395" s="109"/>
      <c r="STP395" s="104"/>
      <c r="STQ395" s="104"/>
      <c r="STR395" s="119"/>
      <c r="STS395" s="104"/>
      <c r="STT395" s="455"/>
      <c r="STU395" s="104"/>
      <c r="STV395" s="104"/>
      <c r="STW395" s="109"/>
      <c r="STX395" s="104"/>
      <c r="STY395" s="104"/>
      <c r="STZ395" s="119"/>
      <c r="SUA395" s="104"/>
      <c r="SUB395" s="455"/>
      <c r="SUC395" s="104"/>
      <c r="SUD395" s="104"/>
      <c r="SUE395" s="109"/>
      <c r="SUF395" s="104"/>
      <c r="SUG395" s="104"/>
      <c r="SUH395" s="119"/>
      <c r="SUI395" s="104"/>
      <c r="SUJ395" s="455"/>
      <c r="SUK395" s="104"/>
      <c r="SUL395" s="104"/>
      <c r="SUM395" s="109"/>
      <c r="SUN395" s="104"/>
      <c r="SUO395" s="104"/>
      <c r="SUP395" s="119"/>
      <c r="SUQ395" s="104"/>
      <c r="SUR395" s="455"/>
      <c r="SUS395" s="104"/>
      <c r="SUT395" s="104"/>
      <c r="SUU395" s="109"/>
      <c r="SUV395" s="104"/>
      <c r="SUW395" s="104"/>
      <c r="SUX395" s="119"/>
      <c r="SUY395" s="104"/>
      <c r="SUZ395" s="455"/>
      <c r="SVA395" s="104"/>
      <c r="SVB395" s="104"/>
      <c r="SVC395" s="109"/>
      <c r="SVD395" s="104"/>
      <c r="SVE395" s="104"/>
      <c r="SVF395" s="119"/>
      <c r="SVG395" s="104"/>
      <c r="SVH395" s="455"/>
      <c r="SVI395" s="104"/>
      <c r="SVJ395" s="104"/>
      <c r="SVK395" s="109"/>
      <c r="SVL395" s="104"/>
      <c r="SVM395" s="104"/>
      <c r="SVN395" s="119"/>
      <c r="SVO395" s="104"/>
      <c r="SVP395" s="455"/>
      <c r="SVQ395" s="104"/>
      <c r="SVR395" s="104"/>
      <c r="SVS395" s="109"/>
      <c r="SVT395" s="104"/>
      <c r="SVU395" s="104"/>
      <c r="SVV395" s="119"/>
      <c r="SVW395" s="104"/>
      <c r="SVX395" s="455"/>
      <c r="SVY395" s="104"/>
      <c r="SVZ395" s="104"/>
      <c r="SWA395" s="109"/>
      <c r="SWB395" s="104"/>
      <c r="SWC395" s="104"/>
      <c r="SWD395" s="119"/>
      <c r="SWE395" s="104"/>
      <c r="SWF395" s="455"/>
      <c r="SWG395" s="104"/>
      <c r="SWH395" s="104"/>
      <c r="SWI395" s="109"/>
      <c r="SWJ395" s="104"/>
      <c r="SWK395" s="104"/>
      <c r="SWL395" s="119"/>
      <c r="SWM395" s="104"/>
      <c r="SWN395" s="455"/>
      <c r="SWO395" s="104"/>
      <c r="SWP395" s="104"/>
      <c r="SWQ395" s="109"/>
      <c r="SWR395" s="104"/>
      <c r="SWS395" s="104"/>
      <c r="SWT395" s="119"/>
      <c r="SWU395" s="104"/>
      <c r="SWV395" s="455"/>
      <c r="SWW395" s="104"/>
      <c r="SWX395" s="104"/>
      <c r="SWY395" s="109"/>
      <c r="SWZ395" s="104"/>
      <c r="SXA395" s="104"/>
      <c r="SXB395" s="119"/>
      <c r="SXC395" s="104"/>
      <c r="SXD395" s="455"/>
      <c r="SXE395" s="104"/>
      <c r="SXF395" s="104"/>
      <c r="SXG395" s="109"/>
      <c r="SXH395" s="104"/>
      <c r="SXI395" s="104"/>
      <c r="SXJ395" s="119"/>
      <c r="SXK395" s="104"/>
      <c r="SXL395" s="455"/>
      <c r="SXM395" s="104"/>
      <c r="SXN395" s="104"/>
      <c r="SXO395" s="109"/>
      <c r="SXP395" s="104"/>
      <c r="SXQ395" s="104"/>
      <c r="SXR395" s="119"/>
      <c r="SXS395" s="104"/>
      <c r="SXT395" s="455"/>
      <c r="SXU395" s="104"/>
      <c r="SXV395" s="104"/>
      <c r="SXW395" s="109"/>
      <c r="SXX395" s="104"/>
      <c r="SXY395" s="104"/>
      <c r="SXZ395" s="119"/>
      <c r="SYA395" s="104"/>
      <c r="SYB395" s="455"/>
      <c r="SYC395" s="104"/>
      <c r="SYD395" s="104"/>
      <c r="SYE395" s="109"/>
      <c r="SYF395" s="104"/>
      <c r="SYG395" s="104"/>
      <c r="SYH395" s="119"/>
      <c r="SYI395" s="104"/>
      <c r="SYJ395" s="455"/>
      <c r="SYK395" s="104"/>
      <c r="SYL395" s="104"/>
      <c r="SYM395" s="109"/>
      <c r="SYN395" s="104"/>
      <c r="SYO395" s="104"/>
      <c r="SYP395" s="119"/>
      <c r="SYQ395" s="104"/>
      <c r="SYR395" s="455"/>
      <c r="SYS395" s="104"/>
      <c r="SYT395" s="104"/>
      <c r="SYU395" s="109"/>
      <c r="SYV395" s="104"/>
      <c r="SYW395" s="104"/>
      <c r="SYX395" s="119"/>
      <c r="SYY395" s="104"/>
      <c r="SYZ395" s="455"/>
      <c r="SZA395" s="104"/>
      <c r="SZB395" s="104"/>
      <c r="SZC395" s="109"/>
      <c r="SZD395" s="104"/>
      <c r="SZE395" s="104"/>
      <c r="SZF395" s="119"/>
      <c r="SZG395" s="104"/>
      <c r="SZH395" s="455"/>
      <c r="SZI395" s="104"/>
      <c r="SZJ395" s="104"/>
      <c r="SZK395" s="109"/>
      <c r="SZL395" s="104"/>
      <c r="SZM395" s="104"/>
      <c r="SZN395" s="119"/>
      <c r="SZO395" s="104"/>
      <c r="SZP395" s="455"/>
      <c r="SZQ395" s="104"/>
      <c r="SZR395" s="104"/>
      <c r="SZS395" s="109"/>
      <c r="SZT395" s="104"/>
      <c r="SZU395" s="104"/>
      <c r="SZV395" s="119"/>
      <c r="SZW395" s="104"/>
      <c r="SZX395" s="455"/>
      <c r="SZY395" s="104"/>
      <c r="SZZ395" s="104"/>
      <c r="TAA395" s="109"/>
      <c r="TAB395" s="104"/>
      <c r="TAC395" s="104"/>
      <c r="TAD395" s="119"/>
      <c r="TAE395" s="104"/>
      <c r="TAF395" s="455"/>
      <c r="TAG395" s="104"/>
      <c r="TAH395" s="104"/>
      <c r="TAI395" s="109"/>
      <c r="TAJ395" s="104"/>
      <c r="TAK395" s="104"/>
      <c r="TAL395" s="119"/>
      <c r="TAM395" s="104"/>
      <c r="TAN395" s="455"/>
      <c r="TAO395" s="104"/>
      <c r="TAP395" s="104"/>
      <c r="TAQ395" s="109"/>
      <c r="TAR395" s="104"/>
      <c r="TAS395" s="104"/>
      <c r="TAT395" s="119"/>
      <c r="TAU395" s="104"/>
      <c r="TAV395" s="455"/>
      <c r="TAW395" s="104"/>
      <c r="TAX395" s="104"/>
      <c r="TAY395" s="109"/>
      <c r="TAZ395" s="104"/>
      <c r="TBA395" s="104"/>
      <c r="TBB395" s="119"/>
      <c r="TBC395" s="104"/>
      <c r="TBD395" s="455"/>
      <c r="TBE395" s="104"/>
      <c r="TBF395" s="104"/>
      <c r="TBG395" s="109"/>
      <c r="TBH395" s="104"/>
      <c r="TBI395" s="104"/>
      <c r="TBJ395" s="119"/>
      <c r="TBK395" s="104"/>
      <c r="TBL395" s="455"/>
      <c r="TBM395" s="104"/>
      <c r="TBN395" s="104"/>
      <c r="TBO395" s="109"/>
      <c r="TBP395" s="104"/>
      <c r="TBQ395" s="104"/>
      <c r="TBR395" s="119"/>
      <c r="TBS395" s="104"/>
      <c r="TBT395" s="455"/>
      <c r="TBU395" s="104"/>
      <c r="TBV395" s="104"/>
      <c r="TBW395" s="109"/>
      <c r="TBX395" s="104"/>
      <c r="TBY395" s="104"/>
      <c r="TBZ395" s="119"/>
      <c r="TCA395" s="104"/>
      <c r="TCB395" s="455"/>
      <c r="TCC395" s="104"/>
      <c r="TCD395" s="104"/>
      <c r="TCE395" s="109"/>
      <c r="TCF395" s="104"/>
      <c r="TCG395" s="104"/>
      <c r="TCH395" s="119"/>
      <c r="TCI395" s="104"/>
      <c r="TCJ395" s="455"/>
      <c r="TCK395" s="104"/>
      <c r="TCL395" s="104"/>
      <c r="TCM395" s="109"/>
      <c r="TCN395" s="104"/>
      <c r="TCO395" s="104"/>
      <c r="TCP395" s="119"/>
      <c r="TCQ395" s="104"/>
      <c r="TCR395" s="455"/>
      <c r="TCS395" s="104"/>
      <c r="TCT395" s="104"/>
      <c r="TCU395" s="109"/>
      <c r="TCV395" s="104"/>
      <c r="TCW395" s="104"/>
      <c r="TCX395" s="119"/>
      <c r="TCY395" s="104"/>
      <c r="TCZ395" s="455"/>
      <c r="TDA395" s="104"/>
      <c r="TDB395" s="104"/>
      <c r="TDC395" s="109"/>
      <c r="TDD395" s="104"/>
      <c r="TDE395" s="104"/>
      <c r="TDF395" s="119"/>
      <c r="TDG395" s="104"/>
      <c r="TDH395" s="455"/>
      <c r="TDI395" s="104"/>
      <c r="TDJ395" s="104"/>
      <c r="TDK395" s="109"/>
      <c r="TDL395" s="104"/>
      <c r="TDM395" s="104"/>
      <c r="TDN395" s="119"/>
      <c r="TDO395" s="104"/>
      <c r="TDP395" s="455"/>
      <c r="TDQ395" s="104"/>
      <c r="TDR395" s="104"/>
      <c r="TDS395" s="109"/>
      <c r="TDT395" s="104"/>
      <c r="TDU395" s="104"/>
      <c r="TDV395" s="119"/>
      <c r="TDW395" s="104"/>
      <c r="TDX395" s="455"/>
      <c r="TDY395" s="104"/>
      <c r="TDZ395" s="104"/>
      <c r="TEA395" s="109"/>
      <c r="TEB395" s="104"/>
      <c r="TEC395" s="104"/>
      <c r="TED395" s="119"/>
      <c r="TEE395" s="104"/>
      <c r="TEF395" s="455"/>
      <c r="TEG395" s="104"/>
      <c r="TEH395" s="104"/>
      <c r="TEI395" s="109"/>
      <c r="TEJ395" s="104"/>
      <c r="TEK395" s="104"/>
      <c r="TEL395" s="119"/>
      <c r="TEM395" s="104"/>
      <c r="TEN395" s="455"/>
      <c r="TEO395" s="104"/>
      <c r="TEP395" s="104"/>
      <c r="TEQ395" s="109"/>
      <c r="TER395" s="104"/>
      <c r="TES395" s="104"/>
      <c r="TET395" s="119"/>
      <c r="TEU395" s="104"/>
      <c r="TEV395" s="455"/>
      <c r="TEW395" s="104"/>
      <c r="TEX395" s="104"/>
      <c r="TEY395" s="109"/>
      <c r="TEZ395" s="104"/>
      <c r="TFA395" s="104"/>
      <c r="TFB395" s="119"/>
      <c r="TFC395" s="104"/>
      <c r="TFD395" s="455"/>
      <c r="TFE395" s="104"/>
      <c r="TFF395" s="104"/>
      <c r="TFG395" s="109"/>
      <c r="TFH395" s="104"/>
      <c r="TFI395" s="104"/>
      <c r="TFJ395" s="119"/>
      <c r="TFK395" s="104"/>
      <c r="TFL395" s="455"/>
      <c r="TFM395" s="104"/>
      <c r="TFN395" s="104"/>
      <c r="TFO395" s="109"/>
      <c r="TFP395" s="104"/>
      <c r="TFQ395" s="104"/>
      <c r="TFR395" s="119"/>
      <c r="TFS395" s="104"/>
      <c r="TFT395" s="455"/>
      <c r="TFU395" s="104"/>
      <c r="TFV395" s="104"/>
      <c r="TFW395" s="109"/>
      <c r="TFX395" s="104"/>
      <c r="TFY395" s="104"/>
      <c r="TFZ395" s="119"/>
      <c r="TGA395" s="104"/>
      <c r="TGB395" s="455"/>
      <c r="TGC395" s="104"/>
      <c r="TGD395" s="104"/>
      <c r="TGE395" s="109"/>
      <c r="TGF395" s="104"/>
      <c r="TGG395" s="104"/>
      <c r="TGH395" s="119"/>
      <c r="TGI395" s="104"/>
      <c r="TGJ395" s="455"/>
      <c r="TGK395" s="104"/>
      <c r="TGL395" s="104"/>
      <c r="TGM395" s="109"/>
      <c r="TGN395" s="104"/>
      <c r="TGO395" s="104"/>
      <c r="TGP395" s="119"/>
      <c r="TGQ395" s="104"/>
      <c r="TGR395" s="455"/>
      <c r="TGS395" s="104"/>
      <c r="TGT395" s="104"/>
      <c r="TGU395" s="109"/>
      <c r="TGV395" s="104"/>
      <c r="TGW395" s="104"/>
      <c r="TGX395" s="119"/>
      <c r="TGY395" s="104"/>
      <c r="TGZ395" s="455"/>
      <c r="THA395" s="104"/>
      <c r="THB395" s="104"/>
      <c r="THC395" s="109"/>
      <c r="THD395" s="104"/>
      <c r="THE395" s="104"/>
      <c r="THF395" s="119"/>
      <c r="THG395" s="104"/>
      <c r="THH395" s="455"/>
      <c r="THI395" s="104"/>
      <c r="THJ395" s="104"/>
      <c r="THK395" s="109"/>
      <c r="THL395" s="104"/>
      <c r="THM395" s="104"/>
      <c r="THN395" s="119"/>
      <c r="THO395" s="104"/>
      <c r="THP395" s="455"/>
      <c r="THQ395" s="104"/>
      <c r="THR395" s="104"/>
      <c r="THS395" s="109"/>
      <c r="THT395" s="104"/>
      <c r="THU395" s="104"/>
      <c r="THV395" s="119"/>
      <c r="THW395" s="104"/>
      <c r="THX395" s="455"/>
      <c r="THY395" s="104"/>
      <c r="THZ395" s="104"/>
      <c r="TIA395" s="109"/>
      <c r="TIB395" s="104"/>
      <c r="TIC395" s="104"/>
      <c r="TID395" s="119"/>
      <c r="TIE395" s="104"/>
      <c r="TIF395" s="455"/>
      <c r="TIG395" s="104"/>
      <c r="TIH395" s="104"/>
      <c r="TII395" s="109"/>
      <c r="TIJ395" s="104"/>
      <c r="TIK395" s="104"/>
      <c r="TIL395" s="119"/>
      <c r="TIM395" s="104"/>
      <c r="TIN395" s="455"/>
      <c r="TIO395" s="104"/>
      <c r="TIP395" s="104"/>
      <c r="TIQ395" s="109"/>
      <c r="TIR395" s="104"/>
      <c r="TIS395" s="104"/>
      <c r="TIT395" s="119"/>
      <c r="TIU395" s="104"/>
      <c r="TIV395" s="455"/>
      <c r="TIW395" s="104"/>
      <c r="TIX395" s="104"/>
      <c r="TIY395" s="109"/>
      <c r="TIZ395" s="104"/>
      <c r="TJA395" s="104"/>
      <c r="TJB395" s="119"/>
      <c r="TJC395" s="104"/>
      <c r="TJD395" s="455"/>
      <c r="TJE395" s="104"/>
      <c r="TJF395" s="104"/>
      <c r="TJG395" s="109"/>
      <c r="TJH395" s="104"/>
      <c r="TJI395" s="104"/>
      <c r="TJJ395" s="119"/>
      <c r="TJK395" s="104"/>
      <c r="TJL395" s="455"/>
      <c r="TJM395" s="104"/>
      <c r="TJN395" s="104"/>
      <c r="TJO395" s="109"/>
      <c r="TJP395" s="104"/>
      <c r="TJQ395" s="104"/>
      <c r="TJR395" s="119"/>
      <c r="TJS395" s="104"/>
      <c r="TJT395" s="455"/>
      <c r="TJU395" s="104"/>
      <c r="TJV395" s="104"/>
      <c r="TJW395" s="109"/>
      <c r="TJX395" s="104"/>
      <c r="TJY395" s="104"/>
      <c r="TJZ395" s="119"/>
      <c r="TKA395" s="104"/>
      <c r="TKB395" s="455"/>
      <c r="TKC395" s="104"/>
      <c r="TKD395" s="104"/>
      <c r="TKE395" s="109"/>
      <c r="TKF395" s="104"/>
      <c r="TKG395" s="104"/>
      <c r="TKH395" s="119"/>
      <c r="TKI395" s="104"/>
      <c r="TKJ395" s="455"/>
      <c r="TKK395" s="104"/>
      <c r="TKL395" s="104"/>
      <c r="TKM395" s="109"/>
      <c r="TKN395" s="104"/>
      <c r="TKO395" s="104"/>
      <c r="TKP395" s="119"/>
      <c r="TKQ395" s="104"/>
      <c r="TKR395" s="455"/>
      <c r="TKS395" s="104"/>
      <c r="TKT395" s="104"/>
      <c r="TKU395" s="109"/>
      <c r="TKV395" s="104"/>
      <c r="TKW395" s="104"/>
      <c r="TKX395" s="119"/>
      <c r="TKY395" s="104"/>
      <c r="TKZ395" s="455"/>
      <c r="TLA395" s="104"/>
      <c r="TLB395" s="104"/>
      <c r="TLC395" s="109"/>
      <c r="TLD395" s="104"/>
      <c r="TLE395" s="104"/>
      <c r="TLF395" s="119"/>
      <c r="TLG395" s="104"/>
      <c r="TLH395" s="455"/>
      <c r="TLI395" s="104"/>
      <c r="TLJ395" s="104"/>
      <c r="TLK395" s="109"/>
      <c r="TLL395" s="104"/>
      <c r="TLM395" s="104"/>
      <c r="TLN395" s="119"/>
      <c r="TLO395" s="104"/>
      <c r="TLP395" s="455"/>
      <c r="TLQ395" s="104"/>
      <c r="TLR395" s="104"/>
      <c r="TLS395" s="109"/>
      <c r="TLT395" s="104"/>
      <c r="TLU395" s="104"/>
      <c r="TLV395" s="119"/>
      <c r="TLW395" s="104"/>
      <c r="TLX395" s="455"/>
      <c r="TLY395" s="104"/>
      <c r="TLZ395" s="104"/>
      <c r="TMA395" s="109"/>
      <c r="TMB395" s="104"/>
      <c r="TMC395" s="104"/>
      <c r="TMD395" s="119"/>
      <c r="TME395" s="104"/>
      <c r="TMF395" s="455"/>
      <c r="TMG395" s="104"/>
      <c r="TMH395" s="104"/>
      <c r="TMI395" s="109"/>
      <c r="TMJ395" s="104"/>
      <c r="TMK395" s="104"/>
      <c r="TML395" s="119"/>
      <c r="TMM395" s="104"/>
      <c r="TMN395" s="455"/>
      <c r="TMO395" s="104"/>
      <c r="TMP395" s="104"/>
      <c r="TMQ395" s="109"/>
      <c r="TMR395" s="104"/>
      <c r="TMS395" s="104"/>
      <c r="TMT395" s="119"/>
      <c r="TMU395" s="104"/>
      <c r="TMV395" s="455"/>
      <c r="TMW395" s="104"/>
      <c r="TMX395" s="104"/>
      <c r="TMY395" s="109"/>
      <c r="TMZ395" s="104"/>
      <c r="TNA395" s="104"/>
      <c r="TNB395" s="119"/>
      <c r="TNC395" s="104"/>
      <c r="TND395" s="455"/>
      <c r="TNE395" s="104"/>
      <c r="TNF395" s="104"/>
      <c r="TNG395" s="109"/>
      <c r="TNH395" s="104"/>
      <c r="TNI395" s="104"/>
      <c r="TNJ395" s="119"/>
      <c r="TNK395" s="104"/>
      <c r="TNL395" s="455"/>
      <c r="TNM395" s="104"/>
      <c r="TNN395" s="104"/>
      <c r="TNO395" s="109"/>
      <c r="TNP395" s="104"/>
      <c r="TNQ395" s="104"/>
      <c r="TNR395" s="119"/>
      <c r="TNS395" s="104"/>
      <c r="TNT395" s="455"/>
      <c r="TNU395" s="104"/>
      <c r="TNV395" s="104"/>
      <c r="TNW395" s="109"/>
      <c r="TNX395" s="104"/>
      <c r="TNY395" s="104"/>
      <c r="TNZ395" s="119"/>
      <c r="TOA395" s="104"/>
      <c r="TOB395" s="455"/>
      <c r="TOC395" s="104"/>
      <c r="TOD395" s="104"/>
      <c r="TOE395" s="109"/>
      <c r="TOF395" s="104"/>
      <c r="TOG395" s="104"/>
      <c r="TOH395" s="119"/>
      <c r="TOI395" s="104"/>
      <c r="TOJ395" s="455"/>
      <c r="TOK395" s="104"/>
      <c r="TOL395" s="104"/>
      <c r="TOM395" s="109"/>
      <c r="TON395" s="104"/>
      <c r="TOO395" s="104"/>
      <c r="TOP395" s="119"/>
      <c r="TOQ395" s="104"/>
      <c r="TOR395" s="455"/>
      <c r="TOS395" s="104"/>
      <c r="TOT395" s="104"/>
      <c r="TOU395" s="109"/>
      <c r="TOV395" s="104"/>
      <c r="TOW395" s="104"/>
      <c r="TOX395" s="119"/>
      <c r="TOY395" s="104"/>
      <c r="TOZ395" s="455"/>
      <c r="TPA395" s="104"/>
      <c r="TPB395" s="104"/>
      <c r="TPC395" s="109"/>
      <c r="TPD395" s="104"/>
      <c r="TPE395" s="104"/>
      <c r="TPF395" s="119"/>
      <c r="TPG395" s="104"/>
      <c r="TPH395" s="455"/>
      <c r="TPI395" s="104"/>
      <c r="TPJ395" s="104"/>
      <c r="TPK395" s="109"/>
      <c r="TPL395" s="104"/>
      <c r="TPM395" s="104"/>
      <c r="TPN395" s="119"/>
      <c r="TPO395" s="104"/>
      <c r="TPP395" s="455"/>
      <c r="TPQ395" s="104"/>
      <c r="TPR395" s="104"/>
      <c r="TPS395" s="109"/>
      <c r="TPT395" s="104"/>
      <c r="TPU395" s="104"/>
      <c r="TPV395" s="119"/>
      <c r="TPW395" s="104"/>
      <c r="TPX395" s="455"/>
      <c r="TPY395" s="104"/>
      <c r="TPZ395" s="104"/>
      <c r="TQA395" s="109"/>
      <c r="TQB395" s="104"/>
      <c r="TQC395" s="104"/>
      <c r="TQD395" s="119"/>
      <c r="TQE395" s="104"/>
      <c r="TQF395" s="455"/>
      <c r="TQG395" s="104"/>
      <c r="TQH395" s="104"/>
      <c r="TQI395" s="109"/>
      <c r="TQJ395" s="104"/>
      <c r="TQK395" s="104"/>
      <c r="TQL395" s="119"/>
      <c r="TQM395" s="104"/>
      <c r="TQN395" s="455"/>
      <c r="TQO395" s="104"/>
      <c r="TQP395" s="104"/>
      <c r="TQQ395" s="109"/>
      <c r="TQR395" s="104"/>
      <c r="TQS395" s="104"/>
      <c r="TQT395" s="119"/>
      <c r="TQU395" s="104"/>
      <c r="TQV395" s="455"/>
      <c r="TQW395" s="104"/>
      <c r="TQX395" s="104"/>
      <c r="TQY395" s="109"/>
      <c r="TQZ395" s="104"/>
      <c r="TRA395" s="104"/>
      <c r="TRB395" s="119"/>
      <c r="TRC395" s="104"/>
      <c r="TRD395" s="455"/>
      <c r="TRE395" s="104"/>
      <c r="TRF395" s="104"/>
      <c r="TRG395" s="109"/>
      <c r="TRH395" s="104"/>
      <c r="TRI395" s="104"/>
      <c r="TRJ395" s="119"/>
      <c r="TRK395" s="104"/>
      <c r="TRL395" s="455"/>
      <c r="TRM395" s="104"/>
      <c r="TRN395" s="104"/>
      <c r="TRO395" s="109"/>
      <c r="TRP395" s="104"/>
      <c r="TRQ395" s="104"/>
      <c r="TRR395" s="119"/>
      <c r="TRS395" s="104"/>
      <c r="TRT395" s="455"/>
      <c r="TRU395" s="104"/>
      <c r="TRV395" s="104"/>
      <c r="TRW395" s="109"/>
      <c r="TRX395" s="104"/>
      <c r="TRY395" s="104"/>
      <c r="TRZ395" s="119"/>
      <c r="TSA395" s="104"/>
      <c r="TSB395" s="455"/>
      <c r="TSC395" s="104"/>
      <c r="TSD395" s="104"/>
      <c r="TSE395" s="109"/>
      <c r="TSF395" s="104"/>
      <c r="TSG395" s="104"/>
      <c r="TSH395" s="119"/>
      <c r="TSI395" s="104"/>
      <c r="TSJ395" s="455"/>
      <c r="TSK395" s="104"/>
      <c r="TSL395" s="104"/>
      <c r="TSM395" s="109"/>
      <c r="TSN395" s="104"/>
      <c r="TSO395" s="104"/>
      <c r="TSP395" s="119"/>
      <c r="TSQ395" s="104"/>
      <c r="TSR395" s="455"/>
      <c r="TSS395" s="104"/>
      <c r="TST395" s="104"/>
      <c r="TSU395" s="109"/>
      <c r="TSV395" s="104"/>
      <c r="TSW395" s="104"/>
      <c r="TSX395" s="119"/>
      <c r="TSY395" s="104"/>
      <c r="TSZ395" s="455"/>
      <c r="TTA395" s="104"/>
      <c r="TTB395" s="104"/>
      <c r="TTC395" s="109"/>
      <c r="TTD395" s="104"/>
      <c r="TTE395" s="104"/>
      <c r="TTF395" s="119"/>
      <c r="TTG395" s="104"/>
      <c r="TTH395" s="455"/>
      <c r="TTI395" s="104"/>
      <c r="TTJ395" s="104"/>
      <c r="TTK395" s="109"/>
      <c r="TTL395" s="104"/>
      <c r="TTM395" s="104"/>
      <c r="TTN395" s="119"/>
      <c r="TTO395" s="104"/>
      <c r="TTP395" s="455"/>
      <c r="TTQ395" s="104"/>
      <c r="TTR395" s="104"/>
      <c r="TTS395" s="109"/>
      <c r="TTT395" s="104"/>
      <c r="TTU395" s="104"/>
      <c r="TTV395" s="119"/>
      <c r="TTW395" s="104"/>
      <c r="TTX395" s="455"/>
      <c r="TTY395" s="104"/>
      <c r="TTZ395" s="104"/>
      <c r="TUA395" s="109"/>
      <c r="TUB395" s="104"/>
      <c r="TUC395" s="104"/>
      <c r="TUD395" s="119"/>
      <c r="TUE395" s="104"/>
      <c r="TUF395" s="455"/>
      <c r="TUG395" s="104"/>
      <c r="TUH395" s="104"/>
      <c r="TUI395" s="109"/>
      <c r="TUJ395" s="104"/>
      <c r="TUK395" s="104"/>
      <c r="TUL395" s="119"/>
      <c r="TUM395" s="104"/>
      <c r="TUN395" s="455"/>
      <c r="TUO395" s="104"/>
      <c r="TUP395" s="104"/>
      <c r="TUQ395" s="109"/>
      <c r="TUR395" s="104"/>
      <c r="TUS395" s="104"/>
      <c r="TUT395" s="119"/>
      <c r="TUU395" s="104"/>
      <c r="TUV395" s="455"/>
      <c r="TUW395" s="104"/>
      <c r="TUX395" s="104"/>
      <c r="TUY395" s="109"/>
      <c r="TUZ395" s="104"/>
      <c r="TVA395" s="104"/>
      <c r="TVB395" s="119"/>
      <c r="TVC395" s="104"/>
      <c r="TVD395" s="455"/>
      <c r="TVE395" s="104"/>
      <c r="TVF395" s="104"/>
      <c r="TVG395" s="109"/>
      <c r="TVH395" s="104"/>
      <c r="TVI395" s="104"/>
      <c r="TVJ395" s="119"/>
      <c r="TVK395" s="104"/>
      <c r="TVL395" s="455"/>
      <c r="TVM395" s="104"/>
      <c r="TVN395" s="104"/>
      <c r="TVO395" s="109"/>
      <c r="TVP395" s="104"/>
      <c r="TVQ395" s="104"/>
      <c r="TVR395" s="119"/>
      <c r="TVS395" s="104"/>
      <c r="TVT395" s="455"/>
      <c r="TVU395" s="104"/>
      <c r="TVV395" s="104"/>
      <c r="TVW395" s="109"/>
      <c r="TVX395" s="104"/>
      <c r="TVY395" s="104"/>
      <c r="TVZ395" s="119"/>
      <c r="TWA395" s="104"/>
      <c r="TWB395" s="455"/>
      <c r="TWC395" s="104"/>
      <c r="TWD395" s="104"/>
      <c r="TWE395" s="109"/>
      <c r="TWF395" s="104"/>
      <c r="TWG395" s="104"/>
      <c r="TWH395" s="119"/>
      <c r="TWI395" s="104"/>
      <c r="TWJ395" s="455"/>
      <c r="TWK395" s="104"/>
      <c r="TWL395" s="104"/>
      <c r="TWM395" s="109"/>
      <c r="TWN395" s="104"/>
      <c r="TWO395" s="104"/>
      <c r="TWP395" s="119"/>
      <c r="TWQ395" s="104"/>
      <c r="TWR395" s="455"/>
      <c r="TWS395" s="104"/>
      <c r="TWT395" s="104"/>
      <c r="TWU395" s="109"/>
      <c r="TWV395" s="104"/>
      <c r="TWW395" s="104"/>
      <c r="TWX395" s="119"/>
      <c r="TWY395" s="104"/>
      <c r="TWZ395" s="455"/>
      <c r="TXA395" s="104"/>
      <c r="TXB395" s="104"/>
      <c r="TXC395" s="109"/>
      <c r="TXD395" s="104"/>
      <c r="TXE395" s="104"/>
      <c r="TXF395" s="119"/>
      <c r="TXG395" s="104"/>
      <c r="TXH395" s="455"/>
      <c r="TXI395" s="104"/>
      <c r="TXJ395" s="104"/>
      <c r="TXK395" s="109"/>
      <c r="TXL395" s="104"/>
      <c r="TXM395" s="104"/>
      <c r="TXN395" s="119"/>
      <c r="TXO395" s="104"/>
      <c r="TXP395" s="455"/>
      <c r="TXQ395" s="104"/>
      <c r="TXR395" s="104"/>
      <c r="TXS395" s="109"/>
      <c r="TXT395" s="104"/>
      <c r="TXU395" s="104"/>
      <c r="TXV395" s="119"/>
      <c r="TXW395" s="104"/>
      <c r="TXX395" s="455"/>
      <c r="TXY395" s="104"/>
      <c r="TXZ395" s="104"/>
      <c r="TYA395" s="109"/>
      <c r="TYB395" s="104"/>
      <c r="TYC395" s="104"/>
      <c r="TYD395" s="119"/>
      <c r="TYE395" s="104"/>
      <c r="TYF395" s="455"/>
      <c r="TYG395" s="104"/>
      <c r="TYH395" s="104"/>
      <c r="TYI395" s="109"/>
      <c r="TYJ395" s="104"/>
      <c r="TYK395" s="104"/>
      <c r="TYL395" s="119"/>
      <c r="TYM395" s="104"/>
      <c r="TYN395" s="455"/>
      <c r="TYO395" s="104"/>
      <c r="TYP395" s="104"/>
      <c r="TYQ395" s="109"/>
      <c r="TYR395" s="104"/>
      <c r="TYS395" s="104"/>
      <c r="TYT395" s="119"/>
      <c r="TYU395" s="104"/>
      <c r="TYV395" s="455"/>
      <c r="TYW395" s="104"/>
      <c r="TYX395" s="104"/>
      <c r="TYY395" s="109"/>
      <c r="TYZ395" s="104"/>
      <c r="TZA395" s="104"/>
      <c r="TZB395" s="119"/>
      <c r="TZC395" s="104"/>
      <c r="TZD395" s="455"/>
      <c r="TZE395" s="104"/>
      <c r="TZF395" s="104"/>
      <c r="TZG395" s="109"/>
      <c r="TZH395" s="104"/>
      <c r="TZI395" s="104"/>
      <c r="TZJ395" s="119"/>
      <c r="TZK395" s="104"/>
      <c r="TZL395" s="455"/>
      <c r="TZM395" s="104"/>
      <c r="TZN395" s="104"/>
      <c r="TZO395" s="109"/>
      <c r="TZP395" s="104"/>
      <c r="TZQ395" s="104"/>
      <c r="TZR395" s="119"/>
      <c r="TZS395" s="104"/>
      <c r="TZT395" s="455"/>
      <c r="TZU395" s="104"/>
      <c r="TZV395" s="104"/>
      <c r="TZW395" s="109"/>
      <c r="TZX395" s="104"/>
      <c r="TZY395" s="104"/>
      <c r="TZZ395" s="119"/>
      <c r="UAA395" s="104"/>
      <c r="UAB395" s="455"/>
      <c r="UAC395" s="104"/>
      <c r="UAD395" s="104"/>
      <c r="UAE395" s="109"/>
      <c r="UAF395" s="104"/>
      <c r="UAG395" s="104"/>
      <c r="UAH395" s="119"/>
      <c r="UAI395" s="104"/>
      <c r="UAJ395" s="455"/>
      <c r="UAK395" s="104"/>
      <c r="UAL395" s="104"/>
      <c r="UAM395" s="109"/>
      <c r="UAN395" s="104"/>
      <c r="UAO395" s="104"/>
      <c r="UAP395" s="119"/>
      <c r="UAQ395" s="104"/>
      <c r="UAR395" s="455"/>
      <c r="UAS395" s="104"/>
      <c r="UAT395" s="104"/>
      <c r="UAU395" s="109"/>
      <c r="UAV395" s="104"/>
      <c r="UAW395" s="104"/>
      <c r="UAX395" s="119"/>
      <c r="UAY395" s="104"/>
      <c r="UAZ395" s="455"/>
      <c r="UBA395" s="104"/>
      <c r="UBB395" s="104"/>
      <c r="UBC395" s="109"/>
      <c r="UBD395" s="104"/>
      <c r="UBE395" s="104"/>
      <c r="UBF395" s="119"/>
      <c r="UBG395" s="104"/>
      <c r="UBH395" s="455"/>
      <c r="UBI395" s="104"/>
      <c r="UBJ395" s="104"/>
      <c r="UBK395" s="109"/>
      <c r="UBL395" s="104"/>
      <c r="UBM395" s="104"/>
      <c r="UBN395" s="119"/>
      <c r="UBO395" s="104"/>
      <c r="UBP395" s="455"/>
      <c r="UBQ395" s="104"/>
      <c r="UBR395" s="104"/>
      <c r="UBS395" s="109"/>
      <c r="UBT395" s="104"/>
      <c r="UBU395" s="104"/>
      <c r="UBV395" s="119"/>
      <c r="UBW395" s="104"/>
      <c r="UBX395" s="455"/>
      <c r="UBY395" s="104"/>
      <c r="UBZ395" s="104"/>
      <c r="UCA395" s="109"/>
      <c r="UCB395" s="104"/>
      <c r="UCC395" s="104"/>
      <c r="UCD395" s="119"/>
      <c r="UCE395" s="104"/>
      <c r="UCF395" s="455"/>
      <c r="UCG395" s="104"/>
      <c r="UCH395" s="104"/>
      <c r="UCI395" s="109"/>
      <c r="UCJ395" s="104"/>
      <c r="UCK395" s="104"/>
      <c r="UCL395" s="119"/>
      <c r="UCM395" s="104"/>
      <c r="UCN395" s="455"/>
      <c r="UCO395" s="104"/>
      <c r="UCP395" s="104"/>
      <c r="UCQ395" s="109"/>
      <c r="UCR395" s="104"/>
      <c r="UCS395" s="104"/>
      <c r="UCT395" s="119"/>
      <c r="UCU395" s="104"/>
      <c r="UCV395" s="455"/>
      <c r="UCW395" s="104"/>
      <c r="UCX395" s="104"/>
      <c r="UCY395" s="109"/>
      <c r="UCZ395" s="104"/>
      <c r="UDA395" s="104"/>
      <c r="UDB395" s="119"/>
      <c r="UDC395" s="104"/>
      <c r="UDD395" s="455"/>
      <c r="UDE395" s="104"/>
      <c r="UDF395" s="104"/>
      <c r="UDG395" s="109"/>
      <c r="UDH395" s="104"/>
      <c r="UDI395" s="104"/>
      <c r="UDJ395" s="119"/>
      <c r="UDK395" s="104"/>
      <c r="UDL395" s="455"/>
      <c r="UDM395" s="104"/>
      <c r="UDN395" s="104"/>
      <c r="UDO395" s="109"/>
      <c r="UDP395" s="104"/>
      <c r="UDQ395" s="104"/>
      <c r="UDR395" s="119"/>
      <c r="UDS395" s="104"/>
      <c r="UDT395" s="455"/>
      <c r="UDU395" s="104"/>
      <c r="UDV395" s="104"/>
      <c r="UDW395" s="109"/>
      <c r="UDX395" s="104"/>
      <c r="UDY395" s="104"/>
      <c r="UDZ395" s="119"/>
      <c r="UEA395" s="104"/>
      <c r="UEB395" s="455"/>
      <c r="UEC395" s="104"/>
      <c r="UED395" s="104"/>
      <c r="UEE395" s="109"/>
      <c r="UEF395" s="104"/>
      <c r="UEG395" s="104"/>
      <c r="UEH395" s="119"/>
      <c r="UEI395" s="104"/>
      <c r="UEJ395" s="455"/>
      <c r="UEK395" s="104"/>
      <c r="UEL395" s="104"/>
      <c r="UEM395" s="109"/>
      <c r="UEN395" s="104"/>
      <c r="UEO395" s="104"/>
      <c r="UEP395" s="119"/>
      <c r="UEQ395" s="104"/>
      <c r="UER395" s="455"/>
      <c r="UES395" s="104"/>
      <c r="UET395" s="104"/>
      <c r="UEU395" s="109"/>
      <c r="UEV395" s="104"/>
      <c r="UEW395" s="104"/>
      <c r="UEX395" s="119"/>
      <c r="UEY395" s="104"/>
      <c r="UEZ395" s="455"/>
      <c r="UFA395" s="104"/>
      <c r="UFB395" s="104"/>
      <c r="UFC395" s="109"/>
      <c r="UFD395" s="104"/>
      <c r="UFE395" s="104"/>
      <c r="UFF395" s="119"/>
      <c r="UFG395" s="104"/>
      <c r="UFH395" s="455"/>
      <c r="UFI395" s="104"/>
      <c r="UFJ395" s="104"/>
      <c r="UFK395" s="109"/>
      <c r="UFL395" s="104"/>
      <c r="UFM395" s="104"/>
      <c r="UFN395" s="119"/>
      <c r="UFO395" s="104"/>
      <c r="UFP395" s="455"/>
      <c r="UFQ395" s="104"/>
      <c r="UFR395" s="104"/>
      <c r="UFS395" s="109"/>
      <c r="UFT395" s="104"/>
      <c r="UFU395" s="104"/>
      <c r="UFV395" s="119"/>
      <c r="UFW395" s="104"/>
      <c r="UFX395" s="455"/>
      <c r="UFY395" s="104"/>
      <c r="UFZ395" s="104"/>
      <c r="UGA395" s="109"/>
      <c r="UGB395" s="104"/>
      <c r="UGC395" s="104"/>
      <c r="UGD395" s="119"/>
      <c r="UGE395" s="104"/>
      <c r="UGF395" s="455"/>
      <c r="UGG395" s="104"/>
      <c r="UGH395" s="104"/>
      <c r="UGI395" s="109"/>
      <c r="UGJ395" s="104"/>
      <c r="UGK395" s="104"/>
      <c r="UGL395" s="119"/>
      <c r="UGM395" s="104"/>
      <c r="UGN395" s="455"/>
      <c r="UGO395" s="104"/>
      <c r="UGP395" s="104"/>
      <c r="UGQ395" s="109"/>
      <c r="UGR395" s="104"/>
      <c r="UGS395" s="104"/>
      <c r="UGT395" s="119"/>
      <c r="UGU395" s="104"/>
      <c r="UGV395" s="455"/>
      <c r="UGW395" s="104"/>
      <c r="UGX395" s="104"/>
      <c r="UGY395" s="109"/>
      <c r="UGZ395" s="104"/>
      <c r="UHA395" s="104"/>
      <c r="UHB395" s="119"/>
      <c r="UHC395" s="104"/>
      <c r="UHD395" s="455"/>
      <c r="UHE395" s="104"/>
      <c r="UHF395" s="104"/>
      <c r="UHG395" s="109"/>
      <c r="UHH395" s="104"/>
      <c r="UHI395" s="104"/>
      <c r="UHJ395" s="119"/>
      <c r="UHK395" s="104"/>
      <c r="UHL395" s="455"/>
      <c r="UHM395" s="104"/>
      <c r="UHN395" s="104"/>
      <c r="UHO395" s="109"/>
      <c r="UHP395" s="104"/>
      <c r="UHQ395" s="104"/>
      <c r="UHR395" s="119"/>
      <c r="UHS395" s="104"/>
      <c r="UHT395" s="455"/>
      <c r="UHU395" s="104"/>
      <c r="UHV395" s="104"/>
      <c r="UHW395" s="109"/>
      <c r="UHX395" s="104"/>
      <c r="UHY395" s="104"/>
      <c r="UHZ395" s="119"/>
      <c r="UIA395" s="104"/>
      <c r="UIB395" s="455"/>
      <c r="UIC395" s="104"/>
      <c r="UID395" s="104"/>
      <c r="UIE395" s="109"/>
      <c r="UIF395" s="104"/>
      <c r="UIG395" s="104"/>
      <c r="UIH395" s="119"/>
      <c r="UII395" s="104"/>
      <c r="UIJ395" s="455"/>
      <c r="UIK395" s="104"/>
      <c r="UIL395" s="104"/>
      <c r="UIM395" s="109"/>
      <c r="UIN395" s="104"/>
      <c r="UIO395" s="104"/>
      <c r="UIP395" s="119"/>
      <c r="UIQ395" s="104"/>
      <c r="UIR395" s="455"/>
      <c r="UIS395" s="104"/>
      <c r="UIT395" s="104"/>
      <c r="UIU395" s="109"/>
      <c r="UIV395" s="104"/>
      <c r="UIW395" s="104"/>
      <c r="UIX395" s="119"/>
      <c r="UIY395" s="104"/>
      <c r="UIZ395" s="455"/>
      <c r="UJA395" s="104"/>
      <c r="UJB395" s="104"/>
      <c r="UJC395" s="109"/>
      <c r="UJD395" s="104"/>
      <c r="UJE395" s="104"/>
      <c r="UJF395" s="119"/>
      <c r="UJG395" s="104"/>
      <c r="UJH395" s="455"/>
      <c r="UJI395" s="104"/>
      <c r="UJJ395" s="104"/>
      <c r="UJK395" s="109"/>
      <c r="UJL395" s="104"/>
      <c r="UJM395" s="104"/>
      <c r="UJN395" s="119"/>
      <c r="UJO395" s="104"/>
      <c r="UJP395" s="455"/>
      <c r="UJQ395" s="104"/>
      <c r="UJR395" s="104"/>
      <c r="UJS395" s="109"/>
      <c r="UJT395" s="104"/>
      <c r="UJU395" s="104"/>
      <c r="UJV395" s="119"/>
      <c r="UJW395" s="104"/>
      <c r="UJX395" s="455"/>
      <c r="UJY395" s="104"/>
      <c r="UJZ395" s="104"/>
      <c r="UKA395" s="109"/>
      <c r="UKB395" s="104"/>
      <c r="UKC395" s="104"/>
      <c r="UKD395" s="119"/>
      <c r="UKE395" s="104"/>
      <c r="UKF395" s="455"/>
      <c r="UKG395" s="104"/>
      <c r="UKH395" s="104"/>
      <c r="UKI395" s="109"/>
      <c r="UKJ395" s="104"/>
      <c r="UKK395" s="104"/>
      <c r="UKL395" s="119"/>
      <c r="UKM395" s="104"/>
      <c r="UKN395" s="455"/>
      <c r="UKO395" s="104"/>
      <c r="UKP395" s="104"/>
      <c r="UKQ395" s="109"/>
      <c r="UKR395" s="104"/>
      <c r="UKS395" s="104"/>
      <c r="UKT395" s="119"/>
      <c r="UKU395" s="104"/>
      <c r="UKV395" s="455"/>
      <c r="UKW395" s="104"/>
      <c r="UKX395" s="104"/>
      <c r="UKY395" s="109"/>
      <c r="UKZ395" s="104"/>
      <c r="ULA395" s="104"/>
      <c r="ULB395" s="119"/>
      <c r="ULC395" s="104"/>
      <c r="ULD395" s="455"/>
      <c r="ULE395" s="104"/>
      <c r="ULF395" s="104"/>
      <c r="ULG395" s="109"/>
      <c r="ULH395" s="104"/>
      <c r="ULI395" s="104"/>
      <c r="ULJ395" s="119"/>
      <c r="ULK395" s="104"/>
      <c r="ULL395" s="455"/>
      <c r="ULM395" s="104"/>
      <c r="ULN395" s="104"/>
      <c r="ULO395" s="109"/>
      <c r="ULP395" s="104"/>
      <c r="ULQ395" s="104"/>
      <c r="ULR395" s="119"/>
      <c r="ULS395" s="104"/>
      <c r="ULT395" s="455"/>
      <c r="ULU395" s="104"/>
      <c r="ULV395" s="104"/>
      <c r="ULW395" s="109"/>
      <c r="ULX395" s="104"/>
      <c r="ULY395" s="104"/>
      <c r="ULZ395" s="119"/>
      <c r="UMA395" s="104"/>
      <c r="UMB395" s="455"/>
      <c r="UMC395" s="104"/>
      <c r="UMD395" s="104"/>
      <c r="UME395" s="109"/>
      <c r="UMF395" s="104"/>
      <c r="UMG395" s="104"/>
      <c r="UMH395" s="119"/>
      <c r="UMI395" s="104"/>
      <c r="UMJ395" s="455"/>
      <c r="UMK395" s="104"/>
      <c r="UML395" s="104"/>
      <c r="UMM395" s="109"/>
      <c r="UMN395" s="104"/>
      <c r="UMO395" s="104"/>
      <c r="UMP395" s="119"/>
      <c r="UMQ395" s="104"/>
      <c r="UMR395" s="455"/>
      <c r="UMS395" s="104"/>
      <c r="UMT395" s="104"/>
      <c r="UMU395" s="109"/>
      <c r="UMV395" s="104"/>
      <c r="UMW395" s="104"/>
      <c r="UMX395" s="119"/>
      <c r="UMY395" s="104"/>
      <c r="UMZ395" s="455"/>
      <c r="UNA395" s="104"/>
      <c r="UNB395" s="104"/>
      <c r="UNC395" s="109"/>
      <c r="UND395" s="104"/>
      <c r="UNE395" s="104"/>
      <c r="UNF395" s="119"/>
      <c r="UNG395" s="104"/>
      <c r="UNH395" s="455"/>
      <c r="UNI395" s="104"/>
      <c r="UNJ395" s="104"/>
      <c r="UNK395" s="109"/>
      <c r="UNL395" s="104"/>
      <c r="UNM395" s="104"/>
      <c r="UNN395" s="119"/>
      <c r="UNO395" s="104"/>
      <c r="UNP395" s="455"/>
      <c r="UNQ395" s="104"/>
      <c r="UNR395" s="104"/>
      <c r="UNS395" s="109"/>
      <c r="UNT395" s="104"/>
      <c r="UNU395" s="104"/>
      <c r="UNV395" s="119"/>
      <c r="UNW395" s="104"/>
      <c r="UNX395" s="455"/>
      <c r="UNY395" s="104"/>
      <c r="UNZ395" s="104"/>
      <c r="UOA395" s="109"/>
      <c r="UOB395" s="104"/>
      <c r="UOC395" s="104"/>
      <c r="UOD395" s="119"/>
      <c r="UOE395" s="104"/>
      <c r="UOF395" s="455"/>
      <c r="UOG395" s="104"/>
      <c r="UOH395" s="104"/>
      <c r="UOI395" s="109"/>
      <c r="UOJ395" s="104"/>
      <c r="UOK395" s="104"/>
      <c r="UOL395" s="119"/>
      <c r="UOM395" s="104"/>
      <c r="UON395" s="455"/>
      <c r="UOO395" s="104"/>
      <c r="UOP395" s="104"/>
      <c r="UOQ395" s="109"/>
      <c r="UOR395" s="104"/>
      <c r="UOS395" s="104"/>
      <c r="UOT395" s="119"/>
      <c r="UOU395" s="104"/>
      <c r="UOV395" s="455"/>
      <c r="UOW395" s="104"/>
      <c r="UOX395" s="104"/>
      <c r="UOY395" s="109"/>
      <c r="UOZ395" s="104"/>
      <c r="UPA395" s="104"/>
      <c r="UPB395" s="119"/>
      <c r="UPC395" s="104"/>
      <c r="UPD395" s="455"/>
      <c r="UPE395" s="104"/>
      <c r="UPF395" s="104"/>
      <c r="UPG395" s="109"/>
      <c r="UPH395" s="104"/>
      <c r="UPI395" s="104"/>
      <c r="UPJ395" s="119"/>
      <c r="UPK395" s="104"/>
      <c r="UPL395" s="455"/>
      <c r="UPM395" s="104"/>
      <c r="UPN395" s="104"/>
      <c r="UPO395" s="109"/>
      <c r="UPP395" s="104"/>
      <c r="UPQ395" s="104"/>
      <c r="UPR395" s="119"/>
      <c r="UPS395" s="104"/>
      <c r="UPT395" s="455"/>
      <c r="UPU395" s="104"/>
      <c r="UPV395" s="104"/>
      <c r="UPW395" s="109"/>
      <c r="UPX395" s="104"/>
      <c r="UPY395" s="104"/>
      <c r="UPZ395" s="119"/>
      <c r="UQA395" s="104"/>
      <c r="UQB395" s="455"/>
      <c r="UQC395" s="104"/>
      <c r="UQD395" s="104"/>
      <c r="UQE395" s="109"/>
      <c r="UQF395" s="104"/>
      <c r="UQG395" s="104"/>
      <c r="UQH395" s="119"/>
      <c r="UQI395" s="104"/>
      <c r="UQJ395" s="455"/>
      <c r="UQK395" s="104"/>
      <c r="UQL395" s="104"/>
      <c r="UQM395" s="109"/>
      <c r="UQN395" s="104"/>
      <c r="UQO395" s="104"/>
      <c r="UQP395" s="119"/>
      <c r="UQQ395" s="104"/>
      <c r="UQR395" s="455"/>
      <c r="UQS395" s="104"/>
      <c r="UQT395" s="104"/>
      <c r="UQU395" s="109"/>
      <c r="UQV395" s="104"/>
      <c r="UQW395" s="104"/>
      <c r="UQX395" s="119"/>
      <c r="UQY395" s="104"/>
      <c r="UQZ395" s="455"/>
      <c r="URA395" s="104"/>
      <c r="URB395" s="104"/>
      <c r="URC395" s="109"/>
      <c r="URD395" s="104"/>
      <c r="URE395" s="104"/>
      <c r="URF395" s="119"/>
      <c r="URG395" s="104"/>
      <c r="URH395" s="455"/>
      <c r="URI395" s="104"/>
      <c r="URJ395" s="104"/>
      <c r="URK395" s="109"/>
      <c r="URL395" s="104"/>
      <c r="URM395" s="104"/>
      <c r="URN395" s="119"/>
      <c r="URO395" s="104"/>
      <c r="URP395" s="455"/>
      <c r="URQ395" s="104"/>
      <c r="URR395" s="104"/>
      <c r="URS395" s="109"/>
      <c r="URT395" s="104"/>
      <c r="URU395" s="104"/>
      <c r="URV395" s="119"/>
      <c r="URW395" s="104"/>
      <c r="URX395" s="455"/>
      <c r="URY395" s="104"/>
      <c r="URZ395" s="104"/>
      <c r="USA395" s="109"/>
      <c r="USB395" s="104"/>
      <c r="USC395" s="104"/>
      <c r="USD395" s="119"/>
      <c r="USE395" s="104"/>
      <c r="USF395" s="455"/>
      <c r="USG395" s="104"/>
      <c r="USH395" s="104"/>
      <c r="USI395" s="109"/>
      <c r="USJ395" s="104"/>
      <c r="USK395" s="104"/>
      <c r="USL395" s="119"/>
      <c r="USM395" s="104"/>
      <c r="USN395" s="455"/>
      <c r="USO395" s="104"/>
      <c r="USP395" s="104"/>
      <c r="USQ395" s="109"/>
      <c r="USR395" s="104"/>
      <c r="USS395" s="104"/>
      <c r="UST395" s="119"/>
      <c r="USU395" s="104"/>
      <c r="USV395" s="455"/>
      <c r="USW395" s="104"/>
      <c r="USX395" s="104"/>
      <c r="USY395" s="109"/>
      <c r="USZ395" s="104"/>
      <c r="UTA395" s="104"/>
      <c r="UTB395" s="119"/>
      <c r="UTC395" s="104"/>
      <c r="UTD395" s="455"/>
      <c r="UTE395" s="104"/>
      <c r="UTF395" s="104"/>
      <c r="UTG395" s="109"/>
      <c r="UTH395" s="104"/>
      <c r="UTI395" s="104"/>
      <c r="UTJ395" s="119"/>
      <c r="UTK395" s="104"/>
      <c r="UTL395" s="455"/>
      <c r="UTM395" s="104"/>
      <c r="UTN395" s="104"/>
      <c r="UTO395" s="109"/>
      <c r="UTP395" s="104"/>
      <c r="UTQ395" s="104"/>
      <c r="UTR395" s="119"/>
      <c r="UTS395" s="104"/>
      <c r="UTT395" s="455"/>
      <c r="UTU395" s="104"/>
      <c r="UTV395" s="104"/>
      <c r="UTW395" s="109"/>
      <c r="UTX395" s="104"/>
      <c r="UTY395" s="104"/>
      <c r="UTZ395" s="119"/>
      <c r="UUA395" s="104"/>
      <c r="UUB395" s="455"/>
      <c r="UUC395" s="104"/>
      <c r="UUD395" s="104"/>
      <c r="UUE395" s="109"/>
      <c r="UUF395" s="104"/>
      <c r="UUG395" s="104"/>
      <c r="UUH395" s="119"/>
      <c r="UUI395" s="104"/>
      <c r="UUJ395" s="455"/>
      <c r="UUK395" s="104"/>
      <c r="UUL395" s="104"/>
      <c r="UUM395" s="109"/>
      <c r="UUN395" s="104"/>
      <c r="UUO395" s="104"/>
      <c r="UUP395" s="119"/>
      <c r="UUQ395" s="104"/>
      <c r="UUR395" s="455"/>
      <c r="UUS395" s="104"/>
      <c r="UUT395" s="104"/>
      <c r="UUU395" s="109"/>
      <c r="UUV395" s="104"/>
      <c r="UUW395" s="104"/>
      <c r="UUX395" s="119"/>
      <c r="UUY395" s="104"/>
      <c r="UUZ395" s="455"/>
      <c r="UVA395" s="104"/>
      <c r="UVB395" s="104"/>
      <c r="UVC395" s="109"/>
      <c r="UVD395" s="104"/>
      <c r="UVE395" s="104"/>
      <c r="UVF395" s="119"/>
      <c r="UVG395" s="104"/>
      <c r="UVH395" s="455"/>
      <c r="UVI395" s="104"/>
      <c r="UVJ395" s="104"/>
      <c r="UVK395" s="109"/>
      <c r="UVL395" s="104"/>
      <c r="UVM395" s="104"/>
      <c r="UVN395" s="119"/>
      <c r="UVO395" s="104"/>
      <c r="UVP395" s="455"/>
      <c r="UVQ395" s="104"/>
      <c r="UVR395" s="104"/>
      <c r="UVS395" s="109"/>
      <c r="UVT395" s="104"/>
      <c r="UVU395" s="104"/>
      <c r="UVV395" s="119"/>
      <c r="UVW395" s="104"/>
      <c r="UVX395" s="455"/>
      <c r="UVY395" s="104"/>
      <c r="UVZ395" s="104"/>
      <c r="UWA395" s="109"/>
      <c r="UWB395" s="104"/>
      <c r="UWC395" s="104"/>
      <c r="UWD395" s="119"/>
      <c r="UWE395" s="104"/>
      <c r="UWF395" s="455"/>
      <c r="UWG395" s="104"/>
      <c r="UWH395" s="104"/>
      <c r="UWI395" s="109"/>
      <c r="UWJ395" s="104"/>
      <c r="UWK395" s="104"/>
      <c r="UWL395" s="119"/>
      <c r="UWM395" s="104"/>
      <c r="UWN395" s="455"/>
      <c r="UWO395" s="104"/>
      <c r="UWP395" s="104"/>
      <c r="UWQ395" s="109"/>
      <c r="UWR395" s="104"/>
      <c r="UWS395" s="104"/>
      <c r="UWT395" s="119"/>
      <c r="UWU395" s="104"/>
      <c r="UWV395" s="455"/>
      <c r="UWW395" s="104"/>
      <c r="UWX395" s="104"/>
      <c r="UWY395" s="109"/>
      <c r="UWZ395" s="104"/>
      <c r="UXA395" s="104"/>
      <c r="UXB395" s="119"/>
      <c r="UXC395" s="104"/>
      <c r="UXD395" s="455"/>
      <c r="UXE395" s="104"/>
      <c r="UXF395" s="104"/>
      <c r="UXG395" s="109"/>
      <c r="UXH395" s="104"/>
      <c r="UXI395" s="104"/>
      <c r="UXJ395" s="119"/>
      <c r="UXK395" s="104"/>
      <c r="UXL395" s="455"/>
      <c r="UXM395" s="104"/>
      <c r="UXN395" s="104"/>
      <c r="UXO395" s="109"/>
      <c r="UXP395" s="104"/>
      <c r="UXQ395" s="104"/>
      <c r="UXR395" s="119"/>
      <c r="UXS395" s="104"/>
      <c r="UXT395" s="455"/>
      <c r="UXU395" s="104"/>
      <c r="UXV395" s="104"/>
      <c r="UXW395" s="109"/>
      <c r="UXX395" s="104"/>
      <c r="UXY395" s="104"/>
      <c r="UXZ395" s="119"/>
      <c r="UYA395" s="104"/>
      <c r="UYB395" s="455"/>
      <c r="UYC395" s="104"/>
      <c r="UYD395" s="104"/>
      <c r="UYE395" s="109"/>
      <c r="UYF395" s="104"/>
      <c r="UYG395" s="104"/>
      <c r="UYH395" s="119"/>
      <c r="UYI395" s="104"/>
      <c r="UYJ395" s="455"/>
      <c r="UYK395" s="104"/>
      <c r="UYL395" s="104"/>
      <c r="UYM395" s="109"/>
      <c r="UYN395" s="104"/>
      <c r="UYO395" s="104"/>
      <c r="UYP395" s="119"/>
      <c r="UYQ395" s="104"/>
      <c r="UYR395" s="455"/>
      <c r="UYS395" s="104"/>
      <c r="UYT395" s="104"/>
      <c r="UYU395" s="109"/>
      <c r="UYV395" s="104"/>
      <c r="UYW395" s="104"/>
      <c r="UYX395" s="119"/>
      <c r="UYY395" s="104"/>
      <c r="UYZ395" s="455"/>
      <c r="UZA395" s="104"/>
      <c r="UZB395" s="104"/>
      <c r="UZC395" s="109"/>
      <c r="UZD395" s="104"/>
      <c r="UZE395" s="104"/>
      <c r="UZF395" s="119"/>
      <c r="UZG395" s="104"/>
      <c r="UZH395" s="455"/>
      <c r="UZI395" s="104"/>
      <c r="UZJ395" s="104"/>
      <c r="UZK395" s="109"/>
      <c r="UZL395" s="104"/>
      <c r="UZM395" s="104"/>
      <c r="UZN395" s="119"/>
      <c r="UZO395" s="104"/>
      <c r="UZP395" s="455"/>
      <c r="UZQ395" s="104"/>
      <c r="UZR395" s="104"/>
      <c r="UZS395" s="109"/>
      <c r="UZT395" s="104"/>
      <c r="UZU395" s="104"/>
      <c r="UZV395" s="119"/>
      <c r="UZW395" s="104"/>
      <c r="UZX395" s="455"/>
      <c r="UZY395" s="104"/>
      <c r="UZZ395" s="104"/>
      <c r="VAA395" s="109"/>
      <c r="VAB395" s="104"/>
      <c r="VAC395" s="104"/>
      <c r="VAD395" s="119"/>
      <c r="VAE395" s="104"/>
      <c r="VAF395" s="455"/>
      <c r="VAG395" s="104"/>
      <c r="VAH395" s="104"/>
      <c r="VAI395" s="109"/>
      <c r="VAJ395" s="104"/>
      <c r="VAK395" s="104"/>
      <c r="VAL395" s="119"/>
      <c r="VAM395" s="104"/>
      <c r="VAN395" s="455"/>
      <c r="VAO395" s="104"/>
      <c r="VAP395" s="104"/>
      <c r="VAQ395" s="109"/>
      <c r="VAR395" s="104"/>
      <c r="VAS395" s="104"/>
      <c r="VAT395" s="119"/>
      <c r="VAU395" s="104"/>
      <c r="VAV395" s="455"/>
      <c r="VAW395" s="104"/>
      <c r="VAX395" s="104"/>
      <c r="VAY395" s="109"/>
      <c r="VAZ395" s="104"/>
      <c r="VBA395" s="104"/>
      <c r="VBB395" s="119"/>
      <c r="VBC395" s="104"/>
      <c r="VBD395" s="455"/>
      <c r="VBE395" s="104"/>
      <c r="VBF395" s="104"/>
      <c r="VBG395" s="109"/>
      <c r="VBH395" s="104"/>
      <c r="VBI395" s="104"/>
      <c r="VBJ395" s="119"/>
      <c r="VBK395" s="104"/>
      <c r="VBL395" s="455"/>
      <c r="VBM395" s="104"/>
      <c r="VBN395" s="104"/>
      <c r="VBO395" s="109"/>
      <c r="VBP395" s="104"/>
      <c r="VBQ395" s="104"/>
      <c r="VBR395" s="119"/>
      <c r="VBS395" s="104"/>
      <c r="VBT395" s="455"/>
      <c r="VBU395" s="104"/>
      <c r="VBV395" s="104"/>
      <c r="VBW395" s="109"/>
      <c r="VBX395" s="104"/>
      <c r="VBY395" s="104"/>
      <c r="VBZ395" s="119"/>
      <c r="VCA395" s="104"/>
      <c r="VCB395" s="455"/>
      <c r="VCC395" s="104"/>
      <c r="VCD395" s="104"/>
      <c r="VCE395" s="109"/>
      <c r="VCF395" s="104"/>
      <c r="VCG395" s="104"/>
      <c r="VCH395" s="119"/>
      <c r="VCI395" s="104"/>
      <c r="VCJ395" s="455"/>
      <c r="VCK395" s="104"/>
      <c r="VCL395" s="104"/>
      <c r="VCM395" s="109"/>
      <c r="VCN395" s="104"/>
      <c r="VCO395" s="104"/>
      <c r="VCP395" s="119"/>
      <c r="VCQ395" s="104"/>
      <c r="VCR395" s="455"/>
      <c r="VCS395" s="104"/>
      <c r="VCT395" s="104"/>
      <c r="VCU395" s="109"/>
      <c r="VCV395" s="104"/>
      <c r="VCW395" s="104"/>
      <c r="VCX395" s="119"/>
      <c r="VCY395" s="104"/>
      <c r="VCZ395" s="455"/>
      <c r="VDA395" s="104"/>
      <c r="VDB395" s="104"/>
      <c r="VDC395" s="109"/>
      <c r="VDD395" s="104"/>
      <c r="VDE395" s="104"/>
      <c r="VDF395" s="119"/>
      <c r="VDG395" s="104"/>
      <c r="VDH395" s="455"/>
      <c r="VDI395" s="104"/>
      <c r="VDJ395" s="104"/>
      <c r="VDK395" s="109"/>
      <c r="VDL395" s="104"/>
      <c r="VDM395" s="104"/>
      <c r="VDN395" s="119"/>
      <c r="VDO395" s="104"/>
      <c r="VDP395" s="455"/>
      <c r="VDQ395" s="104"/>
      <c r="VDR395" s="104"/>
      <c r="VDS395" s="109"/>
      <c r="VDT395" s="104"/>
      <c r="VDU395" s="104"/>
      <c r="VDV395" s="119"/>
      <c r="VDW395" s="104"/>
      <c r="VDX395" s="455"/>
      <c r="VDY395" s="104"/>
      <c r="VDZ395" s="104"/>
      <c r="VEA395" s="109"/>
      <c r="VEB395" s="104"/>
      <c r="VEC395" s="104"/>
      <c r="VED395" s="119"/>
      <c r="VEE395" s="104"/>
      <c r="VEF395" s="455"/>
      <c r="VEG395" s="104"/>
      <c r="VEH395" s="104"/>
      <c r="VEI395" s="109"/>
      <c r="VEJ395" s="104"/>
      <c r="VEK395" s="104"/>
      <c r="VEL395" s="119"/>
      <c r="VEM395" s="104"/>
      <c r="VEN395" s="455"/>
      <c r="VEO395" s="104"/>
      <c r="VEP395" s="104"/>
      <c r="VEQ395" s="109"/>
      <c r="VER395" s="104"/>
      <c r="VES395" s="104"/>
      <c r="VET395" s="119"/>
      <c r="VEU395" s="104"/>
      <c r="VEV395" s="455"/>
      <c r="VEW395" s="104"/>
      <c r="VEX395" s="104"/>
      <c r="VEY395" s="109"/>
      <c r="VEZ395" s="104"/>
      <c r="VFA395" s="104"/>
      <c r="VFB395" s="119"/>
      <c r="VFC395" s="104"/>
      <c r="VFD395" s="455"/>
      <c r="VFE395" s="104"/>
      <c r="VFF395" s="104"/>
      <c r="VFG395" s="109"/>
      <c r="VFH395" s="104"/>
      <c r="VFI395" s="104"/>
      <c r="VFJ395" s="119"/>
      <c r="VFK395" s="104"/>
      <c r="VFL395" s="455"/>
      <c r="VFM395" s="104"/>
      <c r="VFN395" s="104"/>
      <c r="VFO395" s="109"/>
      <c r="VFP395" s="104"/>
      <c r="VFQ395" s="104"/>
      <c r="VFR395" s="119"/>
      <c r="VFS395" s="104"/>
      <c r="VFT395" s="455"/>
      <c r="VFU395" s="104"/>
      <c r="VFV395" s="104"/>
      <c r="VFW395" s="109"/>
      <c r="VFX395" s="104"/>
      <c r="VFY395" s="104"/>
      <c r="VFZ395" s="119"/>
      <c r="VGA395" s="104"/>
      <c r="VGB395" s="455"/>
      <c r="VGC395" s="104"/>
      <c r="VGD395" s="104"/>
      <c r="VGE395" s="109"/>
      <c r="VGF395" s="104"/>
      <c r="VGG395" s="104"/>
      <c r="VGH395" s="119"/>
      <c r="VGI395" s="104"/>
      <c r="VGJ395" s="455"/>
      <c r="VGK395" s="104"/>
      <c r="VGL395" s="104"/>
      <c r="VGM395" s="109"/>
      <c r="VGN395" s="104"/>
      <c r="VGO395" s="104"/>
      <c r="VGP395" s="119"/>
      <c r="VGQ395" s="104"/>
      <c r="VGR395" s="455"/>
      <c r="VGS395" s="104"/>
      <c r="VGT395" s="104"/>
      <c r="VGU395" s="109"/>
      <c r="VGV395" s="104"/>
      <c r="VGW395" s="104"/>
      <c r="VGX395" s="119"/>
      <c r="VGY395" s="104"/>
      <c r="VGZ395" s="455"/>
      <c r="VHA395" s="104"/>
      <c r="VHB395" s="104"/>
      <c r="VHC395" s="109"/>
      <c r="VHD395" s="104"/>
      <c r="VHE395" s="104"/>
      <c r="VHF395" s="119"/>
      <c r="VHG395" s="104"/>
      <c r="VHH395" s="455"/>
      <c r="VHI395" s="104"/>
      <c r="VHJ395" s="104"/>
      <c r="VHK395" s="109"/>
      <c r="VHL395" s="104"/>
      <c r="VHM395" s="104"/>
      <c r="VHN395" s="119"/>
      <c r="VHO395" s="104"/>
      <c r="VHP395" s="455"/>
      <c r="VHQ395" s="104"/>
      <c r="VHR395" s="104"/>
      <c r="VHS395" s="109"/>
      <c r="VHT395" s="104"/>
      <c r="VHU395" s="104"/>
      <c r="VHV395" s="119"/>
      <c r="VHW395" s="104"/>
      <c r="VHX395" s="455"/>
      <c r="VHY395" s="104"/>
      <c r="VHZ395" s="104"/>
      <c r="VIA395" s="109"/>
      <c r="VIB395" s="104"/>
      <c r="VIC395" s="104"/>
      <c r="VID395" s="119"/>
      <c r="VIE395" s="104"/>
      <c r="VIF395" s="455"/>
      <c r="VIG395" s="104"/>
      <c r="VIH395" s="104"/>
      <c r="VII395" s="109"/>
      <c r="VIJ395" s="104"/>
      <c r="VIK395" s="104"/>
      <c r="VIL395" s="119"/>
      <c r="VIM395" s="104"/>
      <c r="VIN395" s="455"/>
      <c r="VIO395" s="104"/>
      <c r="VIP395" s="104"/>
      <c r="VIQ395" s="109"/>
      <c r="VIR395" s="104"/>
      <c r="VIS395" s="104"/>
      <c r="VIT395" s="119"/>
      <c r="VIU395" s="104"/>
      <c r="VIV395" s="455"/>
      <c r="VIW395" s="104"/>
      <c r="VIX395" s="104"/>
      <c r="VIY395" s="109"/>
      <c r="VIZ395" s="104"/>
      <c r="VJA395" s="104"/>
      <c r="VJB395" s="119"/>
      <c r="VJC395" s="104"/>
      <c r="VJD395" s="455"/>
      <c r="VJE395" s="104"/>
      <c r="VJF395" s="104"/>
      <c r="VJG395" s="109"/>
      <c r="VJH395" s="104"/>
      <c r="VJI395" s="104"/>
      <c r="VJJ395" s="119"/>
      <c r="VJK395" s="104"/>
      <c r="VJL395" s="455"/>
      <c r="VJM395" s="104"/>
      <c r="VJN395" s="104"/>
      <c r="VJO395" s="109"/>
      <c r="VJP395" s="104"/>
      <c r="VJQ395" s="104"/>
      <c r="VJR395" s="119"/>
      <c r="VJS395" s="104"/>
      <c r="VJT395" s="455"/>
      <c r="VJU395" s="104"/>
      <c r="VJV395" s="104"/>
      <c r="VJW395" s="109"/>
      <c r="VJX395" s="104"/>
      <c r="VJY395" s="104"/>
      <c r="VJZ395" s="119"/>
      <c r="VKA395" s="104"/>
      <c r="VKB395" s="455"/>
      <c r="VKC395" s="104"/>
      <c r="VKD395" s="104"/>
      <c r="VKE395" s="109"/>
      <c r="VKF395" s="104"/>
      <c r="VKG395" s="104"/>
      <c r="VKH395" s="119"/>
      <c r="VKI395" s="104"/>
      <c r="VKJ395" s="455"/>
      <c r="VKK395" s="104"/>
      <c r="VKL395" s="104"/>
      <c r="VKM395" s="109"/>
      <c r="VKN395" s="104"/>
      <c r="VKO395" s="104"/>
      <c r="VKP395" s="119"/>
      <c r="VKQ395" s="104"/>
      <c r="VKR395" s="455"/>
      <c r="VKS395" s="104"/>
      <c r="VKT395" s="104"/>
      <c r="VKU395" s="109"/>
      <c r="VKV395" s="104"/>
      <c r="VKW395" s="104"/>
      <c r="VKX395" s="119"/>
      <c r="VKY395" s="104"/>
      <c r="VKZ395" s="455"/>
      <c r="VLA395" s="104"/>
      <c r="VLB395" s="104"/>
      <c r="VLC395" s="109"/>
      <c r="VLD395" s="104"/>
      <c r="VLE395" s="104"/>
      <c r="VLF395" s="119"/>
      <c r="VLG395" s="104"/>
      <c r="VLH395" s="455"/>
      <c r="VLI395" s="104"/>
      <c r="VLJ395" s="104"/>
      <c r="VLK395" s="109"/>
      <c r="VLL395" s="104"/>
      <c r="VLM395" s="104"/>
      <c r="VLN395" s="119"/>
      <c r="VLO395" s="104"/>
      <c r="VLP395" s="455"/>
      <c r="VLQ395" s="104"/>
      <c r="VLR395" s="104"/>
      <c r="VLS395" s="109"/>
      <c r="VLT395" s="104"/>
      <c r="VLU395" s="104"/>
      <c r="VLV395" s="119"/>
      <c r="VLW395" s="104"/>
      <c r="VLX395" s="455"/>
      <c r="VLY395" s="104"/>
      <c r="VLZ395" s="104"/>
      <c r="VMA395" s="109"/>
      <c r="VMB395" s="104"/>
      <c r="VMC395" s="104"/>
      <c r="VMD395" s="119"/>
      <c r="VME395" s="104"/>
      <c r="VMF395" s="455"/>
      <c r="VMG395" s="104"/>
      <c r="VMH395" s="104"/>
      <c r="VMI395" s="109"/>
      <c r="VMJ395" s="104"/>
      <c r="VMK395" s="104"/>
      <c r="VML395" s="119"/>
      <c r="VMM395" s="104"/>
      <c r="VMN395" s="455"/>
      <c r="VMO395" s="104"/>
      <c r="VMP395" s="104"/>
      <c r="VMQ395" s="109"/>
      <c r="VMR395" s="104"/>
      <c r="VMS395" s="104"/>
      <c r="VMT395" s="119"/>
      <c r="VMU395" s="104"/>
      <c r="VMV395" s="455"/>
      <c r="VMW395" s="104"/>
      <c r="VMX395" s="104"/>
      <c r="VMY395" s="109"/>
      <c r="VMZ395" s="104"/>
      <c r="VNA395" s="104"/>
      <c r="VNB395" s="119"/>
      <c r="VNC395" s="104"/>
      <c r="VND395" s="455"/>
      <c r="VNE395" s="104"/>
      <c r="VNF395" s="104"/>
      <c r="VNG395" s="109"/>
      <c r="VNH395" s="104"/>
      <c r="VNI395" s="104"/>
      <c r="VNJ395" s="119"/>
      <c r="VNK395" s="104"/>
      <c r="VNL395" s="455"/>
      <c r="VNM395" s="104"/>
      <c r="VNN395" s="104"/>
      <c r="VNO395" s="109"/>
      <c r="VNP395" s="104"/>
      <c r="VNQ395" s="104"/>
      <c r="VNR395" s="119"/>
      <c r="VNS395" s="104"/>
      <c r="VNT395" s="455"/>
      <c r="VNU395" s="104"/>
      <c r="VNV395" s="104"/>
      <c r="VNW395" s="109"/>
      <c r="VNX395" s="104"/>
      <c r="VNY395" s="104"/>
      <c r="VNZ395" s="119"/>
      <c r="VOA395" s="104"/>
      <c r="VOB395" s="455"/>
      <c r="VOC395" s="104"/>
      <c r="VOD395" s="104"/>
      <c r="VOE395" s="109"/>
      <c r="VOF395" s="104"/>
      <c r="VOG395" s="104"/>
      <c r="VOH395" s="119"/>
      <c r="VOI395" s="104"/>
      <c r="VOJ395" s="455"/>
      <c r="VOK395" s="104"/>
      <c r="VOL395" s="104"/>
      <c r="VOM395" s="109"/>
      <c r="VON395" s="104"/>
      <c r="VOO395" s="104"/>
      <c r="VOP395" s="119"/>
      <c r="VOQ395" s="104"/>
      <c r="VOR395" s="455"/>
      <c r="VOS395" s="104"/>
      <c r="VOT395" s="104"/>
      <c r="VOU395" s="109"/>
      <c r="VOV395" s="104"/>
      <c r="VOW395" s="104"/>
      <c r="VOX395" s="119"/>
      <c r="VOY395" s="104"/>
      <c r="VOZ395" s="455"/>
      <c r="VPA395" s="104"/>
      <c r="VPB395" s="104"/>
      <c r="VPC395" s="109"/>
      <c r="VPD395" s="104"/>
      <c r="VPE395" s="104"/>
      <c r="VPF395" s="119"/>
      <c r="VPG395" s="104"/>
      <c r="VPH395" s="455"/>
      <c r="VPI395" s="104"/>
      <c r="VPJ395" s="104"/>
      <c r="VPK395" s="109"/>
      <c r="VPL395" s="104"/>
      <c r="VPM395" s="104"/>
      <c r="VPN395" s="119"/>
      <c r="VPO395" s="104"/>
      <c r="VPP395" s="455"/>
      <c r="VPQ395" s="104"/>
      <c r="VPR395" s="104"/>
      <c r="VPS395" s="109"/>
      <c r="VPT395" s="104"/>
      <c r="VPU395" s="104"/>
      <c r="VPV395" s="119"/>
      <c r="VPW395" s="104"/>
      <c r="VPX395" s="455"/>
      <c r="VPY395" s="104"/>
      <c r="VPZ395" s="104"/>
      <c r="VQA395" s="109"/>
      <c r="VQB395" s="104"/>
      <c r="VQC395" s="104"/>
      <c r="VQD395" s="119"/>
      <c r="VQE395" s="104"/>
      <c r="VQF395" s="455"/>
      <c r="VQG395" s="104"/>
      <c r="VQH395" s="104"/>
      <c r="VQI395" s="109"/>
      <c r="VQJ395" s="104"/>
      <c r="VQK395" s="104"/>
      <c r="VQL395" s="119"/>
      <c r="VQM395" s="104"/>
      <c r="VQN395" s="455"/>
      <c r="VQO395" s="104"/>
      <c r="VQP395" s="104"/>
      <c r="VQQ395" s="109"/>
      <c r="VQR395" s="104"/>
      <c r="VQS395" s="104"/>
      <c r="VQT395" s="119"/>
      <c r="VQU395" s="104"/>
      <c r="VQV395" s="455"/>
      <c r="VQW395" s="104"/>
      <c r="VQX395" s="104"/>
      <c r="VQY395" s="109"/>
      <c r="VQZ395" s="104"/>
      <c r="VRA395" s="104"/>
      <c r="VRB395" s="119"/>
      <c r="VRC395" s="104"/>
      <c r="VRD395" s="455"/>
      <c r="VRE395" s="104"/>
      <c r="VRF395" s="104"/>
      <c r="VRG395" s="109"/>
      <c r="VRH395" s="104"/>
      <c r="VRI395" s="104"/>
      <c r="VRJ395" s="119"/>
      <c r="VRK395" s="104"/>
      <c r="VRL395" s="455"/>
      <c r="VRM395" s="104"/>
      <c r="VRN395" s="104"/>
      <c r="VRO395" s="109"/>
      <c r="VRP395" s="104"/>
      <c r="VRQ395" s="104"/>
      <c r="VRR395" s="119"/>
      <c r="VRS395" s="104"/>
      <c r="VRT395" s="455"/>
      <c r="VRU395" s="104"/>
      <c r="VRV395" s="104"/>
      <c r="VRW395" s="109"/>
      <c r="VRX395" s="104"/>
      <c r="VRY395" s="104"/>
      <c r="VRZ395" s="119"/>
      <c r="VSA395" s="104"/>
      <c r="VSB395" s="455"/>
      <c r="VSC395" s="104"/>
      <c r="VSD395" s="104"/>
      <c r="VSE395" s="109"/>
      <c r="VSF395" s="104"/>
      <c r="VSG395" s="104"/>
      <c r="VSH395" s="119"/>
      <c r="VSI395" s="104"/>
      <c r="VSJ395" s="455"/>
      <c r="VSK395" s="104"/>
      <c r="VSL395" s="104"/>
      <c r="VSM395" s="109"/>
      <c r="VSN395" s="104"/>
      <c r="VSO395" s="104"/>
      <c r="VSP395" s="119"/>
      <c r="VSQ395" s="104"/>
      <c r="VSR395" s="455"/>
      <c r="VSS395" s="104"/>
      <c r="VST395" s="104"/>
      <c r="VSU395" s="109"/>
      <c r="VSV395" s="104"/>
      <c r="VSW395" s="104"/>
      <c r="VSX395" s="119"/>
      <c r="VSY395" s="104"/>
      <c r="VSZ395" s="455"/>
      <c r="VTA395" s="104"/>
      <c r="VTB395" s="104"/>
      <c r="VTC395" s="109"/>
      <c r="VTD395" s="104"/>
      <c r="VTE395" s="104"/>
      <c r="VTF395" s="119"/>
      <c r="VTG395" s="104"/>
      <c r="VTH395" s="455"/>
      <c r="VTI395" s="104"/>
      <c r="VTJ395" s="104"/>
      <c r="VTK395" s="109"/>
      <c r="VTL395" s="104"/>
      <c r="VTM395" s="104"/>
      <c r="VTN395" s="119"/>
      <c r="VTO395" s="104"/>
      <c r="VTP395" s="455"/>
      <c r="VTQ395" s="104"/>
      <c r="VTR395" s="104"/>
      <c r="VTS395" s="109"/>
      <c r="VTT395" s="104"/>
      <c r="VTU395" s="104"/>
      <c r="VTV395" s="119"/>
      <c r="VTW395" s="104"/>
      <c r="VTX395" s="455"/>
      <c r="VTY395" s="104"/>
      <c r="VTZ395" s="104"/>
      <c r="VUA395" s="109"/>
      <c r="VUB395" s="104"/>
      <c r="VUC395" s="104"/>
      <c r="VUD395" s="119"/>
      <c r="VUE395" s="104"/>
      <c r="VUF395" s="455"/>
      <c r="VUG395" s="104"/>
      <c r="VUH395" s="104"/>
      <c r="VUI395" s="109"/>
      <c r="VUJ395" s="104"/>
      <c r="VUK395" s="104"/>
      <c r="VUL395" s="119"/>
      <c r="VUM395" s="104"/>
      <c r="VUN395" s="455"/>
      <c r="VUO395" s="104"/>
      <c r="VUP395" s="104"/>
      <c r="VUQ395" s="109"/>
      <c r="VUR395" s="104"/>
      <c r="VUS395" s="104"/>
      <c r="VUT395" s="119"/>
      <c r="VUU395" s="104"/>
      <c r="VUV395" s="455"/>
      <c r="VUW395" s="104"/>
      <c r="VUX395" s="104"/>
      <c r="VUY395" s="109"/>
      <c r="VUZ395" s="104"/>
      <c r="VVA395" s="104"/>
      <c r="VVB395" s="119"/>
      <c r="VVC395" s="104"/>
      <c r="VVD395" s="455"/>
      <c r="VVE395" s="104"/>
      <c r="VVF395" s="104"/>
      <c r="VVG395" s="109"/>
      <c r="VVH395" s="104"/>
      <c r="VVI395" s="104"/>
      <c r="VVJ395" s="119"/>
      <c r="VVK395" s="104"/>
      <c r="VVL395" s="455"/>
      <c r="VVM395" s="104"/>
      <c r="VVN395" s="104"/>
      <c r="VVO395" s="109"/>
      <c r="VVP395" s="104"/>
      <c r="VVQ395" s="104"/>
      <c r="VVR395" s="119"/>
      <c r="VVS395" s="104"/>
      <c r="VVT395" s="455"/>
      <c r="VVU395" s="104"/>
      <c r="VVV395" s="104"/>
      <c r="VVW395" s="109"/>
      <c r="VVX395" s="104"/>
      <c r="VVY395" s="104"/>
      <c r="VVZ395" s="119"/>
      <c r="VWA395" s="104"/>
      <c r="VWB395" s="455"/>
      <c r="VWC395" s="104"/>
      <c r="VWD395" s="104"/>
      <c r="VWE395" s="109"/>
      <c r="VWF395" s="104"/>
      <c r="VWG395" s="104"/>
      <c r="VWH395" s="119"/>
      <c r="VWI395" s="104"/>
      <c r="VWJ395" s="455"/>
      <c r="VWK395" s="104"/>
      <c r="VWL395" s="104"/>
      <c r="VWM395" s="109"/>
      <c r="VWN395" s="104"/>
      <c r="VWO395" s="104"/>
      <c r="VWP395" s="119"/>
      <c r="VWQ395" s="104"/>
      <c r="VWR395" s="455"/>
      <c r="VWS395" s="104"/>
      <c r="VWT395" s="104"/>
      <c r="VWU395" s="109"/>
      <c r="VWV395" s="104"/>
      <c r="VWW395" s="104"/>
      <c r="VWX395" s="119"/>
      <c r="VWY395" s="104"/>
      <c r="VWZ395" s="455"/>
      <c r="VXA395" s="104"/>
      <c r="VXB395" s="104"/>
      <c r="VXC395" s="109"/>
      <c r="VXD395" s="104"/>
      <c r="VXE395" s="104"/>
      <c r="VXF395" s="119"/>
      <c r="VXG395" s="104"/>
      <c r="VXH395" s="455"/>
      <c r="VXI395" s="104"/>
      <c r="VXJ395" s="104"/>
      <c r="VXK395" s="109"/>
      <c r="VXL395" s="104"/>
      <c r="VXM395" s="104"/>
      <c r="VXN395" s="119"/>
      <c r="VXO395" s="104"/>
      <c r="VXP395" s="455"/>
      <c r="VXQ395" s="104"/>
      <c r="VXR395" s="104"/>
      <c r="VXS395" s="109"/>
      <c r="VXT395" s="104"/>
      <c r="VXU395" s="104"/>
      <c r="VXV395" s="119"/>
      <c r="VXW395" s="104"/>
      <c r="VXX395" s="455"/>
      <c r="VXY395" s="104"/>
      <c r="VXZ395" s="104"/>
      <c r="VYA395" s="109"/>
      <c r="VYB395" s="104"/>
      <c r="VYC395" s="104"/>
      <c r="VYD395" s="119"/>
      <c r="VYE395" s="104"/>
      <c r="VYF395" s="455"/>
      <c r="VYG395" s="104"/>
      <c r="VYH395" s="104"/>
      <c r="VYI395" s="109"/>
      <c r="VYJ395" s="104"/>
      <c r="VYK395" s="104"/>
      <c r="VYL395" s="119"/>
      <c r="VYM395" s="104"/>
      <c r="VYN395" s="455"/>
      <c r="VYO395" s="104"/>
      <c r="VYP395" s="104"/>
      <c r="VYQ395" s="109"/>
      <c r="VYR395" s="104"/>
      <c r="VYS395" s="104"/>
      <c r="VYT395" s="119"/>
      <c r="VYU395" s="104"/>
      <c r="VYV395" s="455"/>
      <c r="VYW395" s="104"/>
      <c r="VYX395" s="104"/>
      <c r="VYY395" s="109"/>
      <c r="VYZ395" s="104"/>
      <c r="VZA395" s="104"/>
      <c r="VZB395" s="119"/>
      <c r="VZC395" s="104"/>
      <c r="VZD395" s="455"/>
      <c r="VZE395" s="104"/>
      <c r="VZF395" s="104"/>
      <c r="VZG395" s="109"/>
      <c r="VZH395" s="104"/>
      <c r="VZI395" s="104"/>
      <c r="VZJ395" s="119"/>
      <c r="VZK395" s="104"/>
      <c r="VZL395" s="455"/>
      <c r="VZM395" s="104"/>
      <c r="VZN395" s="104"/>
      <c r="VZO395" s="109"/>
      <c r="VZP395" s="104"/>
      <c r="VZQ395" s="104"/>
      <c r="VZR395" s="119"/>
      <c r="VZS395" s="104"/>
      <c r="VZT395" s="455"/>
      <c r="VZU395" s="104"/>
      <c r="VZV395" s="104"/>
      <c r="VZW395" s="109"/>
      <c r="VZX395" s="104"/>
      <c r="VZY395" s="104"/>
      <c r="VZZ395" s="119"/>
      <c r="WAA395" s="104"/>
      <c r="WAB395" s="455"/>
      <c r="WAC395" s="104"/>
      <c r="WAD395" s="104"/>
      <c r="WAE395" s="109"/>
      <c r="WAF395" s="104"/>
      <c r="WAG395" s="104"/>
      <c r="WAH395" s="119"/>
      <c r="WAI395" s="104"/>
      <c r="WAJ395" s="455"/>
      <c r="WAK395" s="104"/>
      <c r="WAL395" s="104"/>
      <c r="WAM395" s="109"/>
      <c r="WAN395" s="104"/>
      <c r="WAO395" s="104"/>
      <c r="WAP395" s="119"/>
      <c r="WAQ395" s="104"/>
      <c r="WAR395" s="455"/>
      <c r="WAS395" s="104"/>
      <c r="WAT395" s="104"/>
      <c r="WAU395" s="109"/>
      <c r="WAV395" s="104"/>
      <c r="WAW395" s="104"/>
      <c r="WAX395" s="119"/>
      <c r="WAY395" s="104"/>
      <c r="WAZ395" s="455"/>
      <c r="WBA395" s="104"/>
      <c r="WBB395" s="104"/>
      <c r="WBC395" s="109"/>
      <c r="WBD395" s="104"/>
      <c r="WBE395" s="104"/>
      <c r="WBF395" s="119"/>
      <c r="WBG395" s="104"/>
      <c r="WBH395" s="455"/>
      <c r="WBI395" s="104"/>
      <c r="WBJ395" s="104"/>
      <c r="WBK395" s="109"/>
      <c r="WBL395" s="104"/>
      <c r="WBM395" s="104"/>
      <c r="WBN395" s="119"/>
      <c r="WBO395" s="104"/>
      <c r="WBP395" s="455"/>
      <c r="WBQ395" s="104"/>
      <c r="WBR395" s="104"/>
      <c r="WBS395" s="109"/>
      <c r="WBT395" s="104"/>
      <c r="WBU395" s="104"/>
      <c r="WBV395" s="119"/>
      <c r="WBW395" s="104"/>
      <c r="WBX395" s="455"/>
      <c r="WBY395" s="104"/>
      <c r="WBZ395" s="104"/>
      <c r="WCA395" s="109"/>
      <c r="WCB395" s="104"/>
      <c r="WCC395" s="104"/>
      <c r="WCD395" s="119"/>
      <c r="WCE395" s="104"/>
      <c r="WCF395" s="455"/>
      <c r="WCG395" s="104"/>
      <c r="WCH395" s="104"/>
      <c r="WCI395" s="109"/>
      <c r="WCJ395" s="104"/>
      <c r="WCK395" s="104"/>
      <c r="WCL395" s="119"/>
      <c r="WCM395" s="104"/>
      <c r="WCN395" s="455"/>
      <c r="WCO395" s="104"/>
      <c r="WCP395" s="104"/>
      <c r="WCQ395" s="109"/>
      <c r="WCR395" s="104"/>
      <c r="WCS395" s="104"/>
      <c r="WCT395" s="119"/>
      <c r="WCU395" s="104"/>
      <c r="WCV395" s="455"/>
      <c r="WCW395" s="104"/>
      <c r="WCX395" s="104"/>
      <c r="WCY395" s="109"/>
      <c r="WCZ395" s="104"/>
      <c r="WDA395" s="104"/>
      <c r="WDB395" s="119"/>
      <c r="WDC395" s="104"/>
      <c r="WDD395" s="455"/>
      <c r="WDE395" s="104"/>
      <c r="WDF395" s="104"/>
      <c r="WDG395" s="109"/>
      <c r="WDH395" s="104"/>
      <c r="WDI395" s="104"/>
      <c r="WDJ395" s="119"/>
      <c r="WDK395" s="104"/>
      <c r="WDL395" s="455"/>
      <c r="WDM395" s="104"/>
      <c r="WDN395" s="104"/>
      <c r="WDO395" s="109"/>
      <c r="WDP395" s="104"/>
      <c r="WDQ395" s="104"/>
      <c r="WDR395" s="119"/>
      <c r="WDS395" s="104"/>
      <c r="WDT395" s="455"/>
      <c r="WDU395" s="104"/>
      <c r="WDV395" s="104"/>
      <c r="WDW395" s="109"/>
      <c r="WDX395" s="104"/>
      <c r="WDY395" s="104"/>
      <c r="WDZ395" s="119"/>
      <c r="WEA395" s="104"/>
      <c r="WEB395" s="455"/>
      <c r="WEC395" s="104"/>
      <c r="WED395" s="104"/>
      <c r="WEE395" s="109"/>
      <c r="WEF395" s="104"/>
      <c r="WEG395" s="104"/>
      <c r="WEH395" s="119"/>
      <c r="WEI395" s="104"/>
      <c r="WEJ395" s="455"/>
      <c r="WEK395" s="104"/>
      <c r="WEL395" s="104"/>
      <c r="WEM395" s="109"/>
      <c r="WEN395" s="104"/>
      <c r="WEO395" s="104"/>
      <c r="WEP395" s="119"/>
      <c r="WEQ395" s="104"/>
      <c r="WER395" s="455"/>
      <c r="WES395" s="104"/>
      <c r="WET395" s="104"/>
      <c r="WEU395" s="109"/>
      <c r="WEV395" s="104"/>
      <c r="WEW395" s="104"/>
      <c r="WEX395" s="119"/>
      <c r="WEY395" s="104"/>
      <c r="WEZ395" s="455"/>
      <c r="WFA395" s="104"/>
      <c r="WFB395" s="104"/>
      <c r="WFC395" s="109"/>
      <c r="WFD395" s="104"/>
      <c r="WFE395" s="104"/>
      <c r="WFF395" s="119"/>
      <c r="WFG395" s="104"/>
      <c r="WFH395" s="455"/>
      <c r="WFI395" s="104"/>
      <c r="WFJ395" s="104"/>
      <c r="WFK395" s="109"/>
      <c r="WFL395" s="104"/>
      <c r="WFM395" s="104"/>
      <c r="WFN395" s="119"/>
      <c r="WFO395" s="104"/>
      <c r="WFP395" s="455"/>
      <c r="WFQ395" s="104"/>
      <c r="WFR395" s="104"/>
      <c r="WFS395" s="109"/>
      <c r="WFT395" s="104"/>
      <c r="WFU395" s="104"/>
      <c r="WFV395" s="119"/>
      <c r="WFW395" s="104"/>
      <c r="WFX395" s="455"/>
      <c r="WFY395" s="104"/>
      <c r="WFZ395" s="104"/>
      <c r="WGA395" s="109"/>
      <c r="WGB395" s="104"/>
      <c r="WGC395" s="104"/>
      <c r="WGD395" s="119"/>
      <c r="WGE395" s="104"/>
      <c r="WGF395" s="455"/>
      <c r="WGG395" s="104"/>
      <c r="WGH395" s="104"/>
      <c r="WGI395" s="109"/>
      <c r="WGJ395" s="104"/>
      <c r="WGK395" s="104"/>
      <c r="WGL395" s="119"/>
      <c r="WGM395" s="104"/>
      <c r="WGN395" s="455"/>
      <c r="WGO395" s="104"/>
      <c r="WGP395" s="104"/>
      <c r="WGQ395" s="109"/>
      <c r="WGR395" s="104"/>
      <c r="WGS395" s="104"/>
      <c r="WGT395" s="119"/>
      <c r="WGU395" s="104"/>
      <c r="WGV395" s="455"/>
      <c r="WGW395" s="104"/>
      <c r="WGX395" s="104"/>
      <c r="WGY395" s="109"/>
      <c r="WGZ395" s="104"/>
      <c r="WHA395" s="104"/>
      <c r="WHB395" s="119"/>
      <c r="WHC395" s="104"/>
      <c r="WHD395" s="455"/>
      <c r="WHE395" s="104"/>
      <c r="WHF395" s="104"/>
      <c r="WHG395" s="109"/>
      <c r="WHH395" s="104"/>
      <c r="WHI395" s="104"/>
      <c r="WHJ395" s="119"/>
      <c r="WHK395" s="104"/>
      <c r="WHL395" s="455"/>
      <c r="WHM395" s="104"/>
      <c r="WHN395" s="104"/>
      <c r="WHO395" s="109"/>
      <c r="WHP395" s="104"/>
      <c r="WHQ395" s="104"/>
      <c r="WHR395" s="119"/>
      <c r="WHS395" s="104"/>
      <c r="WHT395" s="455"/>
      <c r="WHU395" s="104"/>
      <c r="WHV395" s="104"/>
      <c r="WHW395" s="109"/>
      <c r="WHX395" s="104"/>
      <c r="WHY395" s="104"/>
      <c r="WHZ395" s="119"/>
      <c r="WIA395" s="104"/>
      <c r="WIB395" s="455"/>
      <c r="WIC395" s="104"/>
      <c r="WID395" s="104"/>
      <c r="WIE395" s="109"/>
      <c r="WIF395" s="104"/>
      <c r="WIG395" s="104"/>
      <c r="WIH395" s="119"/>
      <c r="WII395" s="104"/>
      <c r="WIJ395" s="455"/>
      <c r="WIK395" s="104"/>
      <c r="WIL395" s="104"/>
      <c r="WIM395" s="109"/>
      <c r="WIN395" s="104"/>
      <c r="WIO395" s="104"/>
      <c r="WIP395" s="119"/>
      <c r="WIQ395" s="104"/>
      <c r="WIR395" s="455"/>
      <c r="WIS395" s="104"/>
      <c r="WIT395" s="104"/>
      <c r="WIU395" s="109"/>
      <c r="WIV395" s="104"/>
      <c r="WIW395" s="104"/>
      <c r="WIX395" s="119"/>
      <c r="WIY395" s="104"/>
      <c r="WIZ395" s="455"/>
      <c r="WJA395" s="104"/>
      <c r="WJB395" s="104"/>
      <c r="WJC395" s="109"/>
      <c r="WJD395" s="104"/>
      <c r="WJE395" s="104"/>
      <c r="WJF395" s="119"/>
      <c r="WJG395" s="104"/>
      <c r="WJH395" s="455"/>
      <c r="WJI395" s="104"/>
      <c r="WJJ395" s="104"/>
      <c r="WJK395" s="109"/>
      <c r="WJL395" s="104"/>
      <c r="WJM395" s="104"/>
      <c r="WJN395" s="119"/>
      <c r="WJO395" s="104"/>
      <c r="WJP395" s="455"/>
      <c r="WJQ395" s="104"/>
      <c r="WJR395" s="104"/>
      <c r="WJS395" s="109"/>
      <c r="WJT395" s="104"/>
      <c r="WJU395" s="104"/>
      <c r="WJV395" s="119"/>
      <c r="WJW395" s="104"/>
      <c r="WJX395" s="455"/>
      <c r="WJY395" s="104"/>
      <c r="WJZ395" s="104"/>
      <c r="WKA395" s="109"/>
      <c r="WKB395" s="104"/>
      <c r="WKC395" s="104"/>
      <c r="WKD395" s="119"/>
      <c r="WKE395" s="104"/>
      <c r="WKF395" s="455"/>
      <c r="WKG395" s="104"/>
      <c r="WKH395" s="104"/>
      <c r="WKI395" s="109"/>
      <c r="WKJ395" s="104"/>
      <c r="WKK395" s="104"/>
      <c r="WKL395" s="119"/>
      <c r="WKM395" s="104"/>
      <c r="WKN395" s="455"/>
      <c r="WKO395" s="104"/>
      <c r="WKP395" s="104"/>
      <c r="WKQ395" s="109"/>
      <c r="WKR395" s="104"/>
      <c r="WKS395" s="104"/>
      <c r="WKT395" s="119"/>
      <c r="WKU395" s="104"/>
      <c r="WKV395" s="455"/>
      <c r="WKW395" s="104"/>
      <c r="WKX395" s="104"/>
      <c r="WKY395" s="109"/>
      <c r="WKZ395" s="104"/>
      <c r="WLA395" s="104"/>
      <c r="WLB395" s="119"/>
      <c r="WLC395" s="104"/>
      <c r="WLD395" s="455"/>
      <c r="WLE395" s="104"/>
      <c r="WLF395" s="104"/>
      <c r="WLG395" s="109"/>
      <c r="WLH395" s="104"/>
      <c r="WLI395" s="104"/>
      <c r="WLJ395" s="119"/>
      <c r="WLK395" s="104"/>
      <c r="WLL395" s="455"/>
      <c r="WLM395" s="104"/>
      <c r="WLN395" s="104"/>
      <c r="WLO395" s="109"/>
      <c r="WLP395" s="104"/>
      <c r="WLQ395" s="104"/>
      <c r="WLR395" s="119"/>
      <c r="WLS395" s="104"/>
      <c r="WLT395" s="455"/>
      <c r="WLU395" s="104"/>
      <c r="WLV395" s="104"/>
      <c r="WLW395" s="109"/>
      <c r="WLX395" s="104"/>
      <c r="WLY395" s="104"/>
      <c r="WLZ395" s="119"/>
      <c r="WMA395" s="104"/>
      <c r="WMB395" s="455"/>
      <c r="WMC395" s="104"/>
      <c r="WMD395" s="104"/>
      <c r="WME395" s="109"/>
      <c r="WMF395" s="104"/>
      <c r="WMG395" s="104"/>
      <c r="WMH395" s="119"/>
      <c r="WMI395" s="104"/>
      <c r="WMJ395" s="455"/>
      <c r="WMK395" s="104"/>
      <c r="WML395" s="104"/>
      <c r="WMM395" s="109"/>
      <c r="WMN395" s="104"/>
      <c r="WMO395" s="104"/>
      <c r="WMP395" s="119"/>
      <c r="WMQ395" s="104"/>
      <c r="WMR395" s="455"/>
      <c r="WMS395" s="104"/>
      <c r="WMT395" s="104"/>
      <c r="WMU395" s="109"/>
      <c r="WMV395" s="104"/>
      <c r="WMW395" s="104"/>
      <c r="WMX395" s="119"/>
      <c r="WMY395" s="104"/>
      <c r="WMZ395" s="455"/>
      <c r="WNA395" s="104"/>
      <c r="WNB395" s="104"/>
      <c r="WNC395" s="109"/>
      <c r="WND395" s="104"/>
      <c r="WNE395" s="104"/>
      <c r="WNF395" s="119"/>
      <c r="WNG395" s="104"/>
      <c r="WNH395" s="455"/>
      <c r="WNI395" s="104"/>
      <c r="WNJ395" s="104"/>
      <c r="WNK395" s="109"/>
      <c r="WNL395" s="104"/>
      <c r="WNM395" s="104"/>
      <c r="WNN395" s="119"/>
      <c r="WNO395" s="104"/>
      <c r="WNP395" s="455"/>
      <c r="WNQ395" s="104"/>
      <c r="WNR395" s="104"/>
      <c r="WNS395" s="109"/>
      <c r="WNT395" s="104"/>
      <c r="WNU395" s="104"/>
      <c r="WNV395" s="119"/>
      <c r="WNW395" s="104"/>
      <c r="WNX395" s="455"/>
      <c r="WNY395" s="104"/>
      <c r="WNZ395" s="104"/>
      <c r="WOA395" s="109"/>
      <c r="WOB395" s="104"/>
      <c r="WOC395" s="104"/>
      <c r="WOD395" s="119"/>
      <c r="WOE395" s="104"/>
      <c r="WOF395" s="455"/>
      <c r="WOG395" s="104"/>
      <c r="WOH395" s="104"/>
      <c r="WOI395" s="109"/>
      <c r="WOJ395" s="104"/>
      <c r="WOK395" s="104"/>
      <c r="WOL395" s="119"/>
      <c r="WOM395" s="104"/>
      <c r="WON395" s="455"/>
      <c r="WOO395" s="104"/>
      <c r="WOP395" s="104"/>
      <c r="WOQ395" s="109"/>
      <c r="WOR395" s="104"/>
      <c r="WOS395" s="104"/>
      <c r="WOT395" s="119"/>
      <c r="WOU395" s="104"/>
      <c r="WOV395" s="455"/>
      <c r="WOW395" s="104"/>
      <c r="WOX395" s="104"/>
      <c r="WOY395" s="109"/>
      <c r="WOZ395" s="104"/>
      <c r="WPA395" s="104"/>
      <c r="WPB395" s="119"/>
      <c r="WPC395" s="104"/>
      <c r="WPD395" s="455"/>
      <c r="WPE395" s="104"/>
      <c r="WPF395" s="104"/>
      <c r="WPG395" s="109"/>
      <c r="WPH395" s="104"/>
      <c r="WPI395" s="104"/>
      <c r="WPJ395" s="119"/>
      <c r="WPK395" s="104"/>
      <c r="WPL395" s="455"/>
      <c r="WPM395" s="104"/>
      <c r="WPN395" s="104"/>
      <c r="WPO395" s="109"/>
      <c r="WPP395" s="104"/>
      <c r="WPQ395" s="104"/>
      <c r="WPR395" s="119"/>
      <c r="WPS395" s="104"/>
      <c r="WPT395" s="455"/>
      <c r="WPU395" s="104"/>
      <c r="WPV395" s="104"/>
      <c r="WPW395" s="109"/>
      <c r="WPX395" s="104"/>
      <c r="WPY395" s="104"/>
      <c r="WPZ395" s="119"/>
      <c r="WQA395" s="104"/>
      <c r="WQB395" s="455"/>
      <c r="WQC395" s="104"/>
      <c r="WQD395" s="104"/>
      <c r="WQE395" s="109"/>
      <c r="WQF395" s="104"/>
      <c r="WQG395" s="104"/>
      <c r="WQH395" s="119"/>
      <c r="WQI395" s="104"/>
      <c r="WQJ395" s="455"/>
      <c r="WQK395" s="104"/>
      <c r="WQL395" s="104"/>
      <c r="WQM395" s="109"/>
      <c r="WQN395" s="104"/>
      <c r="WQO395" s="104"/>
      <c r="WQP395" s="119"/>
      <c r="WQQ395" s="104"/>
      <c r="WQR395" s="455"/>
      <c r="WQS395" s="104"/>
      <c r="WQT395" s="104"/>
      <c r="WQU395" s="109"/>
      <c r="WQV395" s="104"/>
      <c r="WQW395" s="104"/>
      <c r="WQX395" s="119"/>
      <c r="WQY395" s="104"/>
      <c r="WQZ395" s="455"/>
      <c r="WRA395" s="104"/>
      <c r="WRB395" s="104"/>
      <c r="WRC395" s="109"/>
      <c r="WRD395" s="104"/>
      <c r="WRE395" s="104"/>
      <c r="WRF395" s="119"/>
      <c r="WRG395" s="104"/>
      <c r="WRH395" s="455"/>
      <c r="WRI395" s="104"/>
      <c r="WRJ395" s="104"/>
      <c r="WRK395" s="109"/>
      <c r="WRL395" s="104"/>
      <c r="WRM395" s="104"/>
      <c r="WRN395" s="119"/>
      <c r="WRO395" s="104"/>
      <c r="WRP395" s="455"/>
      <c r="WRQ395" s="104"/>
      <c r="WRR395" s="104"/>
      <c r="WRS395" s="109"/>
      <c r="WRT395" s="104"/>
      <c r="WRU395" s="104"/>
      <c r="WRV395" s="119"/>
      <c r="WRW395" s="104"/>
      <c r="WRX395" s="455"/>
      <c r="WRY395" s="104"/>
      <c r="WRZ395" s="104"/>
      <c r="WSA395" s="109"/>
      <c r="WSB395" s="104"/>
      <c r="WSC395" s="104"/>
      <c r="WSD395" s="119"/>
      <c r="WSE395" s="104"/>
      <c r="WSF395" s="455"/>
      <c r="WSG395" s="104"/>
      <c r="WSH395" s="104"/>
      <c r="WSI395" s="109"/>
      <c r="WSJ395" s="104"/>
      <c r="WSK395" s="104"/>
      <c r="WSL395" s="119"/>
      <c r="WSM395" s="104"/>
      <c r="WSN395" s="455"/>
      <c r="WSO395" s="104"/>
      <c r="WSP395" s="104"/>
      <c r="WSQ395" s="109"/>
      <c r="WSR395" s="104"/>
      <c r="WSS395" s="104"/>
      <c r="WST395" s="119"/>
      <c r="WSU395" s="104"/>
      <c r="WSV395" s="455"/>
      <c r="WSW395" s="104"/>
      <c r="WSX395" s="104"/>
      <c r="WSY395" s="109"/>
      <c r="WSZ395" s="104"/>
      <c r="WTA395" s="104"/>
      <c r="WTB395" s="119"/>
      <c r="WTC395" s="104"/>
      <c r="WTD395" s="455"/>
      <c r="WTE395" s="104"/>
      <c r="WTF395" s="104"/>
      <c r="WTG395" s="109"/>
      <c r="WTH395" s="104"/>
      <c r="WTI395" s="104"/>
      <c r="WTJ395" s="119"/>
      <c r="WTK395" s="104"/>
      <c r="WTL395" s="455"/>
      <c r="WTM395" s="104"/>
      <c r="WTN395" s="104"/>
      <c r="WTO395" s="109"/>
      <c r="WTP395" s="104"/>
      <c r="WTQ395" s="104"/>
      <c r="WTR395" s="119"/>
      <c r="WTS395" s="104"/>
      <c r="WTT395" s="455"/>
      <c r="WTU395" s="104"/>
      <c r="WTV395" s="104"/>
      <c r="WTW395" s="109"/>
      <c r="WTX395" s="104"/>
      <c r="WTY395" s="104"/>
      <c r="WTZ395" s="119"/>
      <c r="WUA395" s="104"/>
      <c r="WUB395" s="455"/>
      <c r="WUC395" s="104"/>
      <c r="WUD395" s="104"/>
      <c r="WUE395" s="109"/>
      <c r="WUF395" s="104"/>
      <c r="WUG395" s="104"/>
      <c r="WUH395" s="119"/>
      <c r="WUI395" s="104"/>
      <c r="WUJ395" s="455"/>
      <c r="WUK395" s="104"/>
      <c r="WUL395" s="104"/>
      <c r="WUM395" s="109"/>
      <c r="WUN395" s="104"/>
      <c r="WUO395" s="104"/>
      <c r="WUP395" s="119"/>
      <c r="WUQ395" s="104"/>
      <c r="WUR395" s="455"/>
      <c r="WUS395" s="104"/>
      <c r="WUT395" s="104"/>
      <c r="WUU395" s="109"/>
      <c r="WUV395" s="104"/>
      <c r="WUW395" s="104"/>
      <c r="WUX395" s="119"/>
      <c r="WUY395" s="104"/>
      <c r="WUZ395" s="455"/>
      <c r="WVA395" s="104"/>
      <c r="WVB395" s="104"/>
      <c r="WVC395" s="109"/>
      <c r="WVD395" s="104"/>
      <c r="WVE395" s="104"/>
      <c r="WVF395" s="119"/>
      <c r="WVG395" s="104"/>
      <c r="WVH395" s="455"/>
      <c r="WVI395" s="104"/>
      <c r="WVJ395" s="104"/>
      <c r="WVK395" s="109"/>
      <c r="WVL395" s="104"/>
      <c r="WVM395" s="104"/>
      <c r="WVN395" s="119"/>
      <c r="WVO395" s="104"/>
      <c r="WVP395" s="455"/>
      <c r="WVQ395" s="104"/>
      <c r="WVR395" s="104"/>
      <c r="WVS395" s="109"/>
      <c r="WVT395" s="104"/>
      <c r="WVU395" s="104"/>
      <c r="WVV395" s="119"/>
      <c r="WVW395" s="104"/>
      <c r="WVX395" s="455"/>
      <c r="WVY395" s="104"/>
      <c r="WVZ395" s="104"/>
      <c r="WWA395" s="109"/>
      <c r="WWB395" s="104"/>
      <c r="WWC395" s="104"/>
      <c r="WWD395" s="119"/>
      <c r="WWE395" s="104"/>
      <c r="WWF395" s="455"/>
      <c r="WWG395" s="104"/>
      <c r="WWH395" s="104"/>
      <c r="WWI395" s="109"/>
      <c r="WWJ395" s="104"/>
      <c r="WWK395" s="104"/>
      <c r="WWL395" s="119"/>
      <c r="WWM395" s="104"/>
      <c r="WWN395" s="455"/>
      <c r="WWO395" s="104"/>
      <c r="WWP395" s="104"/>
      <c r="WWQ395" s="109"/>
      <c r="WWR395" s="104"/>
      <c r="WWS395" s="104"/>
      <c r="WWT395" s="119"/>
      <c r="WWU395" s="104"/>
      <c r="WWV395" s="455"/>
      <c r="WWW395" s="104"/>
      <c r="WWX395" s="104"/>
      <c r="WWY395" s="109"/>
      <c r="WWZ395" s="104"/>
      <c r="WXA395" s="104"/>
      <c r="WXB395" s="119"/>
      <c r="WXC395" s="104"/>
      <c r="WXD395" s="455"/>
      <c r="WXE395" s="104"/>
      <c r="WXF395" s="104"/>
      <c r="WXG395" s="109"/>
      <c r="WXH395" s="104"/>
      <c r="WXI395" s="104"/>
      <c r="WXJ395" s="119"/>
      <c r="WXK395" s="104"/>
      <c r="WXL395" s="455"/>
      <c r="WXM395" s="104"/>
      <c r="WXN395" s="104"/>
      <c r="WXO395" s="109"/>
      <c r="WXP395" s="104"/>
      <c r="WXQ395" s="104"/>
      <c r="WXR395" s="119"/>
      <c r="WXS395" s="104"/>
      <c r="WXT395" s="455"/>
      <c r="WXU395" s="104"/>
      <c r="WXV395" s="104"/>
      <c r="WXW395" s="109"/>
      <c r="WXX395" s="104"/>
      <c r="WXY395" s="104"/>
      <c r="WXZ395" s="119"/>
      <c r="WYA395" s="104"/>
      <c r="WYB395" s="455"/>
      <c r="WYC395" s="104"/>
      <c r="WYD395" s="104"/>
      <c r="WYE395" s="109"/>
      <c r="WYF395" s="104"/>
      <c r="WYG395" s="104"/>
      <c r="WYH395" s="119"/>
      <c r="WYI395" s="104"/>
      <c r="WYJ395" s="455"/>
      <c r="WYK395" s="104"/>
      <c r="WYL395" s="104"/>
      <c r="WYM395" s="109"/>
      <c r="WYN395" s="104"/>
      <c r="WYO395" s="104"/>
      <c r="WYP395" s="119"/>
      <c r="WYQ395" s="104"/>
      <c r="WYR395" s="455"/>
      <c r="WYS395" s="104"/>
      <c r="WYT395" s="104"/>
      <c r="WYU395" s="109"/>
      <c r="WYV395" s="104"/>
      <c r="WYW395" s="104"/>
      <c r="WYX395" s="119"/>
      <c r="WYY395" s="104"/>
      <c r="WYZ395" s="455"/>
      <c r="WZA395" s="104"/>
      <c r="WZB395" s="104"/>
      <c r="WZC395" s="109"/>
      <c r="WZD395" s="104"/>
      <c r="WZE395" s="104"/>
      <c r="WZF395" s="119"/>
      <c r="WZG395" s="104"/>
      <c r="WZH395" s="455"/>
      <c r="WZI395" s="104"/>
      <c r="WZJ395" s="104"/>
      <c r="WZK395" s="109"/>
      <c r="WZL395" s="104"/>
      <c r="WZM395" s="104"/>
      <c r="WZN395" s="119"/>
      <c r="WZO395" s="104"/>
      <c r="WZP395" s="455"/>
      <c r="WZQ395" s="104"/>
      <c r="WZR395" s="104"/>
      <c r="WZS395" s="109"/>
      <c r="WZT395" s="104"/>
      <c r="WZU395" s="104"/>
      <c r="WZV395" s="119"/>
      <c r="WZW395" s="104"/>
      <c r="WZX395" s="455"/>
      <c r="WZY395" s="104"/>
      <c r="WZZ395" s="104"/>
      <c r="XAA395" s="109"/>
      <c r="XAB395" s="104"/>
      <c r="XAC395" s="104"/>
      <c r="XAD395" s="119"/>
      <c r="XAE395" s="104"/>
      <c r="XAF395" s="455"/>
      <c r="XAG395" s="104"/>
      <c r="XAH395" s="104"/>
      <c r="XAI395" s="109"/>
      <c r="XAJ395" s="104"/>
      <c r="XAK395" s="104"/>
      <c r="XAL395" s="119"/>
      <c r="XAM395" s="104"/>
      <c r="XAN395" s="455"/>
      <c r="XAO395" s="104"/>
      <c r="XAP395" s="104"/>
      <c r="XAQ395" s="109"/>
      <c r="XAR395" s="104"/>
      <c r="XAS395" s="104"/>
      <c r="XAT395" s="119"/>
      <c r="XAU395" s="104"/>
      <c r="XAV395" s="455"/>
      <c r="XAW395" s="104"/>
      <c r="XAX395" s="104"/>
      <c r="XAY395" s="109"/>
      <c r="XAZ395" s="104"/>
      <c r="XBA395" s="104"/>
      <c r="XBB395" s="119"/>
      <c r="XBC395" s="104"/>
      <c r="XBD395" s="455"/>
      <c r="XBE395" s="104"/>
      <c r="XBF395" s="104"/>
      <c r="XBG395" s="109"/>
      <c r="XBH395" s="104"/>
      <c r="XBI395" s="104"/>
      <c r="XBJ395" s="119"/>
      <c r="XBK395" s="104"/>
      <c r="XBL395" s="455"/>
      <c r="XBM395" s="104"/>
      <c r="XBN395" s="104"/>
      <c r="XBO395" s="109"/>
      <c r="XBP395" s="104"/>
      <c r="XBQ395" s="104"/>
      <c r="XBR395" s="119"/>
      <c r="XBS395" s="104"/>
      <c r="XBT395" s="455"/>
      <c r="XBU395" s="104"/>
      <c r="XBV395" s="104"/>
      <c r="XBW395" s="109"/>
      <c r="XBX395" s="104"/>
      <c r="XBY395" s="104"/>
      <c r="XBZ395" s="119"/>
      <c r="XCA395" s="104"/>
      <c r="XCB395" s="455"/>
      <c r="XCC395" s="104"/>
      <c r="XCD395" s="104"/>
      <c r="XCE395" s="109"/>
      <c r="XCF395" s="104"/>
      <c r="XCG395" s="104"/>
      <c r="XCH395" s="119"/>
      <c r="XCI395" s="104"/>
      <c r="XCJ395" s="455"/>
      <c r="XCK395" s="104"/>
      <c r="XCL395" s="104"/>
      <c r="XCM395" s="109"/>
      <c r="XCN395" s="104"/>
      <c r="XCO395" s="104"/>
      <c r="XCP395" s="119"/>
      <c r="XCQ395" s="104"/>
      <c r="XCR395" s="455"/>
      <c r="XCS395" s="104"/>
      <c r="XCT395" s="104"/>
      <c r="XCU395" s="109"/>
      <c r="XCV395" s="104"/>
      <c r="XCW395" s="104"/>
      <c r="XCX395" s="119"/>
      <c r="XCY395" s="104"/>
      <c r="XCZ395" s="455"/>
      <c r="XDA395" s="104"/>
      <c r="XDB395" s="104"/>
      <c r="XDC395" s="109"/>
      <c r="XDD395" s="104"/>
      <c r="XDE395" s="104"/>
      <c r="XDF395" s="119"/>
      <c r="XDG395" s="104"/>
      <c r="XDH395" s="455"/>
      <c r="XDI395" s="104"/>
      <c r="XDJ395" s="104"/>
      <c r="XDK395" s="109"/>
      <c r="XDL395" s="104"/>
      <c r="XDM395" s="104"/>
      <c r="XDN395" s="119"/>
      <c r="XDO395" s="104"/>
      <c r="XDP395" s="455"/>
      <c r="XDQ395" s="104"/>
      <c r="XDR395" s="104"/>
      <c r="XDS395" s="109"/>
      <c r="XDT395" s="104"/>
      <c r="XDU395" s="104"/>
      <c r="XDV395" s="119"/>
      <c r="XDW395" s="104"/>
      <c r="XDX395" s="455"/>
      <c r="XDY395" s="104"/>
      <c r="XDZ395" s="104"/>
      <c r="XEA395" s="109"/>
      <c r="XEB395" s="104"/>
      <c r="XEC395" s="104"/>
      <c r="XED395" s="119"/>
      <c r="XEE395" s="104"/>
      <c r="XEF395" s="455"/>
      <c r="XEG395" s="104"/>
      <c r="XEH395" s="104"/>
      <c r="XEI395" s="109"/>
      <c r="XEJ395" s="104"/>
      <c r="XEK395" s="104"/>
      <c r="XEL395" s="119"/>
      <c r="XEM395" s="104"/>
      <c r="XEN395" s="455"/>
      <c r="XEO395" s="104"/>
      <c r="XEP395" s="104"/>
      <c r="XEQ395" s="109"/>
      <c r="XER395" s="104"/>
      <c r="XES395" s="104"/>
      <c r="XET395" s="119"/>
      <c r="XEU395" s="104"/>
      <c r="XEV395" s="455"/>
      <c r="XEW395" s="104"/>
      <c r="XEX395" s="104"/>
      <c r="XEY395" s="109"/>
      <c r="XEZ395" s="104"/>
      <c r="XFA395" s="104"/>
      <c r="XFB395" s="119"/>
      <c r="XFC395" s="104"/>
      <c r="XFD395" s="455"/>
    </row>
    <row r="396" spans="1:16384" s="352" customFormat="1">
      <c r="A396" s="180" t="s">
        <v>255</v>
      </c>
      <c r="B396" s="180" t="str">
        <v>ENGINEERING TECHNOLOGY</v>
      </c>
      <c r="C396" s="122" t="str">
        <v>Agyei Agyemang Anthony</v>
      </c>
      <c r="D396" s="180" t="s">
        <v>9</v>
      </c>
      <c r="E396" s="106">
        <v>226</v>
      </c>
      <c r="F396" s="123" t="s">
        <v>2191</v>
      </c>
      <c r="G396" s="107">
        <f>E396*1.1</f>
        <v>248.6</v>
      </c>
      <c r="H396" s="353" t="s">
        <v>2241</v>
      </c>
      <c r="I396" s="104" t="str">
        <v>ME 195,ED1-ME</v>
      </c>
      <c r="J396" s="81">
        <v>166</v>
      </c>
    </row>
    <row r="397" spans="1:16384" s="352" customFormat="1">
      <c r="A397" s="180" t="s">
        <v>255</v>
      </c>
      <c r="B397" s="180" t="str">
        <v>ENGINEERING TECHNOLOGY </v>
      </c>
      <c r="C397" s="122" t="str">
        <v>Ampofo Joshua</v>
      </c>
      <c r="D397" s="180" t="s">
        <v>2</v>
      </c>
      <c r="E397" s="106">
        <v>85</v>
      </c>
      <c r="F397" s="123" t="s">
        <v>2126</v>
      </c>
      <c r="G397" s="107">
        <f>E397*1.1</f>
        <v>93.5</v>
      </c>
      <c r="H397" s="353" t="s">
        <v>2242</v>
      </c>
      <c r="I397" s="104" t="str">
        <v>ME 195,ED1-AUTO</v>
      </c>
      <c r="J397" s="81">
        <v>43</v>
      </c>
    </row>
    <row r="398" spans="1:16384" s="136" customFormat="1">
      <c r="A398" s="181" t="s">
        <v>256</v>
      </c>
      <c r="B398" s="181" t="str">
        <v>MARINE ENGINEERING TECHNOLOGY</v>
      </c>
      <c r="C398" s="126" t="str">
        <v>Amoabeng Kofi Owura</v>
      </c>
      <c r="D398" s="181" t="s">
        <v>5</v>
      </c>
      <c r="E398" s="112">
        <v>46</v>
      </c>
      <c r="F398" s="129" t="s">
        <v>381</v>
      </c>
      <c r="G398" s="138">
        <f>E398*1.1</f>
        <v>50.6</v>
      </c>
      <c r="H398" s="357">
        <v>46</v>
      </c>
      <c r="I398" s="139" t="str">
        <f>_xlfn.CONCAT(A398,",",D398)</f>
        <v>MME 195,ED1-MARI</v>
      </c>
      <c r="J398" s="81">
        <v>30</v>
      </c>
    </row>
    <row r="399" spans="1:16384" s="352" customFormat="1">
      <c r="A399" s="180" t="s">
        <v>255</v>
      </c>
      <c r="B399" s="180" t="str">
        <v>ENGINEERING TECHNOLOGY I</v>
      </c>
      <c r="C399" s="122" t="str">
        <v>Oppong David Kofi</v>
      </c>
      <c r="D399" s="180" t="s">
        <v>37</v>
      </c>
      <c r="E399" s="106">
        <v>128</v>
      </c>
      <c r="F399" s="123" t="s">
        <v>1992</v>
      </c>
      <c r="G399" s="107">
        <f>E399*1.1</f>
        <v>140.8</v>
      </c>
      <c r="H399" s="353" t="s">
        <v>2243</v>
      </c>
      <c r="I399" s="104" t="str">
        <v>ME 195,ED1-AE</v>
      </c>
      <c r="J399" s="81">
        <v>124</v>
      </c>
    </row>
    <row r="400" spans="1:16384" s="352" customFormat="1">
      <c r="A400" s="180" t="s">
        <v>255</v>
      </c>
      <c r="B400" s="180" t="str">
        <v>ENGINEERING TECHNOLOGY </v>
      </c>
      <c r="C400" s="122" t="str">
        <v>Oppong Tawiah Peter</v>
      </c>
      <c r="D400" s="180" t="s">
        <v>3</v>
      </c>
      <c r="E400" s="106">
        <v>83</v>
      </c>
      <c r="F400" s="123" t="s">
        <v>2239</v>
      </c>
      <c r="G400" s="107">
        <f>E400*1.1</f>
        <v>91.3</v>
      </c>
      <c r="H400" s="353" t="s">
        <v>2244</v>
      </c>
      <c r="I400" s="104" t="str">
        <v>ME 195,ED1-IND</v>
      </c>
      <c r="J400" s="81">
        <v>69</v>
      </c>
    </row>
    <row r="401" spans="1:10">
      <c r="A401" s="180" t="s">
        <v>255</v>
      </c>
      <c r="B401" s="180" t="str">
        <v>ENGINEERING TECHNOLOGY I</v>
      </c>
      <c r="C401" s="122" t="str">
        <v>Sekyere Charles Kofi Kafui</v>
      </c>
      <c r="D401" s="180" t="s">
        <v>11</v>
      </c>
      <c r="E401" s="106">
        <v>75</v>
      </c>
      <c r="F401" s="123" t="s">
        <v>414</v>
      </c>
      <c r="G401" s="107">
        <f>E401*1.1</f>
        <v>82.5</v>
      </c>
      <c r="H401" s="353">
        <v>75</v>
      </c>
      <c r="I401" s="104" t="str">
        <v>ME 195,ED1-METE</v>
      </c>
      <c r="J401" s="81">
        <v>61</v>
      </c>
    </row>
    <row r="402" spans="1:10">
      <c r="A402" s="180" t="s">
        <v>255</v>
      </c>
      <c r="B402" s="180" t="str">
        <v>ENGINEERING TECHNOLOGY I</v>
      </c>
      <c r="C402" s="122" t="str">
        <v>Sekyere Charles Kofi Kafui</v>
      </c>
      <c r="D402" s="180" t="s">
        <v>35</v>
      </c>
      <c r="E402" s="106">
        <v>100</v>
      </c>
      <c r="F402" s="123" t="s">
        <v>2240</v>
      </c>
      <c r="G402" s="107">
        <f>E402*1.1</f>
        <v>110</v>
      </c>
      <c r="H402" s="353" t="s">
        <v>2245</v>
      </c>
      <c r="I402" s="104" t="str">
        <v>ME 195,ED1-MSE</v>
      </c>
      <c r="J402" s="81">
        <v>69</v>
      </c>
    </row>
    <row r="403" spans="1:10">
      <c r="A403" s="180" t="s">
        <v>169</v>
      </c>
      <c r="B403" s="180" t="str">
        <v>PRINCIPLES OF PHOTOGRAMMETRY</v>
      </c>
      <c r="C403" s="123" t="str">
        <v>Ahorsu Harriet Atsufui</v>
      </c>
      <c r="D403" s="180" t="s">
        <v>85</v>
      </c>
      <c r="E403" s="106">
        <v>134</v>
      </c>
      <c r="F403" s="176" t="s">
        <v>2213</v>
      </c>
      <c r="G403" s="107">
        <f>E403*1.1</f>
        <v>147.4</v>
      </c>
      <c r="H403" s="353" t="s">
        <v>2246</v>
      </c>
      <c r="I403" s="104" t="str">
        <v>GE 251,ED2-GEOM</v>
      </c>
      <c r="J403" s="81">
        <v>255</v>
      </c>
    </row>
    <row r="404" spans="1:10">
      <c r="A404" s="180" t="s">
        <v>183</v>
      </c>
      <c r="B404" s="180" t="str">
        <v>GEOLOGICAL FIELD MAPPPING</v>
      </c>
      <c r="C404" s="123" t="str">
        <v>Wilson Matthew Coffie</v>
      </c>
      <c r="D404" s="180" t="s">
        <v>52</v>
      </c>
      <c r="E404" s="106">
        <v>154</v>
      </c>
      <c r="F404" s="176" t="s">
        <v>2231</v>
      </c>
      <c r="G404" s="107">
        <f>E404*1.1</f>
        <v>169.4</v>
      </c>
      <c r="H404" s="353" t="s">
        <v>2247</v>
      </c>
      <c r="I404" s="104" t="str">
        <f>_xlfn.CONCAT(A404,",",D404)</f>
        <v>GED 365,ED3-GEOL</v>
      </c>
      <c r="J404" s="81">
        <v>255</v>
      </c>
    </row>
    <row r="405" spans="1:10">
      <c r="A405" s="180" t="s">
        <v>451</v>
      </c>
      <c r="B405" s="180" t="str">
        <v>TRANSFORMERS</v>
      </c>
      <c r="C405" s="123" t="str">
        <v>Opoku Daniel</v>
      </c>
      <c r="D405" s="180" t="s">
        <v>7</v>
      </c>
      <c r="E405" s="106">
        <v>305</v>
      </c>
      <c r="F405" s="124" t="s">
        <v>2167</v>
      </c>
      <c r="G405" s="107">
        <f>E405*1.1</f>
        <v>335.5</v>
      </c>
      <c r="H405" s="353" t="s">
        <v>2189</v>
      </c>
      <c r="I405" s="104" t="str">
        <v>EE 161,ED1-EE</v>
      </c>
      <c r="J405" s="81">
        <v>59</v>
      </c>
    </row>
    <row r="406" spans="1:10">
      <c r="A406" s="83"/>
      <c r="B406" s="83"/>
      <c r="C406" s="109"/>
      <c r="D406" s="180" t="s">
        <v>297</v>
      </c>
      <c r="E406" s="91">
        <f>SUM(E396:E405)</f>
        <v>1336</v>
      </c>
      <c r="F406" s="109"/>
      <c r="G406" s="83"/>
      <c r="H406" s="353"/>
      <c r="I406" s="104" t="str">
        <v>,Total H2-1</v>
      </c>
      <c r="J406" s="81"/>
    </row>
    <row r="407" spans="1:10">
      <c r="A407" s="83"/>
      <c r="B407" s="83"/>
      <c r="C407" s="109"/>
      <c r="D407" s="83"/>
      <c r="E407" s="83"/>
      <c r="F407" s="109"/>
      <c r="G407" s="83"/>
      <c r="H407" s="353"/>
      <c r="I407" s="104" t="str">
        <v>,</v>
      </c>
      <c r="J407" s="82"/>
    </row>
    <row r="408" spans="1:10">
      <c r="A408" s="83"/>
      <c r="B408" s="83"/>
      <c r="C408" s="109"/>
      <c r="D408" s="83"/>
      <c r="E408" s="83"/>
      <c r="F408" s="109"/>
      <c r="G408" s="83"/>
      <c r="H408" s="353"/>
      <c r="I408" s="104" t="str">
        <v>,</v>
      </c>
      <c r="J408" s="82"/>
    </row>
    <row r="409" spans="1:10">
      <c r="A409" s="364" t="s">
        <v>1457</v>
      </c>
      <c r="B409" s="365"/>
      <c r="C409" s="365"/>
      <c r="D409" s="365"/>
      <c r="E409" s="365"/>
      <c r="F409" s="365"/>
      <c r="G409" s="366"/>
      <c r="H409" s="353"/>
      <c r="I409" s="104" t="str">
        <v>Thursday, 16 April 2026,</v>
      </c>
      <c r="J409" s="81" t="e">
        <f>#N/A</f>
        <v>#N/A</v>
      </c>
    </row>
    <row r="410" spans="1:10">
      <c r="A410" s="364" t="s">
        <v>412</v>
      </c>
      <c r="B410" s="365"/>
      <c r="C410" s="365"/>
      <c r="D410" s="365"/>
      <c r="E410" s="365"/>
      <c r="F410" s="365"/>
      <c r="G410" s="366"/>
      <c r="H410" s="353"/>
      <c r="I410" s="104" t="str">
        <v>Session, 2 (12:00 PM - 2:00 PM),</v>
      </c>
      <c r="J410" s="81" t="e">
        <f>#N/A</f>
        <v>#N/A</v>
      </c>
    </row>
    <row r="411" spans="1:10">
      <c r="A411" s="111" t="s">
        <v>24</v>
      </c>
      <c r="B411" s="111" t="s">
        <v>25</v>
      </c>
      <c r="C411" s="178" t="s">
        <v>26</v>
      </c>
      <c r="D411" s="111" t="s">
        <v>27</v>
      </c>
      <c r="E411" s="111" t="s">
        <v>266</v>
      </c>
      <c r="F411" s="178" t="s">
        <v>28</v>
      </c>
      <c r="G411" s="111" t="s">
        <v>265</v>
      </c>
      <c r="H411" s="353"/>
      <c r="I411" s="104" t="str">
        <v>CODE ,CLASS</v>
      </c>
      <c r="J411" s="81" t="e">
        <f>#N/A</f>
        <v>#N/A</v>
      </c>
    </row>
    <row ht="16.5" customHeight="1" r="412" spans="1:10">
      <c r="A412" s="186" t="s">
        <v>390</v>
      </c>
      <c r="B412" s="186" t="str">
        <f>VLOOKUP(I412:I423,Lecturers!A2:G598,6,FALSE)</f>
        <v>DISCRETE STRUCTURES</v>
      </c>
      <c r="C412" s="123" t="str">
        <f>VLOOKUP(I412:I423,Lecturers!A2:G598,2,FALSE)</f>
        <v>Kwabi Prince Amponsah</v>
      </c>
      <c r="D412" s="186" t="s">
        <v>87</v>
      </c>
      <c r="E412" s="106">
        <f>IFERROR(VLOOKUP(I412:I423,Lecturers!A2:F596,3,FALSE),0)</f>
        <v>255</v>
      </c>
      <c r="F412" s="174" t="s">
        <v>2205</v>
      </c>
      <c r="G412" s="107">
        <f>E412*1.1</f>
        <v>280.5</v>
      </c>
      <c r="H412" s="353" t="s">
        <v>2211</v>
      </c>
      <c r="I412" s="104" t="str">
        <v>COE 253,ED2-COE</v>
      </c>
      <c r="J412" s="81">
        <v>112</v>
      </c>
    </row>
    <row r="413" spans="1:10">
      <c r="A413" s="180" t="s">
        <v>237</v>
      </c>
      <c r="B413" s="180" t="str">
        <v>PHYSICAL GEOLOGY</v>
      </c>
      <c r="C413" s="123" t="str">
        <v>Mensah Emmanuel</v>
      </c>
      <c r="D413" s="180" t="s">
        <v>73</v>
      </c>
      <c r="E413" s="112">
        <v>150</v>
      </c>
      <c r="F413" s="123" t="s">
        <v>2045</v>
      </c>
      <c r="G413" s="107">
        <f>E413*1.1</f>
        <v>165</v>
      </c>
      <c r="H413" s="353" t="s">
        <v>2249</v>
      </c>
      <c r="I413" s="104" t="str">
        <f>_xlfn.CONCAT(A413,",",D413)</f>
        <v>GED 253,ED2-GEOL</v>
      </c>
      <c r="J413" s="81"/>
    </row>
    <row r="414" spans="1:10">
      <c r="A414" s="180" t="s">
        <v>350</v>
      </c>
      <c r="B414" s="180" t="str">
        <v>MARINE ENGINEERING ECONOMY, ACCOUNTING AND MANAGEMENT</v>
      </c>
      <c r="C414" s="123" t="str">
        <v>Mensah Lena Dzifa</v>
      </c>
      <c r="D414" s="180" t="s">
        <v>116</v>
      </c>
      <c r="E414" s="106">
        <v>23</v>
      </c>
      <c r="F414" s="123">
        <v>304</v>
      </c>
      <c r="G414" s="107">
        <f>E414*1.1</f>
        <v>25.3</v>
      </c>
      <c r="H414" s="354">
        <v>23</v>
      </c>
      <c r="I414" s="104" t="str">
        <f>_xlfn.CONCAT(A414,",",D414)</f>
        <v>MME 491,ED4-MARI</v>
      </c>
      <c r="J414" s="81">
        <v>233</v>
      </c>
    </row>
    <row r="415" spans="1:10">
      <c r="A415" s="180" t="s">
        <v>244</v>
      </c>
      <c r="B415" s="180" t="str">
        <v>ENGINEERING ECONOMICS AND MANAGEMENT</v>
      </c>
      <c r="C415" s="123" t="str">
        <v>Mensah Lena Dzifa</v>
      </c>
      <c r="D415" s="180" t="s">
        <v>114</v>
      </c>
      <c r="E415" s="106">
        <v>205</v>
      </c>
      <c r="F415" s="123" t="s">
        <v>2191</v>
      </c>
      <c r="G415" s="107">
        <f>E415*1.1</f>
        <v>225.5</v>
      </c>
      <c r="H415" s="354" t="s">
        <v>2195</v>
      </c>
      <c r="I415" s="104" t="str">
        <f>_xlfn.CONCAT(A415,",",D415)</f>
        <v>ME 491,ED4-EE</v>
      </c>
      <c r="J415" s="81">
        <v>233</v>
      </c>
    </row>
    <row r="416" spans="1:10">
      <c r="A416" s="180" t="s">
        <v>244</v>
      </c>
      <c r="B416" s="180" t="str">
        <v>ENGINEERING ECONOMY AND MANAGEMENT</v>
      </c>
      <c r="C416" s="123" t="str">
        <v>Mensah Lena Dzifa</v>
      </c>
      <c r="D416" s="180" t="s">
        <v>15</v>
      </c>
      <c r="E416" s="106">
        <v>140</v>
      </c>
      <c r="F416" s="124" t="s">
        <v>2045</v>
      </c>
      <c r="G416" s="107">
        <f>E416*1.1</f>
        <v>154</v>
      </c>
      <c r="H416" s="354" t="s">
        <v>2018</v>
      </c>
      <c r="I416" s="104" t="str">
        <v>ME 491,ED4-ME</v>
      </c>
      <c r="J416" s="81">
        <v>83</v>
      </c>
    </row>
    <row r="417" spans="1:10">
      <c r="A417" s="180" t="s">
        <v>244</v>
      </c>
      <c r="B417" s="180" t="str">
        <v>ENGINEERING ECONOMICS AND MANAGEMENT</v>
      </c>
      <c r="C417" s="123" t="str">
        <v>Mensah Lena Dzifa</v>
      </c>
      <c r="D417" s="180" t="s">
        <v>113</v>
      </c>
      <c r="E417" s="106">
        <v>160</v>
      </c>
      <c r="F417" s="124" t="s">
        <v>2231</v>
      </c>
      <c r="G417" s="107">
        <f>E417*1.1</f>
        <v>176</v>
      </c>
      <c r="H417" s="354" t="s">
        <v>2100</v>
      </c>
      <c r="I417" s="104" t="str">
        <v>ME 491,ED4-COE</v>
      </c>
      <c r="J417" s="81">
        <v>140</v>
      </c>
    </row>
    <row r="418" spans="1:10">
      <c r="A418" s="180" t="s">
        <v>244</v>
      </c>
      <c r="B418" s="180" t="str">
        <v>ENGINEERING ECONOMY AND MANAGEMENT</v>
      </c>
      <c r="C418" s="123" t="str">
        <v>Mensah Lena Dzifa</v>
      </c>
      <c r="D418" s="180" t="s">
        <v>64</v>
      </c>
      <c r="E418" s="106">
        <v>64</v>
      </c>
      <c r="F418" s="324" t="s">
        <v>2248</v>
      </c>
      <c r="G418" s="107">
        <f>E418*1.1</f>
        <v>70.4</v>
      </c>
      <c r="H418" s="354" t="s">
        <v>2250</v>
      </c>
      <c r="I418" s="104" t="str">
        <v>ME 491,ED4-MSE</v>
      </c>
      <c r="J418" s="81">
        <v>33</v>
      </c>
    </row>
    <row r="419" spans="1:10">
      <c r="A419" s="180" t="s">
        <v>244</v>
      </c>
      <c r="B419" s="180" t="str">
        <v>ENGINEERING ECONOMY AND MANAGEMENT</v>
      </c>
      <c r="C419" s="123" t="str">
        <v>Mensah Lena Dzifa</v>
      </c>
      <c r="D419" s="180" t="s">
        <v>62</v>
      </c>
      <c r="E419" s="106">
        <v>53</v>
      </c>
      <c r="F419" s="123" t="s">
        <v>381</v>
      </c>
      <c r="G419" s="107">
        <f>E419*1.1</f>
        <v>58.3</v>
      </c>
      <c r="H419" s="354">
        <v>53</v>
      </c>
      <c r="I419" s="104" t="str">
        <v>ME 491,ED4-METE</v>
      </c>
      <c r="J419" s="81">
        <v>39</v>
      </c>
    </row>
    <row r="420" spans="1:10">
      <c r="A420" s="180" t="s">
        <v>244</v>
      </c>
      <c r="B420" s="180" t="str">
        <v>ENGINEERING ECONOMICS AND MANAGEMENT</v>
      </c>
      <c r="C420" s="123" t="str">
        <v>Aikins Stephen Hill Mends</v>
      </c>
      <c r="D420" s="180" t="s">
        <v>41</v>
      </c>
      <c r="E420" s="106">
        <v>103</v>
      </c>
      <c r="F420" s="123" t="s">
        <v>1992</v>
      </c>
      <c r="G420" s="107">
        <f>E420*1.1</f>
        <v>113.3</v>
      </c>
      <c r="H420" s="354" t="s">
        <v>2251</v>
      </c>
      <c r="I420" s="104" t="str">
        <v>ME 491,ED4-AE</v>
      </c>
      <c r="J420" s="81">
        <v>119</v>
      </c>
    </row>
    <row r="421" spans="1:10">
      <c r="A421" s="180" t="s">
        <v>244</v>
      </c>
      <c r="B421" s="180" t="str">
        <v>ENGINEERING ECONOMICS AND MANAGEMENT</v>
      </c>
      <c r="C421" s="123" t="str">
        <v>Mensah Lena Dzifa</v>
      </c>
      <c r="D421" s="180" t="s">
        <v>75</v>
      </c>
      <c r="E421" s="106">
        <v>87</v>
      </c>
      <c r="F421" s="123" t="s">
        <v>1990</v>
      </c>
      <c r="G421" s="107">
        <f>E421*1.1</f>
        <v>95.7</v>
      </c>
      <c r="H421" s="354" t="s">
        <v>2252</v>
      </c>
      <c r="I421" s="104" t="str">
        <v>ME 491,ED4-BME</v>
      </c>
      <c r="J421" s="81">
        <v>59</v>
      </c>
    </row>
    <row r="422" spans="1:10">
      <c r="A422" s="180" t="s">
        <v>244</v>
      </c>
      <c r="B422" s="180" t="str">
        <v>ENGINEERING ECONOMY AND MANAGEMENT</v>
      </c>
      <c r="C422" s="123" t="str">
        <v>Mensah Lena Dzifa</v>
      </c>
      <c r="D422" s="180" t="s">
        <v>115</v>
      </c>
      <c r="E422" s="106">
        <v>67</v>
      </c>
      <c r="F422" s="324" t="s">
        <v>2021</v>
      </c>
      <c r="G422" s="107">
        <f>E422*1.1</f>
        <v>73.7</v>
      </c>
      <c r="H422" s="354" t="s">
        <v>2034</v>
      </c>
      <c r="I422" s="104" t="str">
        <v>ME 491,ED4-IND</v>
      </c>
      <c r="J422" s="81">
        <v>85</v>
      </c>
    </row>
    <row r="423" spans="1:10">
      <c r="A423" s="180" t="s">
        <v>244</v>
      </c>
      <c r="B423" s="180" t="str">
        <v>ENGINEERING ECONOMY AND MANAGEMENT</v>
      </c>
      <c r="C423" s="122" t="str">
        <v>Asiedu Charlotte</v>
      </c>
      <c r="D423" s="180" t="s">
        <v>112</v>
      </c>
      <c r="E423" s="106">
        <v>32</v>
      </c>
      <c r="F423" s="123" t="s">
        <v>381</v>
      </c>
      <c r="G423" s="107">
        <f>E423*1.1</f>
        <v>35.2</v>
      </c>
      <c r="H423" s="353">
        <v>32</v>
      </c>
      <c r="I423" s="104" t="str">
        <f>_xlfn.CONCAT(A423,",",D423)</f>
        <v>ME 491,ED4-AUTO</v>
      </c>
      <c r="J423" s="81">
        <v>142</v>
      </c>
    </row>
    <row r="424" spans="1:10">
      <c r="A424" s="83"/>
      <c r="B424" s="83"/>
      <c r="C424" s="109"/>
      <c r="D424" s="180" t="s">
        <v>298</v>
      </c>
      <c r="E424" s="110">
        <f>SUM(E412:E423)</f>
        <v>1339</v>
      </c>
      <c r="F424" s="109"/>
      <c r="G424" s="83"/>
      <c r="H424" s="353"/>
      <c r="I424" s="104" t="str">
        <v>,Total H2-2</v>
      </c>
      <c r="J424" s="81" t="e">
        <f>#N/A</f>
        <v>#N/A</v>
      </c>
    </row>
    <row r="425" spans="1:10">
      <c r="A425" s="83"/>
      <c r="B425" s="83"/>
      <c r="C425" s="109"/>
      <c r="D425" s="83"/>
      <c r="E425" s="83"/>
      <c r="F425" s="109"/>
      <c r="G425" s="83"/>
      <c r="H425" s="353"/>
      <c r="I425" s="104" t="str">
        <v>,</v>
      </c>
      <c r="J425" s="82"/>
    </row>
    <row r="426" spans="1:10">
      <c r="A426" s="83"/>
      <c r="B426" s="83"/>
      <c r="C426" s="109"/>
      <c r="D426" s="180"/>
      <c r="E426" s="91"/>
      <c r="F426" s="109"/>
      <c r="G426" s="83"/>
      <c r="H426" s="353"/>
      <c r="J426" s="81"/>
    </row>
    <row r="427" spans="1:10">
      <c r="A427" s="364" t="s">
        <v>1457</v>
      </c>
      <c r="B427" s="365"/>
      <c r="C427" s="365"/>
      <c r="D427" s="365"/>
      <c r="E427" s="365"/>
      <c r="F427" s="365"/>
      <c r="G427" s="366"/>
      <c r="H427" s="353"/>
      <c r="I427" s="104" t="str">
        <f>_xlfn.CONCAT(A427,",",D427)</f>
        <v>Thursday, 16 April 2026,</v>
      </c>
      <c r="J427" s="81" t="e">
        <f>#N/A</f>
        <v>#N/A</v>
      </c>
    </row>
    <row r="428" spans="1:10">
      <c r="A428" s="364" t="s">
        <v>413</v>
      </c>
      <c r="B428" s="365"/>
      <c r="C428" s="365"/>
      <c r="D428" s="365"/>
      <c r="E428" s="365"/>
      <c r="F428" s="365"/>
      <c r="G428" s="366"/>
      <c r="H428" s="353"/>
      <c r="I428" s="104" t="str">
        <v>Session, 3 (3:00 PM - 5:00 PM),</v>
      </c>
      <c r="J428" s="81" t="e">
        <f>#N/A</f>
        <v>#N/A</v>
      </c>
    </row>
    <row r="429" spans="1:10">
      <c r="A429" s="111" t="s">
        <v>24</v>
      </c>
      <c r="B429" s="111" t="s">
        <v>25</v>
      </c>
      <c r="C429" s="179"/>
      <c r="D429" s="111" t="s">
        <v>27</v>
      </c>
      <c r="E429" s="111" t="s">
        <v>266</v>
      </c>
      <c r="F429" s="178" t="s">
        <v>28</v>
      </c>
      <c r="G429" s="111" t="s">
        <v>265</v>
      </c>
      <c r="H429" s="353"/>
      <c r="I429" s="104" t="str">
        <v>CODE ,CLASS</v>
      </c>
      <c r="J429" s="81" t="e">
        <f>#N/A</f>
        <v>#N/A</v>
      </c>
    </row>
    <row r="430" spans="1:10">
      <c r="A430" s="180" t="s">
        <v>269</v>
      </c>
      <c r="B430" s="180" t="str">
        <f>VLOOKUP(I430:I438,Lecturers!A2:G598,6,FALSE)</f>
        <v>ELECTROCHEMICAL TECHNOLOGY</v>
      </c>
      <c r="C430" s="122" t="str">
        <f>VLOOKUP(I430:I438,Lecturers!A2:G598,2,FALSE)</f>
        <v>Anang Daniel Adjah</v>
      </c>
      <c r="D430" s="180" t="s">
        <v>78</v>
      </c>
      <c r="E430" s="106">
        <f>IFERROR(VLOOKUP(I430:I438,Lecturers!A2:F596,3,FALSE),0)</f>
        <v>40</v>
      </c>
      <c r="F430" s="123" t="s">
        <v>277</v>
      </c>
      <c r="G430" s="107">
        <f>E430*1.1</f>
        <v>44</v>
      </c>
      <c r="H430" s="354">
        <v>40</v>
      </c>
      <c r="I430" s="104" t="str">
        <v>CHE 463,ED4-CHE</v>
      </c>
      <c r="J430" s="81">
        <v>134</v>
      </c>
    </row>
    <row r="431" spans="1:10">
      <c r="A431" s="180" t="s">
        <v>269</v>
      </c>
      <c r="B431" s="180" t="str">
        <v>ELECTROCHEMICAL TECHNOLOGY</v>
      </c>
      <c r="C431" s="123" t="str">
        <v>Anang Daniel Adjah</v>
      </c>
      <c r="D431" s="180" t="s">
        <v>79</v>
      </c>
      <c r="E431" s="106">
        <v>18</v>
      </c>
      <c r="F431" s="123" t="s">
        <v>4</v>
      </c>
      <c r="G431" s="107">
        <f>E431*1.1</f>
        <v>19.8</v>
      </c>
      <c r="H431" s="354">
        <v>18</v>
      </c>
      <c r="I431" s="104" t="str">
        <f>_xlfn.CONCAT(A431,",",D431)</f>
        <v>CHE 463,ED4-PCE</v>
      </c>
      <c r="J431" s="81">
        <v>41</v>
      </c>
    </row>
    <row r="432" spans="1:10">
      <c r="A432" s="180" t="s">
        <v>123</v>
      </c>
      <c r="B432" s="180" t="str">
        <v>ELEMENTARY STRUCTURES</v>
      </c>
      <c r="C432" s="123" t="str">
        <v>Afrifa Russel Owusu</v>
      </c>
      <c r="D432" s="180" t="s">
        <v>36</v>
      </c>
      <c r="E432" s="112">
        <v>245</v>
      </c>
      <c r="F432" s="123" t="s">
        <v>2152</v>
      </c>
      <c r="G432" s="107">
        <f>E432*1.1</f>
        <v>269.5</v>
      </c>
      <c r="H432" s="353" t="s">
        <v>2156</v>
      </c>
      <c r="I432" s="104" t="str">
        <f>_xlfn.CONCAT(A432,",",D432)</f>
        <v>CE 151,ED1-CE</v>
      </c>
      <c r="J432" s="81">
        <v>250</v>
      </c>
    </row>
    <row r="433" spans="1:12">
      <c r="A433" s="180" t="s">
        <v>123</v>
      </c>
      <c r="B433" s="180" t="str">
        <v>ELEMENTARY STRUCTURES</v>
      </c>
      <c r="C433" s="123" t="str">
        <v>Afrifa Russel Owusu</v>
      </c>
      <c r="D433" s="180" t="s">
        <v>6</v>
      </c>
      <c r="E433" s="112">
        <v>125</v>
      </c>
      <c r="F433" s="123" t="s">
        <v>1992</v>
      </c>
      <c r="G433" s="107">
        <f>E433*1.1</f>
        <v>137.5</v>
      </c>
      <c r="H433" s="353" t="s">
        <v>2235</v>
      </c>
      <c r="I433" s="104" t="str">
        <v>CE 151,ED1-GEOL</v>
      </c>
      <c r="J433" s="81">
        <v>105</v>
      </c>
    </row>
    <row r="434" spans="1:12">
      <c r="A434" s="180" t="s">
        <v>179</v>
      </c>
      <c r="B434" s="180" t="str">
        <v>LINEAR ELECTRONIC CIRCUITS</v>
      </c>
      <c r="C434" s="122" t="str">
        <v>Agbemenu Andrew Selasi</v>
      </c>
      <c r="D434" s="180" t="s">
        <v>55</v>
      </c>
      <c r="E434" s="106">
        <v>270</v>
      </c>
      <c r="F434" s="124" t="s">
        <v>2253</v>
      </c>
      <c r="G434" s="107">
        <f>E434*1.1</f>
        <v>297</v>
      </c>
      <c r="H434" s="353" t="s">
        <v>2255</v>
      </c>
      <c r="I434" s="104" t="str">
        <v>COE 371,ED3-COE</v>
      </c>
      <c r="J434" s="81">
        <v>227</v>
      </c>
    </row>
    <row r="435" spans="1:12">
      <c r="A435" s="180" t="s">
        <v>160</v>
      </c>
      <c r="B435" s="180" t="str">
        <v>TECHNICAL DRAWING</v>
      </c>
      <c r="C435" s="123" t="str">
        <v>Afriyie Nyarko Frank Kwabena</v>
      </c>
      <c r="D435" s="180" t="s">
        <v>32</v>
      </c>
      <c r="E435" s="106">
        <v>265</v>
      </c>
      <c r="F435" s="124" t="s">
        <v>2176</v>
      </c>
      <c r="G435" s="107">
        <f>E435*1.1</f>
        <v>291.5</v>
      </c>
      <c r="H435" s="354" t="s">
        <v>2256</v>
      </c>
      <c r="I435" s="104" t="str">
        <f>_xlfn.CONCAT(A435,",",D435)</f>
        <v>ME 159,ED1-COE</v>
      </c>
      <c r="J435" s="81">
        <v>240</v>
      </c>
    </row>
    <row r="436" spans="1:12">
      <c r="A436" s="180" t="s">
        <v>195</v>
      </c>
      <c r="B436" s="180" t="str">
        <v>NATURAL GAS PROCESSING TECHNOLOGY</v>
      </c>
      <c r="C436" s="122" t="str">
        <v>Benjamin Asante</v>
      </c>
      <c r="D436" s="180" t="s">
        <v>106</v>
      </c>
      <c r="E436" s="106">
        <v>50</v>
      </c>
      <c r="F436" s="123" t="s">
        <v>414</v>
      </c>
      <c r="G436" s="107">
        <f>E436*1.1</f>
        <v>55</v>
      </c>
      <c r="H436" s="353">
        <v>50</v>
      </c>
      <c r="I436" s="104" t="str">
        <f>_xlfn.CONCAT(A436,",",D436)</f>
        <v>CHE 371,ED3-CHE</v>
      </c>
      <c r="J436" s="81">
        <v>71</v>
      </c>
    </row>
    <row r="437" spans="1:12">
      <c r="A437" s="180" t="s">
        <v>387</v>
      </c>
      <c r="B437" s="180" t="str">
        <v>RESERVOIR SIMULATION</v>
      </c>
      <c r="C437" s="131" t="str">
        <v>Ampomah William</v>
      </c>
      <c r="D437" s="180" t="s">
        <v>1470</v>
      </c>
      <c r="E437" s="106">
        <v>103</v>
      </c>
      <c r="F437" s="124" t="s">
        <v>1992</v>
      </c>
      <c r="G437" s="107">
        <f>E437*1.1</f>
        <v>113.3</v>
      </c>
      <c r="H437" s="353" t="s">
        <v>2118</v>
      </c>
      <c r="I437" s="104" t="str">
        <f>_xlfn.CONCAT(A437,",",D437)</f>
        <v>PE 455,ED4-PE</v>
      </c>
      <c r="J437" s="81">
        <v>101</v>
      </c>
    </row>
    <row r="438" spans="1:12" s="136" customFormat="1">
      <c r="A438" s="181" t="s">
        <v>250</v>
      </c>
      <c r="B438" s="181" t="str">
        <v>GEOMETRICAL GEODESY</v>
      </c>
      <c r="C438" s="126" t="str">
        <v>Dadzie Isaac</v>
      </c>
      <c r="D438" s="181" t="s">
        <v>107</v>
      </c>
      <c r="E438" s="108">
        <v>125</v>
      </c>
      <c r="F438" s="132" t="s">
        <v>2254</v>
      </c>
      <c r="G438" s="138">
        <f>E438*1.1</f>
        <v>137.5</v>
      </c>
      <c r="H438" s="357" t="s">
        <v>2257</v>
      </c>
      <c r="I438" s="139" t="str">
        <v>GE 353,ED3-GEOM</v>
      </c>
      <c r="J438" s="81">
        <v>32</v>
      </c>
    </row>
    <row r="439" spans="1:12">
      <c r="A439" s="83"/>
      <c r="B439" s="83"/>
      <c r="C439" s="109"/>
      <c r="D439" s="180" t="s">
        <v>399</v>
      </c>
      <c r="E439" s="91">
        <f>SUM(E430:E438)</f>
        <v>1241</v>
      </c>
      <c r="F439" s="109"/>
      <c r="G439" s="83"/>
      <c r="H439" s="353"/>
      <c r="I439" s="104" t="str">
        <v>,Total M3-1</v>
      </c>
      <c r="J439" s="81" t="e">
        <f>#N/A</f>
        <v>#N/A</v>
      </c>
    </row>
    <row r="440" spans="1:12">
      <c r="A440" s="83"/>
      <c r="B440" s="83"/>
      <c r="C440" s="109"/>
      <c r="D440" s="83"/>
      <c r="E440" s="83"/>
      <c r="F440" s="109"/>
      <c r="G440" s="83"/>
      <c r="H440" s="353"/>
      <c r="I440" s="104" t="str">
        <v>,</v>
      </c>
      <c r="J440" s="82"/>
    </row>
    <row r="441" spans="1:12">
      <c r="A441" s="363" t="s">
        <v>1458</v>
      </c>
      <c r="B441" s="363"/>
      <c r="C441" s="363"/>
      <c r="D441" s="363"/>
      <c r="E441" s="363"/>
      <c r="F441" s="363"/>
      <c r="G441" s="363"/>
      <c r="H441" s="353"/>
      <c r="I441" s="83" t="str">
        <f>_xlfn.CONCAT(A441,",",D441)</f>
        <v>Friday, 17 April 2026,</v>
      </c>
      <c r="J441" s="105"/>
    </row>
    <row r="442" spans="1:12">
      <c r="A442" s="364" t="s">
        <v>411</v>
      </c>
      <c r="B442" s="365"/>
      <c r="C442" s="365"/>
      <c r="D442" s="365"/>
      <c r="E442" s="365"/>
      <c r="F442" s="365"/>
      <c r="G442" s="366"/>
      <c r="H442" s="353"/>
      <c r="I442" s="83" t="str">
        <v>Session, 1 (8:30 AM - 10:30 AM),</v>
      </c>
      <c r="J442" s="105"/>
      <c r="L442" s="105" t="s">
        <v>379</v>
      </c>
    </row>
    <row r="443" spans="1:12" s="105" customFormat="1">
      <c r="A443" s="91" t="s">
        <v>24</v>
      </c>
      <c r="B443" s="91" t="s">
        <v>25</v>
      </c>
      <c r="C443" s="179" t="s">
        <v>26</v>
      </c>
      <c r="D443" s="91" t="s">
        <v>27</v>
      </c>
      <c r="E443" s="91" t="s">
        <v>266</v>
      </c>
      <c r="F443" s="179" t="s">
        <v>28</v>
      </c>
      <c r="G443" s="91" t="s">
        <v>265</v>
      </c>
      <c r="H443" s="353"/>
      <c r="I443" s="83" t="str">
        <v>CODE ,CLASS</v>
      </c>
      <c r="J443" s="81" t="e">
        <f>#N/A</f>
        <v>#N/A</v>
      </c>
    </row>
    <row r="444" spans="1:12">
      <c r="A444" s="180" t="s">
        <v>241</v>
      </c>
      <c r="B444" s="180" t="str">
        <f>VLOOKUP(I444:I457,Lecturers!A2:G598,6,FALSE)</f>
        <v>BASIC SURVEY PRINCIPLES I</v>
      </c>
      <c r="C444" s="122" t="str">
        <f>VLOOKUP(I444:I457,Lecturers!A2:G598,2,FALSE)</f>
        <v>Ayer John Wise Divine</v>
      </c>
      <c r="D444" s="180" t="s">
        <v>10</v>
      </c>
      <c r="E444" s="106">
        <f>IFERROR(VLOOKUP(I444:I457,Lecturers!A2:F596,3,FALSE),0)</f>
        <v>100</v>
      </c>
      <c r="F444" s="123" t="s">
        <v>1992</v>
      </c>
      <c r="G444" s="107">
        <f>E444*1.1</f>
        <v>110</v>
      </c>
      <c r="H444" s="353" t="s">
        <v>2057</v>
      </c>
      <c r="I444" s="83" t="str">
        <v>GE 161,ED1-GEOM</v>
      </c>
      <c r="J444" s="81">
        <v>102</v>
      </c>
    </row>
    <row r="445" spans="1:12">
      <c r="A445" s="180" t="s">
        <v>191</v>
      </c>
      <c r="B445" s="180" t="str">
        <v>PRINCIPLES OF ENGINEERING GEOLOGY</v>
      </c>
      <c r="C445" s="122" t="str">
        <v>Gidigasu Solomon Senyo Robert</v>
      </c>
      <c r="D445" s="180" t="s">
        <v>52</v>
      </c>
      <c r="E445" s="106">
        <v>154</v>
      </c>
      <c r="F445" s="124" t="s">
        <v>2213</v>
      </c>
      <c r="G445" s="107">
        <f>E445*1.1</f>
        <v>169.4</v>
      </c>
      <c r="H445" s="353" t="s">
        <v>2261</v>
      </c>
      <c r="I445" s="104" t="str">
        <f>_xlfn.CONCAT(A445,",",D445)</f>
        <v>GED 375,ED3-GEOL</v>
      </c>
      <c r="J445" s="81">
        <v>178</v>
      </c>
    </row>
    <row r="446" spans="1:12">
      <c r="A446" s="180" t="s">
        <v>16</v>
      </c>
      <c r="B446" s="180" t="str">
        <v>BEHAVIOUR OF REAL FLUIDS</v>
      </c>
      <c r="C446" s="123" t="str">
        <v>Opoku Richard</v>
      </c>
      <c r="D446" s="180" t="s">
        <v>17</v>
      </c>
      <c r="E446" s="106">
        <v>53</v>
      </c>
      <c r="F446" s="124" t="s">
        <v>2258</v>
      </c>
      <c r="G446" s="107">
        <f>E446*1.1</f>
        <v>58.3</v>
      </c>
      <c r="H446" s="354" t="s">
        <v>2262</v>
      </c>
      <c r="I446" s="104" t="str">
        <f>_xlfn.CONCAT(A446,",",D446)</f>
        <v>ME 451,ED4-AERO</v>
      </c>
      <c r="J446" s="81">
        <v>6</v>
      </c>
    </row>
    <row r="447" spans="1:12">
      <c r="A447" s="180" t="s">
        <v>16</v>
      </c>
      <c r="B447" s="180" t="str">
        <v>BEHAVIOUR OF REAL FLUIDS</v>
      </c>
      <c r="C447" s="122" t="str">
        <v>Opoku Richard</v>
      </c>
      <c r="D447" s="180" t="s">
        <v>15</v>
      </c>
      <c r="E447" s="106">
        <v>58</v>
      </c>
      <c r="F447" s="123" t="s">
        <v>2259</v>
      </c>
      <c r="G447" s="107">
        <f>E447*1.1</f>
        <v>63.8</v>
      </c>
      <c r="H447" s="353" t="s">
        <v>2263</v>
      </c>
      <c r="I447" s="104" t="str">
        <f>_xlfn.CONCAT(A447,",",D447)</f>
        <v>ME 451,ED4-ME</v>
      </c>
      <c r="J447" s="81">
        <v>33</v>
      </c>
    </row>
    <row r="448" spans="1:12">
      <c r="A448" s="180" t="s">
        <v>178</v>
      </c>
      <c r="B448" s="180" t="str">
        <v>MICROELECTRONIC CIRCUITS</v>
      </c>
      <c r="C448" s="123" t="str">
        <v>Acheampong Francisca Adoma</v>
      </c>
      <c r="D448" s="180" t="s">
        <v>54</v>
      </c>
      <c r="E448" s="106">
        <v>140</v>
      </c>
      <c r="F448" s="134" t="s">
        <v>1959</v>
      </c>
      <c r="G448" s="107">
        <f>E448*1.1</f>
        <v>154</v>
      </c>
      <c r="H448" s="354" t="s">
        <v>2264</v>
      </c>
      <c r="I448" s="104" t="str">
        <f>_xlfn.CONCAT(A448,",",D448)</f>
        <v>EE 371,ED3-TEL</v>
      </c>
      <c r="J448" s="81"/>
    </row>
    <row r="449" spans="1:10" s="105" customFormat="1">
      <c r="A449" s="180" t="s">
        <v>453</v>
      </c>
      <c r="B449" s="180" t="str">
        <v>PRINCIPLES OF MATERIALS SCIENCE</v>
      </c>
      <c r="C449" s="123" t="str">
        <v>Nartey Martinson Addo</v>
      </c>
      <c r="D449" s="180" t="s">
        <v>35</v>
      </c>
      <c r="E449" s="106">
        <v>100</v>
      </c>
      <c r="F449" s="176" t="s">
        <v>1992</v>
      </c>
      <c r="G449" s="107">
        <f>1.1*E449</f>
        <v>110</v>
      </c>
      <c r="H449" s="353" t="s">
        <v>2057</v>
      </c>
      <c r="I449" s="105" t="str">
        <f>CONCATENATE(A449,",",D449)</f>
        <v>MSE 155,ED1-MSE</v>
      </c>
      <c r="J449" s="102"/>
    </row>
    <row r="450" spans="1:10" s="105" customFormat="1">
      <c r="A450" s="316" t="s">
        <v>453</v>
      </c>
      <c r="B450" s="180" t="str">
        <v>PRINCIPLES OF MATERIALS SCIENCE</v>
      </c>
      <c r="C450" s="123" t="str">
        <v>Nartey Martinson Addo</v>
      </c>
      <c r="D450" s="180" t="s">
        <v>11</v>
      </c>
      <c r="E450" s="106">
        <v>76</v>
      </c>
      <c r="F450" s="176" t="s">
        <v>1958</v>
      </c>
      <c r="G450" s="107">
        <f>1.1*E450</f>
        <v>83.6</v>
      </c>
      <c r="H450" s="353" t="s">
        <v>2265</v>
      </c>
      <c r="I450" s="105" t="str">
        <f>CONCATENATE(A450,",",D450)</f>
        <v>MSE 155,ED1-METE</v>
      </c>
      <c r="J450" s="102"/>
    </row>
    <row r="451" spans="1:10">
      <c r="A451" s="180" t="s">
        <v>498</v>
      </c>
      <c r="B451" s="180" t="str">
        <v>MATERIALS PROCESSING</v>
      </c>
      <c r="C451" s="122" t="str">
        <v>Agyemang Frank Ofori</v>
      </c>
      <c r="D451" s="180" t="s">
        <v>104</v>
      </c>
      <c r="E451" s="106">
        <v>80</v>
      </c>
      <c r="F451" s="176" t="s">
        <v>431</v>
      </c>
      <c r="G451" s="107">
        <f>E451*1.1</f>
        <v>88</v>
      </c>
      <c r="H451" s="353">
        <v>80</v>
      </c>
      <c r="I451" s="104" t="str">
        <f>_xlfn.CONCAT(A451,",",D451)</f>
        <v>MSE 257,ED2-MSE</v>
      </c>
      <c r="J451" s="81"/>
    </row>
    <row ht="14.25" customHeight="1" r="452" spans="1:10">
      <c r="A452" s="180" t="s">
        <v>215</v>
      </c>
      <c r="B452" s="180" t="str">
        <v>METALLURGICAL THERMODYNAMICS</v>
      </c>
      <c r="C452" s="123" t="str">
        <v>Gikunoo Emmanuel</v>
      </c>
      <c r="D452" s="180" t="s">
        <v>72</v>
      </c>
      <c r="E452" s="106">
        <v>59</v>
      </c>
      <c r="F452" s="175" t="s">
        <v>414</v>
      </c>
      <c r="G452" s="107">
        <f>E452*1.1</f>
        <v>64.9</v>
      </c>
      <c r="H452" s="356">
        <v>59</v>
      </c>
      <c r="I452" s="83" t="str">
        <v>METE 251,ED2-METE</v>
      </c>
      <c r="J452" s="81">
        <v>72</v>
      </c>
    </row>
    <row r="453" spans="1:10">
      <c r="A453" s="180" t="s">
        <v>240</v>
      </c>
      <c r="B453" s="180" t="str">
        <v>REINFORCED CONCRETE DESIGN</v>
      </c>
      <c r="C453" s="122" t="str">
        <v>Owusu Twumasi Jones</v>
      </c>
      <c r="D453" s="180" t="s">
        <v>51</v>
      </c>
      <c r="E453" s="106">
        <v>220</v>
      </c>
      <c r="F453" s="176" t="s">
        <v>2191</v>
      </c>
      <c r="G453" s="107">
        <f>E453*1.1</f>
        <v>242</v>
      </c>
      <c r="H453" s="353" t="s">
        <v>2266</v>
      </c>
      <c r="I453" s="104" t="str">
        <f>_xlfn.CONCAT(A453,",",D453)</f>
        <v>CE 353,ED3-CE</v>
      </c>
      <c r="J453" s="81"/>
    </row>
    <row r="454" spans="1:10">
      <c r="A454" s="180" t="s">
        <v>245</v>
      </c>
      <c r="B454" s="180" t="str">
        <v>EXPLORATION GEOPHYSICS</v>
      </c>
      <c r="C454" s="122" t="str">
        <v>Ali Bukari</v>
      </c>
      <c r="D454" s="180" t="s">
        <v>22</v>
      </c>
      <c r="E454" s="106">
        <v>95</v>
      </c>
      <c r="F454" s="176" t="s">
        <v>2260</v>
      </c>
      <c r="G454" s="107">
        <f>E454*1.1</f>
        <v>104.5</v>
      </c>
      <c r="H454" s="353" t="s">
        <v>2267</v>
      </c>
      <c r="I454" s="104" t="str">
        <f>_xlfn.CONCAT(A454,",",D454)</f>
        <v>GED 461,ED4-GEOL</v>
      </c>
      <c r="J454" s="81"/>
    </row>
    <row r="455" spans="1:10">
      <c r="A455" s="180" t="s">
        <v>307</v>
      </c>
      <c r="B455" s="180" t="str">
        <v>PROJECT MANAGEMENT</v>
      </c>
      <c r="C455" s="122" t="str">
        <v>Asiedu Charlotte</v>
      </c>
      <c r="D455" s="180" t="s">
        <v>108</v>
      </c>
      <c r="E455" s="106">
        <v>72</v>
      </c>
      <c r="F455" s="124" t="s">
        <v>1958</v>
      </c>
      <c r="G455" s="107">
        <f>E455*1.1</f>
        <v>79.2</v>
      </c>
      <c r="H455" s="353" t="s">
        <v>2268</v>
      </c>
      <c r="I455" s="104" t="str">
        <f>_xlfn.CONCAT(A455,",",D455)</f>
        <v>IE 357,ED3-IND</v>
      </c>
      <c r="J455" s="81">
        <v>143</v>
      </c>
    </row>
    <row r="456" spans="1:10">
      <c r="A456" s="180" t="s">
        <v>187</v>
      </c>
      <c r="B456" s="180" t="str">
        <v>INTRODUCTION TO AVIATION TECHNOLOGY</v>
      </c>
      <c r="C456" s="122" t="str">
        <v>Oppong David Kofi</v>
      </c>
      <c r="D456" s="180" t="s">
        <v>1</v>
      </c>
      <c r="E456" s="112">
        <v>70</v>
      </c>
      <c r="F456" s="129" t="s">
        <v>431</v>
      </c>
      <c r="G456" s="107">
        <f>E456*1.1</f>
        <v>77</v>
      </c>
      <c r="H456" s="354">
        <v>70</v>
      </c>
      <c r="I456" s="104" t="str">
        <v>AERO 157,ED1-AERO</v>
      </c>
      <c r="J456" s="81">
        <v>30</v>
      </c>
    </row>
    <row r="457" spans="1:10">
      <c r="A457" s="180" t="s">
        <v>205</v>
      </c>
      <c r="B457" s="180" t="str">
        <v>AEROSPACE INDUSTRY AND ENGINEERING</v>
      </c>
      <c r="C457" s="122" t="str">
        <v>Kwasi Kete Bofah</v>
      </c>
      <c r="D457" s="180" t="s">
        <v>48</v>
      </c>
      <c r="E457" s="106">
        <v>76</v>
      </c>
      <c r="F457" s="321" t="s">
        <v>414</v>
      </c>
      <c r="G457" s="107">
        <f>E457*1.1</f>
        <v>83.6</v>
      </c>
      <c r="H457" s="354">
        <v>76</v>
      </c>
      <c r="I457" s="104" t="str">
        <v>AERO 391,ED3-AERO</v>
      </c>
      <c r="J457" s="81"/>
    </row>
    <row r="458" spans="1:10">
      <c r="A458" s="83"/>
      <c r="B458" s="83"/>
      <c r="C458" s="109"/>
      <c r="D458" s="319" t="s">
        <v>280</v>
      </c>
      <c r="E458" s="110">
        <f>SUM(E444:E457)</f>
        <v>1353</v>
      </c>
      <c r="F458" s="109"/>
      <c r="G458" s="83"/>
      <c r="H458" s="353"/>
      <c r="I458" s="83" t="str">
        <f>_xlfn.CONCAT(A458,",",D458)</f>
        <v>,Total M1-1</v>
      </c>
      <c r="J458" s="81" t="e">
        <f>#N/A</f>
        <v>#N/A</v>
      </c>
    </row>
    <row r="459" spans="1:10">
      <c r="A459" s="83"/>
      <c r="B459" s="83"/>
      <c r="C459" s="109"/>
      <c r="D459" s="83"/>
      <c r="E459" s="83"/>
      <c r="F459" s="109"/>
      <c r="G459" s="83"/>
      <c r="H459" s="353"/>
      <c r="I459" s="83" t="str">
        <v>,</v>
      </c>
      <c r="J459" s="81" t="e">
        <f>#N/A</f>
        <v>#N/A</v>
      </c>
    </row>
    <row r="460" spans="1:10">
      <c r="A460" s="83"/>
      <c r="B460" s="83"/>
      <c r="C460" s="109"/>
      <c r="D460" s="83"/>
      <c r="E460" s="83"/>
      <c r="F460" s="109"/>
      <c r="G460" s="83"/>
      <c r="H460" s="353"/>
      <c r="I460" s="83" t="str">
        <v>,</v>
      </c>
      <c r="J460" s="81" t="e">
        <f>#N/A</f>
        <v>#N/A</v>
      </c>
    </row>
    <row r="461" spans="1:10">
      <c r="A461" s="363" t="s">
        <v>1458</v>
      </c>
      <c r="B461" s="363"/>
      <c r="C461" s="363"/>
      <c r="D461" s="363"/>
      <c r="E461" s="363"/>
      <c r="F461" s="363"/>
      <c r="G461" s="363"/>
      <c r="H461" s="353"/>
      <c r="I461" s="83" t="str">
        <v>Friday, 17 April 2026,</v>
      </c>
      <c r="J461" s="81" t="e">
        <f>#N/A</f>
        <v>#N/A</v>
      </c>
    </row>
    <row r="462" spans="1:10" s="105" customFormat="1">
      <c r="A462" s="364" t="s">
        <v>412</v>
      </c>
      <c r="B462" s="365"/>
      <c r="C462" s="365"/>
      <c r="D462" s="365"/>
      <c r="E462" s="365"/>
      <c r="F462" s="365"/>
      <c r="G462" s="366"/>
      <c r="H462" s="353"/>
      <c r="I462" s="83" t="str">
        <v>Session, 2 (12:00 PM - 2:00 PM),</v>
      </c>
      <c r="J462" s="81" t="e">
        <f>#N/A</f>
        <v>#N/A</v>
      </c>
    </row>
    <row r="463" spans="1:10" s="105" customFormat="1">
      <c r="A463" s="111" t="s">
        <v>24</v>
      </c>
      <c r="B463" s="111" t="s">
        <v>25</v>
      </c>
      <c r="C463" s="178" t="s">
        <v>26</v>
      </c>
      <c r="D463" s="111" t="s">
        <v>27</v>
      </c>
      <c r="E463" s="111" t="s">
        <v>266</v>
      </c>
      <c r="F463" s="178" t="s">
        <v>28</v>
      </c>
      <c r="G463" s="111" t="s">
        <v>265</v>
      </c>
      <c r="H463" s="353"/>
      <c r="I463" s="83" t="str">
        <v>CODE ,CLASS</v>
      </c>
      <c r="J463" s="81" t="e">
        <f>#N/A</f>
        <v>#N/A</v>
      </c>
    </row>
    <row r="464" spans="1:10">
      <c r="A464" s="180" t="s">
        <v>182</v>
      </c>
      <c r="B464" s="180" t="str">
        <f>VLOOKUP(I464:I474,Lecturers!A2:G598,6,FALSE)</f>
        <v>BASIC PHYSICAL GEODESY</v>
      </c>
      <c r="C464" s="123" t="str">
        <f>VLOOKUP(I464:I474,Lecturers!A2:G598,2,FALSE)</f>
        <v>Dadzie Isaac</v>
      </c>
      <c r="D464" s="180" t="s">
        <v>85</v>
      </c>
      <c r="E464" s="106">
        <f>IFERROR(VLOOKUP(I464:I474,Lecturers!A2:F596,3,FALSE),0)</f>
        <v>134</v>
      </c>
      <c r="F464" s="124" t="s">
        <v>2055</v>
      </c>
      <c r="G464" s="107">
        <f>E464*1.1</f>
        <v>147.4</v>
      </c>
      <c r="H464" s="353" t="s">
        <v>2272</v>
      </c>
      <c r="I464" s="104" t="str">
        <f>_xlfn.CONCAT(A464,",",D464)</f>
        <v>GE 281,ED2-GEOM</v>
      </c>
      <c r="J464" s="81">
        <v>72</v>
      </c>
    </row>
    <row r="465" spans="1:10">
      <c r="A465" s="180" t="s">
        <v>223</v>
      </c>
      <c r="B465" s="180" t="str">
        <v>DYNAMICS OF MACHINERY</v>
      </c>
      <c r="C465" s="123" t="str">
        <v>Ampofo Joshua</v>
      </c>
      <c r="D465" s="180" t="s">
        <v>109</v>
      </c>
      <c r="E465" s="108">
        <v>40</v>
      </c>
      <c r="F465" s="124" t="s">
        <v>2269</v>
      </c>
      <c r="G465" s="107">
        <f>E465*1.1</f>
        <v>44</v>
      </c>
      <c r="H465" s="354" t="s">
        <v>2062</v>
      </c>
      <c r="I465" s="104" t="str">
        <v>ME 361,ED3-MARI</v>
      </c>
      <c r="J465" s="81">
        <v>65</v>
      </c>
    </row>
    <row r="466" spans="1:10">
      <c r="A466" s="180" t="s">
        <v>223</v>
      </c>
      <c r="B466" s="180" t="str">
        <v>DYNAMICS OF MACHINERY</v>
      </c>
      <c r="C466" s="123" t="str">
        <v>Ampofo Joshua</v>
      </c>
      <c r="D466" s="180" t="s">
        <v>105</v>
      </c>
      <c r="E466" s="108">
        <v>40</v>
      </c>
      <c r="F466" s="124" t="s">
        <v>2270</v>
      </c>
      <c r="G466" s="107">
        <f>E466*1.1</f>
        <v>44</v>
      </c>
      <c r="H466" s="354" t="s">
        <v>2062</v>
      </c>
      <c r="I466" s="104" t="str">
        <v>ME 361,ED3-AUTO</v>
      </c>
      <c r="J466" s="81">
        <v>113</v>
      </c>
    </row>
    <row r="467" spans="1:10">
      <c r="A467" s="180" t="s">
        <v>223</v>
      </c>
      <c r="B467" s="180" t="str">
        <v>DYNAMICS OF MACHINERY</v>
      </c>
      <c r="C467" s="123" t="str">
        <v>Sackey Samuel Mensah</v>
      </c>
      <c r="D467" s="180" t="s">
        <v>49</v>
      </c>
      <c r="E467" s="108">
        <v>225</v>
      </c>
      <c r="F467" s="124" t="s">
        <v>2191</v>
      </c>
      <c r="G467" s="107">
        <f>E467*1.1</f>
        <v>247.5</v>
      </c>
      <c r="H467" s="354" t="s">
        <v>2273</v>
      </c>
      <c r="I467" s="104" t="str">
        <v>ME 361,ED3-ME</v>
      </c>
      <c r="J467" s="81">
        <v>253</v>
      </c>
    </row>
    <row r="468" spans="1:10">
      <c r="A468" s="180" t="s">
        <v>130</v>
      </c>
      <c r="B468" s="180" t="str">
        <v>FARM STRUCTURES</v>
      </c>
      <c r="C468" s="123" t="str">
        <v>Bart Plange Ato</v>
      </c>
      <c r="D468" s="180" t="s">
        <v>41</v>
      </c>
      <c r="E468" s="106">
        <v>103</v>
      </c>
      <c r="F468" s="134" t="s">
        <v>1992</v>
      </c>
      <c r="G468" s="107">
        <f>E468*1.1</f>
        <v>113.3</v>
      </c>
      <c r="H468" s="354" t="s">
        <v>2118</v>
      </c>
      <c r="I468" s="104" t="str">
        <v>AE 471,ED4-AE</v>
      </c>
      <c r="J468" s="81"/>
    </row>
    <row r="469" spans="1:10">
      <c r="A469" s="180" t="s">
        <v>203</v>
      </c>
      <c r="B469" s="180" t="str">
        <v>POLYMER TECHNOLOGY</v>
      </c>
      <c r="C469" s="123" t="str">
        <v>Boakye Patrick</v>
      </c>
      <c r="D469" s="180" t="s">
        <v>106</v>
      </c>
      <c r="E469" s="106">
        <v>38</v>
      </c>
      <c r="F469" s="127" t="s">
        <v>70</v>
      </c>
      <c r="G469" s="107">
        <f>E469*1.1</f>
        <v>41.8</v>
      </c>
      <c r="H469" s="354">
        <v>38</v>
      </c>
      <c r="I469" s="104" t="str">
        <v>CHE 363,ED3-CHE</v>
      </c>
      <c r="J469" s="81">
        <v>60</v>
      </c>
    </row>
    <row r="470" spans="1:10">
      <c r="A470" s="180" t="s">
        <v>203</v>
      </c>
      <c r="B470" s="180" t="str">
        <v>POLYMER TECHNOLOGY</v>
      </c>
      <c r="C470" s="123" t="str">
        <v>Boakye Patrick</v>
      </c>
      <c r="D470" s="180" t="s">
        <v>46</v>
      </c>
      <c r="E470" s="106">
        <v>51</v>
      </c>
      <c r="F470" s="124" t="s">
        <v>2271</v>
      </c>
      <c r="G470" s="107">
        <f>E470*1.1</f>
        <v>56.1</v>
      </c>
      <c r="H470" s="354" t="s">
        <v>2274</v>
      </c>
      <c r="I470" s="104" t="str">
        <v>CHE 363,ED3-PCE</v>
      </c>
      <c r="J470" s="81">
        <v>64</v>
      </c>
    </row>
    <row r="471" spans="1:10">
      <c r="A471" s="180" t="s">
        <v>338</v>
      </c>
      <c r="B471" s="180" t="str">
        <v>DRILLING ENGINEERING I</v>
      </c>
      <c r="C471" s="123" t="str">
        <v>Adjei Stephen</v>
      </c>
      <c r="D471" s="180" t="s">
        <v>1469</v>
      </c>
      <c r="E471" s="106">
        <v>80</v>
      </c>
      <c r="F471" s="124" t="s">
        <v>431</v>
      </c>
      <c r="G471" s="107">
        <f>E471*1.1</f>
        <v>88</v>
      </c>
      <c r="H471" s="354">
        <v>80</v>
      </c>
      <c r="I471" s="104" t="str">
        <v>PE 353,ED3-PE</v>
      </c>
      <c r="J471" s="81">
        <v>218</v>
      </c>
    </row>
    <row r="472" spans="1:10">
      <c r="A472" s="111" t="s">
        <v>351</v>
      </c>
      <c r="B472" s="111" t="str">
        <v>AUTOMOTIVE COMPRESSION-IGNITION ENGINES</v>
      </c>
      <c r="C472" s="123" t="str">
        <v>Abu Frimpong Solomon</v>
      </c>
      <c r="D472" s="111" t="s">
        <v>112</v>
      </c>
      <c r="E472" s="106">
        <v>32</v>
      </c>
      <c r="F472" s="122" t="s">
        <v>12</v>
      </c>
      <c r="G472" s="107">
        <f>E472*1.1</f>
        <v>35.2</v>
      </c>
      <c r="H472" s="353">
        <v>32</v>
      </c>
      <c r="I472" s="83" t="str">
        <v>AME 467,ED4-AUTO</v>
      </c>
      <c r="J472" s="81">
        <v>36</v>
      </c>
    </row>
    <row r="473" spans="1:10">
      <c r="A473" s="180" t="s">
        <v>185</v>
      </c>
      <c r="B473" s="180" t="str">
        <v>ELECTRICAL SERVICES DESIGN</v>
      </c>
      <c r="C473" s="123" t="str">
        <v>Kwegyir Daniel</v>
      </c>
      <c r="D473" s="180" t="s">
        <v>53</v>
      </c>
      <c r="E473" s="106">
        <v>240</v>
      </c>
      <c r="F473" s="124" t="s">
        <v>2152</v>
      </c>
      <c r="G473" s="107">
        <f>E473*1.1</f>
        <v>264</v>
      </c>
      <c r="H473" s="354" t="s">
        <v>2275</v>
      </c>
      <c r="I473" s="104" t="str">
        <f>_xlfn.CONCAT(A473,",",D473)</f>
        <v>EE 365,ED3-EE</v>
      </c>
      <c r="J473" s="81">
        <v>294</v>
      </c>
    </row>
    <row r="474" spans="1:10">
      <c r="A474" s="180" t="s">
        <v>1480</v>
      </c>
      <c r="B474" s="180" t="str">
        <v>ELECTRICAL SERVICES DESIGN</v>
      </c>
      <c r="C474" s="123" t="str">
        <v>Kwegyir Daniel</v>
      </c>
      <c r="D474" s="180" t="s">
        <v>98</v>
      </c>
      <c r="E474" s="106">
        <v>340</v>
      </c>
      <c r="F474" s="124" t="s">
        <v>2164</v>
      </c>
      <c r="G474" s="107">
        <f>E474*1.1</f>
        <v>374</v>
      </c>
      <c r="H474" s="353" t="s">
        <v>2169</v>
      </c>
      <c r="I474" s="104" t="str">
        <v>EE 265,ED2-EE</v>
      </c>
      <c r="J474" s="81">
        <v>82</v>
      </c>
    </row>
    <row r="475" spans="1:10">
      <c r="A475" s="83"/>
      <c r="B475" s="83"/>
      <c r="C475" s="109"/>
      <c r="D475" s="180" t="s">
        <v>281</v>
      </c>
      <c r="E475" s="91">
        <f>SUM(_xlfn.ANCHORARRAY(E464))</f>
        <v>1323</v>
      </c>
      <c r="F475" s="109"/>
      <c r="G475" s="83"/>
      <c r="H475" s="353"/>
      <c r="I475" s="83" t="str">
        <f>_xlfn.CONCAT(A475,",",D475)</f>
        <v>,Total M1-2</v>
      </c>
      <c r="J475" s="81" t="e">
        <f>#N/A</f>
        <v>#N/A</v>
      </c>
    </row>
    <row r="476" spans="1:10">
      <c r="A476" s="83"/>
      <c r="B476" s="83"/>
      <c r="C476" s="109"/>
      <c r="D476" s="83"/>
      <c r="E476" s="83"/>
      <c r="F476" s="109"/>
      <c r="G476" s="83"/>
      <c r="H476" s="353"/>
      <c r="I476" s="83" t="str">
        <v>,</v>
      </c>
      <c r="J476" s="81" t="e">
        <f>#N/A</f>
        <v>#N/A</v>
      </c>
    </row>
    <row r="477" spans="1:10">
      <c r="A477" s="83"/>
      <c r="B477" s="83"/>
      <c r="C477" s="109"/>
      <c r="D477" s="83"/>
      <c r="E477" s="83"/>
      <c r="F477" s="109"/>
      <c r="G477" s="83"/>
      <c r="H477" s="353"/>
      <c r="I477" s="83" t="str">
        <v>,</v>
      </c>
      <c r="J477" s="81" t="e">
        <f>#N/A</f>
        <v>#N/A</v>
      </c>
    </row>
    <row r="478" spans="1:10">
      <c r="A478" s="363" t="s">
        <v>1458</v>
      </c>
      <c r="B478" s="363"/>
      <c r="C478" s="363"/>
      <c r="D478" s="363"/>
      <c r="E478" s="363"/>
      <c r="F478" s="363"/>
      <c r="G478" s="363"/>
      <c r="H478" s="353"/>
      <c r="I478" s="83" t="str">
        <v>Friday, 17 April 2026,</v>
      </c>
      <c r="J478" s="81" t="e">
        <f>#N/A</f>
        <v>#N/A</v>
      </c>
    </row>
    <row r="479" spans="1:10">
      <c r="A479" s="364" t="s">
        <v>413</v>
      </c>
      <c r="B479" s="365"/>
      <c r="C479" s="365"/>
      <c r="D479" s="365"/>
      <c r="E479" s="365"/>
      <c r="F479" s="365"/>
      <c r="G479" s="366"/>
      <c r="H479" s="353"/>
      <c r="I479" s="83" t="str">
        <v>Session, 3 (3:00 PM - 5:00 PM),</v>
      </c>
      <c r="J479" s="81" t="e">
        <f>#N/A</f>
        <v>#N/A</v>
      </c>
    </row>
    <row r="480" spans="1:10">
      <c r="A480" s="111" t="s">
        <v>24</v>
      </c>
      <c r="B480" s="111" t="s">
        <v>25</v>
      </c>
      <c r="C480" s="179" t="s">
        <v>26</v>
      </c>
      <c r="D480" s="111" t="s">
        <v>27</v>
      </c>
      <c r="E480" s="111" t="s">
        <v>266</v>
      </c>
      <c r="F480" s="178" t="s">
        <v>28</v>
      </c>
      <c r="G480" s="111" t="s">
        <v>265</v>
      </c>
      <c r="H480" s="353"/>
      <c r="I480" s="83" t="str">
        <v>CODE ,CLASS</v>
      </c>
      <c r="J480" s="81" t="e">
        <f>#N/A</f>
        <v>#N/A</v>
      </c>
    </row>
    <row r="481" spans="1:10">
      <c r="A481" s="180" t="s">
        <v>389</v>
      </c>
      <c r="B481" s="180" t="str">
        <f>VLOOKUP(I481:I494,Lecturers!A2:G598,6,FALSE)</f>
        <v>PROGRAMMING AND PROBLEM SOLVING</v>
      </c>
      <c r="C481" s="123" t="str">
        <f>VLOOKUP(I481:I494,Lecturers!A2:G598,2,FALSE)</f>
        <v>Adjaidoo Theresa-Samuelle Maame Atwemaah</v>
      </c>
      <c r="D481" s="180" t="s">
        <v>87</v>
      </c>
      <c r="E481" s="106">
        <f>IFERROR(VLOOKUP(I481:I494,Lecturers!A2:F596,3,FALSE),0)</f>
        <v>255</v>
      </c>
      <c r="F481" s="124" t="s">
        <v>1814</v>
      </c>
      <c r="G481" s="107">
        <f>E481*1.1</f>
        <v>280.5</v>
      </c>
      <c r="H481" s="353"/>
      <c r="I481" s="104" t="str">
        <f>_xlfn.CONCAT(A481,",",D481)</f>
        <v>COE 281,ED2-COE</v>
      </c>
      <c r="J481" s="81">
        <v>124</v>
      </c>
    </row>
    <row r="482" spans="1:10">
      <c r="A482" s="180" t="s">
        <v>230</v>
      </c>
      <c r="B482" s="180" t="str">
        <v>ENGINEERING MECHANICS II: DYNAMICS</v>
      </c>
      <c r="C482" s="122" t="str">
        <v>Ampofo Joshua</v>
      </c>
      <c r="D482" s="180" t="s">
        <v>82</v>
      </c>
      <c r="E482" s="106">
        <v>245</v>
      </c>
      <c r="F482" s="123" t="s">
        <v>2205</v>
      </c>
      <c r="G482" s="107">
        <f>E482*1.1</f>
        <v>269.5</v>
      </c>
      <c r="H482" s="354" t="s">
        <v>2277</v>
      </c>
      <c r="I482" s="104" t="str">
        <f>_xlfn.CONCAT(A482,",",D482)</f>
        <v>ME 261,ED2-ME</v>
      </c>
      <c r="J482" s="81" t="e">
        <f>#N/A</f>
        <v>#N/A</v>
      </c>
    </row>
    <row r="483" spans="1:10">
      <c r="A483" s="180" t="s">
        <v>230</v>
      </c>
      <c r="B483" s="180" t="str">
        <v>ENGINEERING MECHANICS II:DYNAMICS</v>
      </c>
      <c r="C483" s="122" t="str">
        <v>Ampofo Joshua</v>
      </c>
      <c r="D483" s="180" t="s">
        <v>101</v>
      </c>
      <c r="E483" s="106">
        <v>82</v>
      </c>
      <c r="F483" s="123" t="s">
        <v>2155</v>
      </c>
      <c r="G483" s="107">
        <f>E483*1.1</f>
        <v>90.2</v>
      </c>
      <c r="H483" s="354" t="s">
        <v>2278</v>
      </c>
      <c r="I483" s="104" t="str">
        <f>_xlfn.CONCAT(A483,",",D483)</f>
        <v>ME 261,ED2-AUTO</v>
      </c>
      <c r="J483" s="81">
        <v>148</v>
      </c>
    </row>
    <row r="484" spans="1:10">
      <c r="A484" s="180" t="s">
        <v>230</v>
      </c>
      <c r="B484" s="180" t="str">
        <v>ENGINEERING MECHANICS II:DYNAMICS</v>
      </c>
      <c r="C484" s="122" t="str">
        <v>Ampofo Joshua</v>
      </c>
      <c r="D484" s="180" t="s">
        <v>103</v>
      </c>
      <c r="E484" s="106">
        <v>37</v>
      </c>
      <c r="F484" s="123" t="s">
        <v>2269</v>
      </c>
      <c r="G484" s="107">
        <f>E484*1.1</f>
        <v>40.7</v>
      </c>
      <c r="H484" s="354" t="s">
        <v>2182</v>
      </c>
      <c r="I484" s="104" t="str">
        <f>_xlfn.CONCAT(A484,",",D484)</f>
        <v>ME 261,ED2-MARI</v>
      </c>
      <c r="J484" s="81">
        <v>193</v>
      </c>
    </row>
    <row r="485" spans="1:10">
      <c r="A485" s="180" t="s">
        <v>230</v>
      </c>
      <c r="B485" s="180" t="str">
        <v>ENGINEERING MECHANICS II:DYNAMICS</v>
      </c>
      <c r="C485" s="122" t="str">
        <v>Ampofo Joshua</v>
      </c>
      <c r="D485" s="180" t="s">
        <v>102</v>
      </c>
      <c r="E485" s="106">
        <v>80</v>
      </c>
      <c r="F485" s="123" t="s">
        <v>431</v>
      </c>
      <c r="G485" s="107">
        <f>E485*1.1</f>
        <v>88</v>
      </c>
      <c r="H485" s="354">
        <v>80</v>
      </c>
      <c r="I485" s="104" t="str">
        <f>_xlfn.CONCAT(A485,",",D485)</f>
        <v>ME 261,ED2-IND</v>
      </c>
      <c r="J485" s="81">
        <v>193</v>
      </c>
    </row>
    <row r="486" spans="1:10">
      <c r="A486" s="180" t="s">
        <v>230</v>
      </c>
      <c r="B486" s="180" t="str">
        <v>ENGINEERING MECHANICS II:DYNAMICS</v>
      </c>
      <c r="C486" s="122" t="str">
        <v>Ampofo Joshua</v>
      </c>
      <c r="D486" s="180" t="s">
        <v>80</v>
      </c>
      <c r="E486" s="106">
        <v>75</v>
      </c>
      <c r="F486" s="123" t="s">
        <v>1958</v>
      </c>
      <c r="G486" s="107">
        <f>E486*1.1</f>
        <v>82.5</v>
      </c>
      <c r="H486" s="353" t="s">
        <v>2279</v>
      </c>
      <c r="I486" s="104" t="str">
        <f>_xlfn.CONCAT(A486,",",D486)</f>
        <v>ME 261,ED2-AERO</v>
      </c>
      <c r="J486" s="81">
        <v>153</v>
      </c>
    </row>
    <row r="487" spans="1:10">
      <c r="A487" s="180" t="s">
        <v>179</v>
      </c>
      <c r="B487" s="180" t="str">
        <v>LINEAR ELECTRONIC CIRCUITS</v>
      </c>
      <c r="C487" s="122" t="str">
        <v>Agbemenu Andrew Selasi</v>
      </c>
      <c r="D487" s="180" t="s">
        <v>56</v>
      </c>
      <c r="E487" s="106">
        <v>90</v>
      </c>
      <c r="F487" s="123" t="s">
        <v>1990</v>
      </c>
      <c r="G487" s="107">
        <f>E487*1.1</f>
        <v>99</v>
      </c>
      <c r="H487" s="353" t="s">
        <v>2133</v>
      </c>
      <c r="I487" s="104" t="str">
        <f>_xlfn.CONCAT(A487,",",D487)</f>
        <v>COE 371,ED3-BME</v>
      </c>
      <c r="J487" s="81">
        <v>71</v>
      </c>
    </row>
    <row r="488" spans="1:10">
      <c r="A488" s="180" t="s">
        <v>430</v>
      </c>
      <c r="B488" s="180" t="str">
        <v>ANALOG COMMUNICATION SYSTEMS</v>
      </c>
      <c r="C488" s="123" t="str">
        <v>Affum Emmanuel Ampoma</v>
      </c>
      <c r="D488" s="180" t="s">
        <v>99</v>
      </c>
      <c r="E488" s="106">
        <v>175</v>
      </c>
      <c r="F488" s="123" t="s">
        <v>2176</v>
      </c>
      <c r="G488" s="107">
        <f>E488*1.1</f>
        <v>192.5</v>
      </c>
      <c r="H488" s="353" t="s">
        <v>2280</v>
      </c>
      <c r="I488" s="104" t="str">
        <f>_xlfn.CONCAT(A488,",",D488)</f>
        <v>TE 251,ED2-TEL</v>
      </c>
      <c r="J488" s="81">
        <v>184</v>
      </c>
    </row>
    <row r="489" spans="1:10">
      <c r="A489" s="180" t="s">
        <v>156</v>
      </c>
      <c r="B489" s="180" t="str">
        <v>INTRODUCTION TO OCEANOGRAPHY</v>
      </c>
      <c r="C489" s="123" t="str">
        <v>Miezah Kodwo</v>
      </c>
      <c r="D489" s="180" t="s">
        <v>5</v>
      </c>
      <c r="E489" s="112">
        <v>46</v>
      </c>
      <c r="F489" s="123" t="s">
        <v>2276</v>
      </c>
      <c r="G489" s="107">
        <f>E489*1.1</f>
        <v>50.6</v>
      </c>
      <c r="H489" s="353" t="s">
        <v>2281</v>
      </c>
      <c r="I489" s="83" t="str">
        <f>_xlfn.CONCAT(A489,",",D489)</f>
        <v>MME 155,ED1-MARI</v>
      </c>
      <c r="J489" s="81">
        <v>30</v>
      </c>
    </row>
    <row r="490" spans="1:10">
      <c r="A490" s="180" t="s">
        <v>125</v>
      </c>
      <c r="B490" s="180" t="str">
        <v>CHEMICAL PROCESS INDUSTRIES</v>
      </c>
      <c r="C490" s="122" t="str">
        <v>Afotey Benjamin</v>
      </c>
      <c r="D490" s="180" t="s">
        <v>39</v>
      </c>
      <c r="E490" s="112">
        <v>157</v>
      </c>
      <c r="F490" s="123" t="s">
        <v>2213</v>
      </c>
      <c r="G490" s="107">
        <f>E490*1.1</f>
        <v>172.7</v>
      </c>
      <c r="H490" s="353" t="s">
        <v>2282</v>
      </c>
      <c r="I490" s="83" t="str">
        <f>_xlfn.CONCAT(A490,",",D490)</f>
        <v>CHE 259,ED2-CHE</v>
      </c>
      <c r="J490" s="81">
        <v>153</v>
      </c>
    </row>
    <row r="491" spans="1:10">
      <c r="A491" s="180" t="s">
        <v>332</v>
      </c>
      <c r="B491" s="180" t="str">
        <v>STRESS AND STRAIN ANALYSIS OF RIGID BODIES</v>
      </c>
      <c r="C491" s="122" t="str">
        <v>Mensah-Darkwa Kwadwo</v>
      </c>
      <c r="D491" s="180" t="s">
        <v>111</v>
      </c>
      <c r="E491" s="106">
        <v>89</v>
      </c>
      <c r="F491" s="124" t="s">
        <v>2108</v>
      </c>
      <c r="G491" s="107">
        <f>E491*1.1</f>
        <v>97.9</v>
      </c>
      <c r="H491" s="353" t="s">
        <v>2283</v>
      </c>
      <c r="I491" s="104" t="str">
        <f>_xlfn.CONCAT(A491,",",D491)</f>
        <v>MSE 361,ED3-MSE</v>
      </c>
      <c r="J491" s="81">
        <v>143</v>
      </c>
    </row>
    <row r="492" spans="1:10">
      <c r="A492" s="180" t="s">
        <v>341</v>
      </c>
      <c r="B492" s="180" t="str">
        <v>STRENGTH OF MATERIALS</v>
      </c>
      <c r="C492" s="122" t="str">
        <v>Mensah-Darkwa Kwadwo</v>
      </c>
      <c r="D492" s="180" t="s">
        <v>110</v>
      </c>
      <c r="E492" s="106">
        <v>87</v>
      </c>
      <c r="F492" s="124" t="s">
        <v>2126</v>
      </c>
      <c r="G492" s="107">
        <f>E492*1.1</f>
        <v>95.7</v>
      </c>
      <c r="H492" s="353" t="s">
        <v>2202</v>
      </c>
      <c r="I492" s="104" t="str">
        <f>_xlfn.CONCAT(A492,",",D492)</f>
        <v>METE 353,ED3-METE</v>
      </c>
      <c r="J492" s="81">
        <v>143</v>
      </c>
    </row>
    <row r="493" spans="1:10">
      <c r="A493" s="180" t="s">
        <v>389</v>
      </c>
      <c r="B493" s="180" t="str">
        <v>PROGRAMMING AND PROBLEM SOLVING</v>
      </c>
      <c r="C493" s="123" t="str">
        <v>Adjei Prince Ebenezer</v>
      </c>
      <c r="D493" s="180" t="s">
        <v>86</v>
      </c>
      <c r="E493" s="106">
        <v>80</v>
      </c>
      <c r="F493" s="342" t="s">
        <v>414</v>
      </c>
      <c r="G493" s="107">
        <f>E493*1.1</f>
        <v>88</v>
      </c>
      <c r="H493" s="353">
        <v>80</v>
      </c>
      <c r="I493" s="104" t="str">
        <f>_xlfn.CONCAT(A493,",",D493)</f>
        <v>COE 281,ED2-BME</v>
      </c>
      <c r="J493" s="81"/>
    </row>
    <row r="494" spans="1:10">
      <c r="A494" s="180" t="s">
        <v>142</v>
      </c>
      <c r="B494" s="180" t="str">
        <v>AGRICULTURAL MATERIALS HANDLING AND PROCESSING</v>
      </c>
      <c r="C494" s="123" t="str">
        <v>Akowuah Joseph Oppong</v>
      </c>
      <c r="D494" s="180" t="s">
        <v>50</v>
      </c>
      <c r="E494" s="106">
        <v>100</v>
      </c>
      <c r="F494" s="123" t="s">
        <v>1992</v>
      </c>
      <c r="G494" s="107">
        <f>E494*1.1</f>
        <v>110</v>
      </c>
      <c r="H494" s="353" t="s">
        <v>2057</v>
      </c>
      <c r="I494" s="104" t="str">
        <f>_xlfn.CONCAT(A494,",",D494)</f>
        <v>AE 353,ED3-AE</v>
      </c>
      <c r="J494" s="81">
        <v>72</v>
      </c>
    </row>
    <row r="495" spans="1:10">
      <c r="A495" s="83"/>
      <c r="B495" s="83"/>
      <c r="C495" s="109"/>
      <c r="D495" s="180" t="s">
        <v>282</v>
      </c>
      <c r="E495" s="91">
        <f>SUM(E482:E494)</f>
        <v>1343</v>
      </c>
      <c r="F495" s="184"/>
      <c r="G495" s="83"/>
      <c r="H495" s="353"/>
      <c r="I495" s="83" t="str">
        <v>,Total M1-3</v>
      </c>
      <c r="J495" s="81" t="e">
        <f>#N/A</f>
        <v>#N/A</v>
      </c>
    </row>
    <row r="496" spans="1:10">
      <c r="A496" s="83"/>
      <c r="B496" s="83"/>
      <c r="C496" s="109"/>
      <c r="D496" s="187"/>
      <c r="E496" s="115"/>
      <c r="F496" s="184"/>
      <c r="G496" s="83"/>
      <c r="H496" s="353"/>
      <c r="I496" s="83"/>
      <c r="J496" s="81"/>
    </row>
    <row r="497" spans="1:12">
      <c r="A497" s="83"/>
      <c r="B497" s="83"/>
      <c r="C497" s="109"/>
      <c r="D497" s="187"/>
      <c r="E497" s="115"/>
      <c r="F497" s="184"/>
      <c r="G497" s="83"/>
      <c r="H497" s="353"/>
      <c r="I497" s="83"/>
      <c r="J497" s="81"/>
    </row>
    <row r="498" spans="1:12">
      <c r="A498" s="83"/>
      <c r="B498" s="83"/>
      <c r="C498" s="109"/>
      <c r="D498" s="187"/>
      <c r="E498" s="115"/>
      <c r="F498" s="184"/>
      <c r="G498" s="83"/>
      <c r="H498" s="353"/>
      <c r="I498" s="83"/>
      <c r="J498" s="81"/>
    </row>
    <row r="499" spans="1:12">
      <c r="A499" s="83"/>
      <c r="B499" s="83"/>
      <c r="C499" s="109"/>
      <c r="D499" s="187"/>
      <c r="E499" s="115"/>
      <c r="F499" s="184"/>
      <c r="G499" s="83"/>
      <c r="H499" s="353"/>
      <c r="I499" s="83"/>
      <c r="J499" s="81"/>
    </row>
    <row r="500" spans="1:12">
      <c r="A500" s="363" t="s">
        <v>1459</v>
      </c>
      <c r="B500" s="363"/>
      <c r="C500" s="363"/>
      <c r="D500" s="363"/>
      <c r="E500" s="363"/>
      <c r="F500" s="363"/>
      <c r="G500" s="363"/>
      <c r="H500" s="353"/>
      <c r="I500" s="83" t="str">
        <f>_xlfn.CONCAT(A500,",",D500)</f>
        <v>Monday, 20 April 2026,</v>
      </c>
      <c r="J500" s="105"/>
    </row>
    <row r="501" spans="1:12">
      <c r="A501" s="364" t="s">
        <v>411</v>
      </c>
      <c r="B501" s="365"/>
      <c r="C501" s="365"/>
      <c r="D501" s="365"/>
      <c r="E501" s="365"/>
      <c r="F501" s="365"/>
      <c r="G501" s="366"/>
      <c r="H501" s="353"/>
      <c r="I501" s="83" t="str">
        <v>Session, 1 (8:30 AM - 10:30 AM),</v>
      </c>
      <c r="J501" s="105"/>
      <c r="L501" s="105" t="s">
        <v>379</v>
      </c>
    </row>
    <row r="502" spans="1:12" s="105" customFormat="1">
      <c r="A502" s="91" t="s">
        <v>24</v>
      </c>
      <c r="B502" s="91" t="s">
        <v>25</v>
      </c>
      <c r="C502" s="179" t="s">
        <v>26</v>
      </c>
      <c r="D502" s="91" t="s">
        <v>27</v>
      </c>
      <c r="E502" s="91" t="s">
        <v>266</v>
      </c>
      <c r="F502" s="179" t="s">
        <v>28</v>
      </c>
      <c r="G502" s="91" t="s">
        <v>265</v>
      </c>
      <c r="H502" s="353"/>
      <c r="I502" s="83" t="str">
        <v>CODE ,CLASS</v>
      </c>
      <c r="J502" s="81" t="e">
        <f>#N/A</f>
        <v>#N/A</v>
      </c>
    </row>
    <row r="503" spans="1:12">
      <c r="A503" s="180" t="s">
        <v>371</v>
      </c>
      <c r="B503" s="180" t="str">
        <f>VLOOKUP(I503:I522,Lecturers!A2:G598,6,FALSE)</f>
        <v>PROBABILITY AND STATISTICS</v>
      </c>
      <c r="C503" s="123" t="str">
        <f>VLOOKUP(I503:I522,Lecturers!A2:G598,2,FALSE)</f>
        <v>Amoako-Yirenkyi Carole Fredua</v>
      </c>
      <c r="D503" s="180" t="s">
        <v>55</v>
      </c>
      <c r="E503" s="106">
        <f>IFERROR(VLOOKUP(I503:I522,Lecturers!A2:F596,3,FALSE),0)</f>
        <v>270</v>
      </c>
      <c r="F503" s="454" t="s">
        <v>1814</v>
      </c>
      <c r="G503" s="107">
        <f>E503*1.1</f>
        <v>297</v>
      </c>
      <c r="H503" s="354"/>
      <c r="I503" s="104" t="str">
        <v>STAT 253,ED3-COE</v>
      </c>
      <c r="J503" s="81">
        <v>68</v>
      </c>
    </row>
    <row r="504" spans="1:12">
      <c r="A504" s="180" t="s">
        <v>371</v>
      </c>
      <c r="B504" s="180" t="str">
        <v>PROBABILITY AND STATISTICS</v>
      </c>
      <c r="C504" s="122" t="str">
        <v>Amoako-Yirenkyi Carole Fredua</v>
      </c>
      <c r="D504" s="180" t="s">
        <v>108</v>
      </c>
      <c r="E504" s="106">
        <v>72</v>
      </c>
      <c r="F504" s="445"/>
      <c r="G504" s="107">
        <f>E504*1.1</f>
        <v>79.2</v>
      </c>
      <c r="H504" s="353"/>
      <c r="I504" s="104" t="str">
        <f>_xlfn.CONCAT(A504,",",D504)</f>
        <v>STAT 253,ED3-IND</v>
      </c>
      <c r="J504" s="81">
        <v>143</v>
      </c>
    </row>
    <row r="505" spans="1:12">
      <c r="A505" s="180" t="s">
        <v>371</v>
      </c>
      <c r="B505" s="180" t="str">
        <v>PROBABILITY AND STATISTICS</v>
      </c>
      <c r="C505" s="122" t="str">
        <v>Carole Fredua Amoako-Yirenkyi</v>
      </c>
      <c r="D505" s="180" t="s">
        <v>48</v>
      </c>
      <c r="E505" s="106">
        <v>76</v>
      </c>
      <c r="F505" s="445"/>
      <c r="G505" s="107">
        <f>E505*1.1</f>
        <v>83.6</v>
      </c>
      <c r="H505" s="353"/>
      <c r="I505" s="104" t="str">
        <v>STAT 253,ED3-AERO</v>
      </c>
      <c r="J505" s="81" t="e">
        <f>#N/A</f>
        <v>#N/A</v>
      </c>
    </row>
    <row r="506" spans="1:12">
      <c r="A506" s="180" t="s">
        <v>371</v>
      </c>
      <c r="B506" s="180" t="str">
        <v>PROBABILITY AND STATISTICS</v>
      </c>
      <c r="C506" s="122" t="str">
        <v>Amoako-Yirenkyi Carole Fredua</v>
      </c>
      <c r="D506" s="180" t="s">
        <v>49</v>
      </c>
      <c r="E506" s="106">
        <v>230</v>
      </c>
      <c r="F506" s="445"/>
      <c r="G506" s="107">
        <f>E506*1.1</f>
        <v>253</v>
      </c>
      <c r="H506" s="353"/>
      <c r="I506" s="104" t="str">
        <v>STAT 253,ED3-ME</v>
      </c>
      <c r="J506" s="81"/>
    </row>
    <row ht="18" customHeight="1" r="507" spans="1:12" s="136" customFormat="1">
      <c r="A507" s="181" t="s">
        <v>193</v>
      </c>
      <c r="B507" s="180" t="str">
        <v>STRENGTH OF MATERIALS I</v>
      </c>
      <c r="C507" s="132" t="str">
        <v>Andoh Prince Yaw</v>
      </c>
      <c r="D507" s="181" t="s">
        <v>1468</v>
      </c>
      <c r="E507" s="108">
        <v>95</v>
      </c>
      <c r="F507" s="445"/>
      <c r="G507" s="107">
        <f>E507*1.1</f>
        <v>104.5</v>
      </c>
      <c r="H507" s="354"/>
      <c r="I507" s="104" t="str">
        <v>ME 255,ED2-PE</v>
      </c>
      <c r="J507" s="81">
        <v>184</v>
      </c>
    </row>
    <row r="508" spans="1:12">
      <c r="A508" s="180" t="s">
        <v>193</v>
      </c>
      <c r="B508" s="180" t="str">
        <v>STRENGTH OF MATERIALS I</v>
      </c>
      <c r="C508" s="123" t="str">
        <v>Andoh Prince Yaw</v>
      </c>
      <c r="D508" s="180" t="s">
        <v>82</v>
      </c>
      <c r="E508" s="106">
        <v>242</v>
      </c>
      <c r="F508" s="456"/>
      <c r="G508" s="107">
        <f>E508*1.1</f>
        <v>266.2</v>
      </c>
      <c r="H508" s="354"/>
      <c r="I508" s="104" t="str">
        <v>ME 255,ED2-ME</v>
      </c>
      <c r="J508" s="81">
        <v>130</v>
      </c>
    </row>
    <row r="509" spans="1:12">
      <c r="A509" s="180" t="s">
        <v>246</v>
      </c>
      <c r="B509" s="180" t="str">
        <v>FRENCH FOR COMMUNICATION PURPOSES I</v>
      </c>
      <c r="C509" s="122" t="str">
        <v>Boakye-Agyeman Candy</v>
      </c>
      <c r="D509" s="180" t="s">
        <v>87</v>
      </c>
      <c r="E509" s="448">
        <v>155</v>
      </c>
      <c r="F509" s="457" t="s">
        <v>1953</v>
      </c>
      <c r="G509" s="450">
        <f>E509*1.1</f>
        <v>170.5</v>
      </c>
      <c r="H509" s="354" t="s">
        <v>1956</v>
      </c>
      <c r="I509" s="104" t="str">
        <f>_xlfn.CONCAT(A509,",",D509)</f>
        <v>FC 181,ED2-COE</v>
      </c>
      <c r="J509" s="81">
        <v>210</v>
      </c>
    </row>
    <row r="510" spans="1:12">
      <c r="A510" s="180" t="s">
        <v>246</v>
      </c>
      <c r="B510" s="180" t="str">
        <v>FRENCH FOR COMMUNICATION PURPOSES I</v>
      </c>
      <c r="C510" s="122" t="str">
        <v>Boakye-Agyeman Candy</v>
      </c>
      <c r="D510" s="180" t="s">
        <v>98</v>
      </c>
      <c r="E510" s="448">
        <v>190</v>
      </c>
      <c r="F510" s="457" t="s">
        <v>1954</v>
      </c>
      <c r="G510" s="450">
        <f>E510*1.1</f>
        <v>209</v>
      </c>
      <c r="H510" s="354" t="s">
        <v>1955</v>
      </c>
      <c r="I510" s="104" t="str">
        <f>_xlfn.CONCAT(A510,",",D510)</f>
        <v>FC 181,ED2-EE</v>
      </c>
      <c r="J510" s="81">
        <v>210</v>
      </c>
    </row>
    <row r="511" spans="1:12">
      <c r="A511" s="180" t="s">
        <v>246</v>
      </c>
      <c r="B511" s="180" t="str">
        <v>FRENCH FOR COMMUNICATION PURPOSES I</v>
      </c>
      <c r="C511" s="122" t="str">
        <v>Ocloo Alexander</v>
      </c>
      <c r="D511" s="180" t="s">
        <v>104</v>
      </c>
      <c r="E511" s="106">
        <v>57</v>
      </c>
      <c r="F511" s="458" t="s">
        <v>1968</v>
      </c>
      <c r="G511" s="107">
        <f>E511*1.1</f>
        <v>62.7</v>
      </c>
      <c r="H511" s="354" t="s">
        <v>1970</v>
      </c>
      <c r="I511" s="104" t="str">
        <v>FC 181,ED2-MSE</v>
      </c>
      <c r="J511" s="81">
        <v>85</v>
      </c>
    </row>
    <row r="512" spans="1:12">
      <c r="A512" s="180" t="s">
        <v>246</v>
      </c>
      <c r="B512" s="180" t="str">
        <v>FRENCH FOR COMMUNICATION PURPOSES I</v>
      </c>
      <c r="C512" s="122" t="str">
        <v>Ocloo Alexander</v>
      </c>
      <c r="D512" s="180" t="s">
        <v>99</v>
      </c>
      <c r="E512" s="106">
        <v>105</v>
      </c>
      <c r="F512" s="123" t="s">
        <v>1959</v>
      </c>
      <c r="G512" s="107">
        <f>E512*1.1</f>
        <v>115.5</v>
      </c>
      <c r="H512" s="354" t="s">
        <v>1961</v>
      </c>
      <c r="I512" s="104" t="str">
        <v>FC 181,ED2-TEL</v>
      </c>
      <c r="J512" s="81">
        <v>100</v>
      </c>
    </row>
    <row r="513" spans="1:10">
      <c r="A513" s="180" t="s">
        <v>246</v>
      </c>
      <c r="B513" s="180" t="str">
        <v>FRENCH FOR COMMUNICATION PURPOSES I</v>
      </c>
      <c r="C513" s="122" t="str">
        <v>Boakye-Agyeman Candy</v>
      </c>
      <c r="D513" s="180" t="s">
        <v>36</v>
      </c>
      <c r="E513" s="106">
        <v>140</v>
      </c>
      <c r="F513" s="324" t="s">
        <v>2146</v>
      </c>
      <c r="G513" s="107">
        <f>E513*1.1</f>
        <v>154</v>
      </c>
      <c r="H513" s="354" t="s">
        <v>1966</v>
      </c>
      <c r="I513" s="104" t="str">
        <v>FC 181,ED1-CE</v>
      </c>
      <c r="J513" s="81">
        <v>175</v>
      </c>
    </row>
    <row r="514" spans="1:10">
      <c r="A514" s="180" t="s">
        <v>246</v>
      </c>
      <c r="B514" s="180" t="str">
        <v>FRENCH FOR COMMUNICATION PURPOSES I</v>
      </c>
      <c r="C514" s="122" t="str">
        <v>Boakye-Agyeman Candy</v>
      </c>
      <c r="D514" s="180" t="s">
        <v>6</v>
      </c>
      <c r="E514" s="106">
        <v>85</v>
      </c>
      <c r="F514" s="123" t="s">
        <v>1958</v>
      </c>
      <c r="G514" s="107">
        <f>E514*1.1</f>
        <v>93.5</v>
      </c>
      <c r="H514" s="354" t="s">
        <v>1957</v>
      </c>
      <c r="I514" s="104" t="str">
        <v>FC 181,ED1-GEOL</v>
      </c>
      <c r="J514" s="81">
        <v>62</v>
      </c>
    </row>
    <row ht="15.75" customHeight="1" r="515" spans="1:10" s="136" customFormat="1">
      <c r="A515" s="181" t="s">
        <v>246</v>
      </c>
      <c r="B515" s="181" t="str">
        <v>FRENCH FOR COMMUNICATION PURPOSES I</v>
      </c>
      <c r="C515" s="126" t="str">
        <v>Boakye-Agyeman Candy</v>
      </c>
      <c r="D515" s="181" t="s">
        <v>5</v>
      </c>
      <c r="E515" s="108">
        <v>46</v>
      </c>
      <c r="F515" s="132" t="s">
        <v>2014</v>
      </c>
      <c r="G515" s="138">
        <f>E515*1.1</f>
        <v>50.6</v>
      </c>
      <c r="H515" s="357" t="s">
        <v>1971</v>
      </c>
      <c r="I515" s="139" t="str">
        <v>FC 181,ED1-MARI</v>
      </c>
      <c r="J515" s="81">
        <v>30</v>
      </c>
    </row>
    <row r="516" spans="1:10">
      <c r="A516" s="180" t="s">
        <v>246</v>
      </c>
      <c r="B516" s="180" t="str">
        <v>FRENCH FOR COMMUNICATION PURPOSES I</v>
      </c>
      <c r="C516" s="122" t="str">
        <v>Darko Jeel Pharis</v>
      </c>
      <c r="D516" s="180" t="s">
        <v>46</v>
      </c>
      <c r="E516" s="106">
        <v>23</v>
      </c>
      <c r="F516" s="123" t="s">
        <v>67</v>
      </c>
      <c r="G516" s="107">
        <f>E516*1.1</f>
        <v>25.3</v>
      </c>
      <c r="H516" s="354">
        <v>23</v>
      </c>
      <c r="I516" s="104" t="str">
        <v>FC 181,ED3-PCE</v>
      </c>
      <c r="J516" s="81">
        <v>56</v>
      </c>
    </row>
    <row r="517" spans="1:10" s="136" customFormat="1">
      <c r="A517" s="181" t="s">
        <v>246</v>
      </c>
      <c r="B517" s="181" t="str">
        <v>FRENCH FOR COMMUNICATION PURPOSES I</v>
      </c>
      <c r="C517" s="126" t="str">
        <v>Boakye-Agyeman Candy</v>
      </c>
      <c r="D517" s="181" t="s">
        <v>86</v>
      </c>
      <c r="E517" s="108">
        <v>42</v>
      </c>
      <c r="F517" s="132" t="s">
        <v>2014</v>
      </c>
      <c r="G517" s="138">
        <f>E517*1.1</f>
        <v>46.2</v>
      </c>
      <c r="H517" s="357" t="s">
        <v>1972</v>
      </c>
      <c r="I517" s="139" t="str">
        <v>FC 181,ED2-BME</v>
      </c>
      <c r="J517" s="81">
        <v>46</v>
      </c>
    </row>
    <row r="518" spans="1:10">
      <c r="A518" s="180" t="s">
        <v>246</v>
      </c>
      <c r="B518" s="180" t="str">
        <v>FRENCH FOR COMMUNICATION PURPOSES I</v>
      </c>
      <c r="C518" s="122" t="str">
        <v>Darko Jeel Pharis</v>
      </c>
      <c r="D518" s="180" t="s">
        <v>106</v>
      </c>
      <c r="E518" s="106">
        <v>65</v>
      </c>
      <c r="F518" s="123" t="s">
        <v>1964</v>
      </c>
      <c r="G518" s="107">
        <f>E518*1.1</f>
        <v>71.5</v>
      </c>
      <c r="H518" s="354" t="s">
        <v>1965</v>
      </c>
      <c r="I518" s="104" t="str">
        <v>FC 181,ED3-CHE</v>
      </c>
      <c r="J518" s="81"/>
    </row>
    <row r="519" spans="1:10" s="136" customFormat="1">
      <c r="A519" s="181" t="s">
        <v>246</v>
      </c>
      <c r="B519" s="181" t="str">
        <v>FRENCH FOR COMMUNICATION PURPOSES I</v>
      </c>
      <c r="C519" s="126" t="str">
        <v>Osei-Danso Harriet Efua</v>
      </c>
      <c r="D519" s="181" t="s">
        <v>107</v>
      </c>
      <c r="E519" s="108">
        <v>70</v>
      </c>
      <c r="F519" s="132" t="s">
        <v>1968</v>
      </c>
      <c r="G519" s="138">
        <f>E519*1.1</f>
        <v>77</v>
      </c>
      <c r="H519" s="357" t="s">
        <v>1969</v>
      </c>
      <c r="I519" s="139" t="str">
        <v>FC 181,ED3-GEOM</v>
      </c>
      <c r="J519" s="81">
        <v>78</v>
      </c>
    </row>
    <row r="520" spans="1:10">
      <c r="A520" s="180" t="s">
        <v>214</v>
      </c>
      <c r="B520" s="180" t="str">
        <v>INFORMATION SCIENCE AND PROGRAMMING</v>
      </c>
      <c r="C520" s="132" t="str">
        <v>Tienaah Titus</v>
      </c>
      <c r="D520" s="180" t="s">
        <v>85</v>
      </c>
      <c r="E520" s="106">
        <v>134</v>
      </c>
      <c r="F520" s="124" t="s">
        <v>1959</v>
      </c>
      <c r="G520" s="107">
        <f>E520*1.1</f>
        <v>147.4</v>
      </c>
      <c r="H520" s="354" t="s">
        <v>1960</v>
      </c>
      <c r="I520" s="104" t="str">
        <f>_xlfn.CONCAT(A520,",",D520)</f>
        <v>GE 263,ED2-GEOM</v>
      </c>
      <c r="J520" s="81">
        <v>74</v>
      </c>
    </row>
    <row r="521" spans="1:10">
      <c r="A521" s="180" t="s">
        <v>226</v>
      </c>
      <c r="B521" s="180" t="str">
        <v>GEODETIC SURVEYING II</v>
      </c>
      <c r="C521" s="125" t="str">
        <v>Fosu Collins</v>
      </c>
      <c r="D521" s="180" t="s">
        <v>58</v>
      </c>
      <c r="E521" s="106">
        <v>93</v>
      </c>
      <c r="F521" s="322" t="s">
        <v>1962</v>
      </c>
      <c r="G521" s="107">
        <f>E521*1.1</f>
        <v>102.3</v>
      </c>
      <c r="H521" s="354" t="s">
        <v>1963</v>
      </c>
      <c r="I521" s="104" t="str">
        <f>_xlfn.CONCAT(A521,",",D521)</f>
        <v>GE 451,ED4-GEOM</v>
      </c>
      <c r="J521" s="81">
        <v>86</v>
      </c>
    </row>
    <row r="522" spans="1:10">
      <c r="A522" s="180" t="s">
        <v>193</v>
      </c>
      <c r="B522" s="180" t="str">
        <v>STRENGTH OF MATERIALS I</v>
      </c>
      <c r="C522" s="122" t="str">
        <v>Agyei Agyemang Anthony</v>
      </c>
      <c r="D522" s="180" t="s">
        <v>80</v>
      </c>
      <c r="E522" s="106">
        <v>75</v>
      </c>
      <c r="F522" s="124" t="s">
        <v>2147</v>
      </c>
      <c r="G522" s="107">
        <f>E522*1.1</f>
        <v>82.5</v>
      </c>
      <c r="H522" s="353" t="s">
        <v>1967</v>
      </c>
      <c r="I522" s="83" t="str">
        <f>_xlfn.CONCAT(A522,",",D522)</f>
        <v>ME 255,ED2-AERO</v>
      </c>
      <c r="J522" s="81">
        <v>82</v>
      </c>
    </row>
    <row r="523" spans="1:10">
      <c r="A523" s="83"/>
      <c r="B523" s="83"/>
      <c r="C523" s="109"/>
      <c r="D523" s="319" t="s">
        <v>280</v>
      </c>
      <c r="E523" s="110">
        <f>SUM(E509:E522)</f>
        <v>1280</v>
      </c>
      <c r="F523" s="109"/>
      <c r="G523" s="83"/>
      <c r="H523" s="353"/>
      <c r="I523" s="83" t="str">
        <v>,Total M1-1</v>
      </c>
      <c r="J523" s="81" t="e">
        <f>#N/A</f>
        <v>#N/A</v>
      </c>
    </row>
    <row r="524" spans="1:10">
      <c r="A524" s="83"/>
      <c r="B524" s="83"/>
      <c r="C524" s="109"/>
      <c r="D524" s="83"/>
      <c r="E524" s="83"/>
      <c r="F524" s="109"/>
      <c r="G524" s="83"/>
      <c r="H524" s="353"/>
      <c r="I524" s="83" t="str">
        <v>,</v>
      </c>
      <c r="J524" s="81" t="e">
        <f>#N/A</f>
        <v>#N/A</v>
      </c>
    </row>
    <row r="525" spans="1:10">
      <c r="A525" s="83"/>
      <c r="B525" s="83"/>
      <c r="C525" s="109"/>
      <c r="D525" s="83"/>
      <c r="E525" s="83"/>
      <c r="F525" s="109"/>
      <c r="G525" s="83"/>
      <c r="H525" s="353"/>
      <c r="I525" s="83" t="str">
        <v>,</v>
      </c>
      <c r="J525" s="81" t="e">
        <f>#N/A</f>
        <v>#N/A</v>
      </c>
    </row>
    <row r="526" spans="1:10">
      <c r="A526" s="363" t="s">
        <v>1459</v>
      </c>
      <c r="B526" s="363"/>
      <c r="C526" s="363"/>
      <c r="D526" s="363"/>
      <c r="E526" s="363"/>
      <c r="F526" s="363"/>
      <c r="G526" s="363"/>
      <c r="H526" s="353"/>
      <c r="I526" s="83" t="str">
        <v>Monday, 20 April 2026,</v>
      </c>
      <c r="J526" s="81" t="e">
        <f>#N/A</f>
        <v>#N/A</v>
      </c>
    </row>
    <row r="527" spans="1:10" s="105" customFormat="1">
      <c r="A527" s="364" t="s">
        <v>412</v>
      </c>
      <c r="B527" s="365"/>
      <c r="C527" s="365"/>
      <c r="D527" s="365"/>
      <c r="E527" s="365"/>
      <c r="F527" s="365"/>
      <c r="G527" s="366"/>
      <c r="H527" s="353"/>
      <c r="I527" s="83" t="str">
        <v>Session, 2 (12:00 PM - 2:00 PM),</v>
      </c>
      <c r="J527" s="81" t="e">
        <f>#N/A</f>
        <v>#N/A</v>
      </c>
    </row>
    <row r="528" spans="1:10" s="105" customFormat="1">
      <c r="A528" s="111" t="s">
        <v>24</v>
      </c>
      <c r="B528" s="111" t="s">
        <v>25</v>
      </c>
      <c r="C528" s="178" t="s">
        <v>26</v>
      </c>
      <c r="D528" s="111" t="s">
        <v>27</v>
      </c>
      <c r="E528" s="111" t="s">
        <v>266</v>
      </c>
      <c r="F528" s="178" t="s">
        <v>28</v>
      </c>
      <c r="G528" s="111" t="s">
        <v>265</v>
      </c>
      <c r="H528" s="353"/>
      <c r="I528" s="83" t="str">
        <v>CODE ,CLASS</v>
      </c>
      <c r="J528" s="81" t="e">
        <f>#N/A</f>
        <v>#N/A</v>
      </c>
    </row>
    <row r="529" spans="1:10" s="136" customFormat="1">
      <c r="A529" s="181" t="s">
        <v>339</v>
      </c>
      <c r="B529" s="181" t="str">
        <f>VLOOKUP(I529:I541,Lecturers!A2:G598,6,FALSE)</f>
        <v>PETROLEUM ROCK MECHANICS</v>
      </c>
      <c r="C529" s="126" t="str">
        <f>VLOOKUP(I529:I541,Lecturers!A2:G598,2,FALSE)</f>
        <v>Erzuah Samuel</v>
      </c>
      <c r="D529" s="181" t="s">
        <v>1469</v>
      </c>
      <c r="E529" s="108">
        <f>IFERROR(VLOOKUP(I529:I541,Lecturers!A2:F596,3,FALSE),0)</f>
        <v>80</v>
      </c>
      <c r="F529" s="129" t="s">
        <v>1988</v>
      </c>
      <c r="G529" s="138">
        <f>E529*1.1</f>
        <v>88</v>
      </c>
      <c r="H529" s="355" t="s">
        <v>1989</v>
      </c>
      <c r="I529" s="318" t="str">
        <v>PE 351,ED3-PE</v>
      </c>
      <c r="J529" s="81">
        <v>100</v>
      </c>
    </row>
    <row r="530" spans="1:10">
      <c r="A530" s="180" t="s">
        <v>133</v>
      </c>
      <c r="B530" s="180" t="str">
        <v>ARTIFICIAL INTELLIGENCE</v>
      </c>
      <c r="C530" s="122" t="str">
        <v>Nunoo-Mensah Henry</v>
      </c>
      <c r="D530" s="180" t="s">
        <v>113</v>
      </c>
      <c r="E530" s="108">
        <v>45</v>
      </c>
      <c r="F530" s="124" t="s">
        <v>1976</v>
      </c>
      <c r="G530" s="107">
        <f>E530*1.1</f>
        <v>49.5</v>
      </c>
      <c r="H530" s="353" t="s">
        <v>1977</v>
      </c>
      <c r="I530" s="83" t="str">
        <f>_xlfn.CONCAT(A530,",",D530)</f>
        <v>COE 457,ED4-COE</v>
      </c>
      <c r="J530" s="81">
        <v>83</v>
      </c>
    </row>
    <row r="531" spans="1:10">
      <c r="A531" s="180" t="s">
        <v>318</v>
      </c>
      <c r="B531" s="180" t="str">
        <v>ENVIRONMENTAL CONTROL AND LIVESTOCK HOUSING</v>
      </c>
      <c r="C531" s="122" t="str">
        <v>Lavie Jerome Dela</v>
      </c>
      <c r="D531" s="180" t="s">
        <v>41</v>
      </c>
      <c r="E531" s="108">
        <v>103</v>
      </c>
      <c r="F531" s="124" t="s">
        <v>1980</v>
      </c>
      <c r="G531" s="107">
        <f>E531*1.1</f>
        <v>113.3</v>
      </c>
      <c r="H531" s="353" t="s">
        <v>1982</v>
      </c>
      <c r="I531" s="83" t="str">
        <f>_xlfn.CONCAT(A531,",",D531)</f>
        <v>AE 453,ED4-AE</v>
      </c>
      <c r="J531" s="81">
        <v>83</v>
      </c>
    </row>
    <row r="532" spans="1:10">
      <c r="A532" s="180" t="s">
        <v>270</v>
      </c>
      <c r="B532" s="180" t="str">
        <v>ECONOMICS AND COMMERCIAL GEOGRAPHY</v>
      </c>
      <c r="C532" s="122" t="str">
        <v>Bonuedi Isaac</v>
      </c>
      <c r="D532" s="180" t="s">
        <v>103</v>
      </c>
      <c r="E532" s="106">
        <v>37</v>
      </c>
      <c r="F532" s="124" t="s">
        <v>381</v>
      </c>
      <c r="G532" s="107">
        <f>E532*1.1</f>
        <v>40.7</v>
      </c>
      <c r="H532" s="354" t="s">
        <v>1978</v>
      </c>
      <c r="I532" s="104" t="str">
        <f>_xlfn.CONCAT(A532,",",D532)</f>
        <v>MME 291,ED2-MARI</v>
      </c>
      <c r="J532" s="81">
        <v>74</v>
      </c>
    </row>
    <row r="533" spans="1:10">
      <c r="A533" s="180" t="s">
        <v>160</v>
      </c>
      <c r="B533" s="180" t="str">
        <v>TECHNICAL DRAWING</v>
      </c>
      <c r="C533" s="122" t="str">
        <v>Sekyere Charles Kofi Kafui</v>
      </c>
      <c r="D533" s="180" t="s">
        <v>2</v>
      </c>
      <c r="E533" s="106">
        <v>85</v>
      </c>
      <c r="F533" s="124" t="s">
        <v>1980</v>
      </c>
      <c r="G533" s="107">
        <f>E533*1.1</f>
        <v>93.5</v>
      </c>
      <c r="H533" s="353" t="s">
        <v>1981</v>
      </c>
      <c r="I533" s="83" t="str">
        <v>ME 159,ED1-AUTO</v>
      </c>
      <c r="J533" s="81">
        <v>43</v>
      </c>
    </row>
    <row r="534" spans="1:10">
      <c r="A534" s="180" t="s">
        <v>160</v>
      </c>
      <c r="B534" s="180" t="str">
        <v>TECHNICAL DRAWING</v>
      </c>
      <c r="C534" s="122" t="str">
        <v>Sekyere Charles Kofi Kafui</v>
      </c>
      <c r="D534" s="180" t="s">
        <v>3</v>
      </c>
      <c r="E534" s="106">
        <v>83</v>
      </c>
      <c r="F534" s="174" t="s">
        <v>1983</v>
      </c>
      <c r="G534" s="107">
        <f>E534*1.1</f>
        <v>91.3</v>
      </c>
      <c r="H534" s="353" t="s">
        <v>1984</v>
      </c>
      <c r="I534" s="83" t="str">
        <v>ME 159,ED1-IND</v>
      </c>
      <c r="J534" s="81">
        <v>69</v>
      </c>
    </row>
    <row ht="18" customHeight="1" r="535" spans="1:10">
      <c r="A535" s="180" t="s">
        <v>160</v>
      </c>
      <c r="B535" s="180" t="str">
        <v>TECHNICAL DRAWING</v>
      </c>
      <c r="C535" s="126" t="str">
        <v>Oppong Tawiah Peter</v>
      </c>
      <c r="D535" s="180" t="s">
        <v>11</v>
      </c>
      <c r="E535" s="106">
        <v>75</v>
      </c>
      <c r="F535" s="120" t="s">
        <v>414</v>
      </c>
      <c r="G535" s="107">
        <f>E535*1.1</f>
        <v>82.5</v>
      </c>
      <c r="H535" s="353" t="s">
        <v>1979</v>
      </c>
      <c r="I535" s="104" t="str">
        <f>_xlfn.CONCAT(A535,",",D535)</f>
        <v>ME 159,ED1-METE</v>
      </c>
      <c r="J535" s="81">
        <v>61</v>
      </c>
    </row>
    <row r="536" spans="1:10">
      <c r="A536" s="180" t="s">
        <v>160</v>
      </c>
      <c r="B536" s="180" t="str">
        <v>TECHNICAL DRAWING</v>
      </c>
      <c r="C536" s="126" t="str">
        <v>Oppong Tawiah Peter</v>
      </c>
      <c r="D536" s="180" t="s">
        <v>1467</v>
      </c>
      <c r="E536" s="106">
        <v>130</v>
      </c>
      <c r="F536" s="124" t="s">
        <v>1992</v>
      </c>
      <c r="G536" s="107">
        <f>E536*1.1</f>
        <v>143</v>
      </c>
      <c r="H536" s="353" t="s">
        <v>1991</v>
      </c>
      <c r="I536" s="104" t="str">
        <v>ME 159,ED1-PE</v>
      </c>
      <c r="J536" s="81">
        <v>107</v>
      </c>
    </row>
    <row r="537" spans="1:10">
      <c r="A537" s="180" t="s">
        <v>234</v>
      </c>
      <c r="B537" s="180" t="str">
        <v>CATALYSIS</v>
      </c>
      <c r="C537" s="330" t="str">
        <v>Baidoo Martina Francisca</v>
      </c>
      <c r="D537" s="180" t="s">
        <v>79</v>
      </c>
      <c r="E537" s="108">
        <v>55</v>
      </c>
      <c r="F537" s="332" t="s">
        <v>431</v>
      </c>
      <c r="G537" s="107">
        <f>E537*1.1</f>
        <v>60.5</v>
      </c>
      <c r="H537" s="353">
        <v>55</v>
      </c>
      <c r="I537" s="83" t="str">
        <f>_xlfn.CONCAT(A537,",",D537)</f>
        <v>PCE 451,ED4-PCE</v>
      </c>
      <c r="J537" s="81">
        <v>81</v>
      </c>
    </row>
    <row r="538" spans="1:10">
      <c r="A538" s="180" t="s">
        <v>160</v>
      </c>
      <c r="B538" s="180" t="str">
        <v>TECHNICAL DRAWING</v>
      </c>
      <c r="C538" s="126" t="str">
        <v>Dzebre Denis Edem Kwame</v>
      </c>
      <c r="D538" s="180" t="s">
        <v>10</v>
      </c>
      <c r="E538" s="106">
        <v>100</v>
      </c>
      <c r="F538" s="134" t="s">
        <v>1974</v>
      </c>
      <c r="G538" s="107">
        <f>E538*1.1</f>
        <v>110</v>
      </c>
      <c r="H538" s="353" t="s">
        <v>1975</v>
      </c>
      <c r="I538" s="104" t="str">
        <v>ME 159,ED1-GEOM</v>
      </c>
      <c r="J538" s="81"/>
    </row>
    <row r="539" spans="1:10">
      <c r="A539" s="180" t="s">
        <v>258</v>
      </c>
      <c r="B539" s="180" t="str">
        <v>ENGINEERING IN SOCIETY</v>
      </c>
      <c r="C539" s="122" t="str">
        <v>Lavie Jerome Dela</v>
      </c>
      <c r="D539" s="180" t="s">
        <v>43</v>
      </c>
      <c r="E539" s="106">
        <v>155</v>
      </c>
      <c r="F539" s="123" t="s">
        <v>1987</v>
      </c>
      <c r="G539" s="107">
        <f>E539*1.1</f>
        <v>170.5</v>
      </c>
      <c r="H539" s="354" t="s">
        <v>1986</v>
      </c>
      <c r="I539" s="104" t="str">
        <v>CENG 291,ED2-AE</v>
      </c>
      <c r="J539" s="81">
        <v>130</v>
      </c>
    </row>
    <row ht="14.25" customHeight="1" r="540" spans="1:10">
      <c r="A540" s="180" t="s">
        <v>393</v>
      </c>
      <c r="B540" s="180" t="str">
        <v>SAFETY AND RELIABILITY ENGINEERING</v>
      </c>
      <c r="C540" s="123" t="str">
        <v>Quaye Jonathan Atuquaye</v>
      </c>
      <c r="D540" s="180" t="s">
        <v>1470</v>
      </c>
      <c r="E540" s="106">
        <v>97</v>
      </c>
      <c r="F540" s="124" t="s">
        <v>1983</v>
      </c>
      <c r="G540" s="107">
        <f>E540*1.1</f>
        <v>106.7</v>
      </c>
      <c r="H540" s="354" t="s">
        <v>1985</v>
      </c>
      <c r="I540" s="104" t="str">
        <v>PE 473,ED4-PE</v>
      </c>
      <c r="J540" s="81">
        <v>98</v>
      </c>
    </row>
    <row r="541" spans="1:10">
      <c r="A541" s="180" t="s">
        <v>137</v>
      </c>
      <c r="B541" s="180" t="str">
        <v>BIOINSTRUMENTATION II</v>
      </c>
      <c r="C541" s="122" t="str">
        <v>Acquah Isaac</v>
      </c>
      <c r="D541" s="180" t="s">
        <v>75</v>
      </c>
      <c r="E541" s="106">
        <v>87</v>
      </c>
      <c r="F541" s="124" t="s">
        <v>1993</v>
      </c>
      <c r="G541" s="107">
        <f>E541*1.1</f>
        <v>95.7</v>
      </c>
      <c r="H541" s="353" t="s">
        <v>1994</v>
      </c>
      <c r="I541" s="83" t="str">
        <f>_xlfn.CONCAT(A541,",",D541)</f>
        <v>BME 471,ED4-BME</v>
      </c>
      <c r="J541" s="81">
        <v>69</v>
      </c>
    </row>
    <row r="542" spans="1:10">
      <c r="A542" s="83"/>
      <c r="B542" s="83"/>
      <c r="C542" s="109"/>
      <c r="D542" s="180" t="s">
        <v>281</v>
      </c>
      <c r="E542" s="91">
        <f>SUM(E529:E541)</f>
        <v>1132</v>
      </c>
      <c r="F542" s="109"/>
      <c r="G542" s="83"/>
      <c r="H542" s="353"/>
      <c r="I542" s="83" t="str">
        <f>_xlfn.CONCAT(A542,",",D542)</f>
        <v>,Total M1-2</v>
      </c>
      <c r="J542" s="81" t="e">
        <f>#N/A</f>
        <v>#N/A</v>
      </c>
    </row>
    <row r="543" spans="1:10">
      <c r="A543" s="83"/>
      <c r="B543" s="83"/>
      <c r="C543" s="109"/>
      <c r="D543" s="83"/>
      <c r="E543" s="83"/>
      <c r="F543" s="109"/>
      <c r="G543" s="83"/>
      <c r="H543" s="353"/>
      <c r="I543" s="83" t="str">
        <v>,</v>
      </c>
      <c r="J543" s="81" t="e">
        <f>#N/A</f>
        <v>#N/A</v>
      </c>
    </row>
    <row r="544" spans="1:10">
      <c r="A544" s="83"/>
      <c r="B544" s="83"/>
      <c r="C544" s="109"/>
      <c r="D544" s="83"/>
      <c r="E544" s="83"/>
      <c r="F544" s="109"/>
      <c r="G544" s="83"/>
      <c r="H544" s="353"/>
      <c r="I544" s="83" t="str">
        <v>,</v>
      </c>
      <c r="J544" s="81" t="e">
        <f>#N/A</f>
        <v>#N/A</v>
      </c>
    </row>
    <row r="545" spans="1:10">
      <c r="A545" s="363" t="s">
        <v>1459</v>
      </c>
      <c r="B545" s="363"/>
      <c r="C545" s="363"/>
      <c r="D545" s="363"/>
      <c r="E545" s="363"/>
      <c r="F545" s="363"/>
      <c r="G545" s="363"/>
      <c r="H545" s="353"/>
      <c r="I545" s="83" t="str">
        <v>Monday, 20 April 2026,</v>
      </c>
      <c r="J545" s="81" t="e">
        <f>#N/A</f>
        <v>#N/A</v>
      </c>
    </row>
    <row r="546" spans="1:10">
      <c r="A546" s="364" t="s">
        <v>413</v>
      </c>
      <c r="B546" s="365"/>
      <c r="C546" s="365"/>
      <c r="D546" s="365"/>
      <c r="E546" s="365"/>
      <c r="F546" s="365"/>
      <c r="G546" s="366"/>
      <c r="H546" s="353"/>
      <c r="I546" s="83" t="str">
        <v>Session, 3 (3:00 PM - 5:00 PM),</v>
      </c>
      <c r="J546" s="81" t="e">
        <f>#N/A</f>
        <v>#N/A</v>
      </c>
    </row>
    <row r="547" spans="1:10">
      <c r="A547" s="111" t="s">
        <v>24</v>
      </c>
      <c r="B547" s="111" t="s">
        <v>25</v>
      </c>
      <c r="C547" s="326" t="s">
        <v>26</v>
      </c>
      <c r="D547" s="91" t="s">
        <v>27</v>
      </c>
      <c r="E547" s="91" t="s">
        <v>266</v>
      </c>
      <c r="F547" s="327" t="s">
        <v>28</v>
      </c>
      <c r="G547" s="111" t="s">
        <v>265</v>
      </c>
      <c r="H547" s="353"/>
      <c r="I547" s="83" t="str">
        <v>CODE ,CLASS</v>
      </c>
      <c r="J547" s="81" t="e">
        <f>#N/A</f>
        <v>#N/A</v>
      </c>
    </row>
    <row r="548" spans="1:10">
      <c r="A548" s="180" t="s">
        <v>395</v>
      </c>
      <c r="B548" s="180" t="str">
        <f>VLOOKUP(I548:I561,Lecturers!A2:G598,6,FALSE)</f>
        <v>FINITE ELEMENT METHODS</v>
      </c>
      <c r="C548" s="328" t="str">
        <f>VLOOKUP(I548:I561,Lecturers!A2:G598,2,FALSE)</f>
        <v>Andoh Prince Yaw</v>
      </c>
      <c r="D548" s="180" t="s">
        <v>15</v>
      </c>
      <c r="E548" s="106">
        <f>IFERROR(VLOOKUP(I548:I561,Lecturers!A2:F596,3,FALSE),0)</f>
        <v>140</v>
      </c>
      <c r="F548" s="122" t="s">
        <v>1814</v>
      </c>
      <c r="G548" s="107">
        <f>E548*1.1</f>
        <v>154</v>
      </c>
      <c r="H548" s="353"/>
      <c r="I548" s="83" t="str">
        <v>ME 455,ED4-ME</v>
      </c>
      <c r="J548" s="81">
        <v>102</v>
      </c>
    </row>
    <row r="549" spans="1:10">
      <c r="A549" s="180" t="s">
        <v>264</v>
      </c>
      <c r="B549" s="180" t="str">
        <v>MATERIALS PROCESSING LABORATORY</v>
      </c>
      <c r="C549" s="330" t="str">
        <v>Dzikunu Perseverance</v>
      </c>
      <c r="D549" s="180" t="s">
        <v>111</v>
      </c>
      <c r="E549" s="106">
        <v>89</v>
      </c>
      <c r="F549" s="348" t="s">
        <v>2009</v>
      </c>
      <c r="G549" s="107">
        <f>E549*1.1</f>
        <v>97.9</v>
      </c>
      <c r="H549" s="353" t="s">
        <v>2010</v>
      </c>
      <c r="I549" s="83" t="str">
        <v>MSE 359,ED3-MSE</v>
      </c>
      <c r="J549" s="81" t="e">
        <f>#N/A</f>
        <v>#N/A</v>
      </c>
    </row>
    <row r="550" spans="1:10">
      <c r="A550" s="180" t="s">
        <v>370</v>
      </c>
      <c r="B550" s="180" t="str">
        <v>METALLURGICAL PROCESSING LABORATORY</v>
      </c>
      <c r="C550" s="330" t="str">
        <v>Dzikunu Perseverance</v>
      </c>
      <c r="D550" s="180" t="s">
        <v>110</v>
      </c>
      <c r="E550" s="106">
        <v>87</v>
      </c>
      <c r="F550" s="329" t="s">
        <v>2011</v>
      </c>
      <c r="G550" s="107">
        <f>E550*1.1</f>
        <v>95.7</v>
      </c>
      <c r="H550" s="353" t="s">
        <v>2012</v>
      </c>
      <c r="I550" s="83" t="str">
        <v>METE 355,ED3-METE</v>
      </c>
      <c r="J550" s="81" t="e">
        <f>#N/A</f>
        <v>#N/A</v>
      </c>
    </row>
    <row r="551" spans="1:10">
      <c r="A551" s="180" t="s">
        <v>132</v>
      </c>
      <c r="B551" s="180" t="str">
        <v>WIRELESS DATA COMMUNICATION NETWORK</v>
      </c>
      <c r="C551" s="122" t="str">
        <v>Opare Kwasi Adu-Boahen</v>
      </c>
      <c r="D551" s="180" t="s">
        <v>114</v>
      </c>
      <c r="E551" s="106">
        <v>43</v>
      </c>
      <c r="F551" s="123" t="s">
        <v>2014</v>
      </c>
      <c r="G551" s="107">
        <f>E551*1.1</f>
        <v>47.3</v>
      </c>
      <c r="H551" s="354" t="s">
        <v>2015</v>
      </c>
      <c r="I551" s="104" t="str">
        <f>_xlfn.CONCAT(A551,",",D551)</f>
        <v>TE 481,ED4-EE</v>
      </c>
      <c r="J551" s="81">
        <v>80</v>
      </c>
    </row>
    <row r="552" spans="1:10" s="105" customFormat="1">
      <c r="A552" s="180" t="s">
        <v>455</v>
      </c>
      <c r="B552" s="180" t="str">
        <v>OCCUPATIONAL HEALTH AND SAFETY</v>
      </c>
      <c r="C552" s="328" t="str">
        <v>Asiedu Charlotte</v>
      </c>
      <c r="D552" s="180" t="s">
        <v>7</v>
      </c>
      <c r="E552" s="106">
        <v>295</v>
      </c>
      <c r="F552" s="124" t="s">
        <v>1997</v>
      </c>
      <c r="G552" s="107">
        <f>E552*1.1</f>
        <v>324.5</v>
      </c>
      <c r="H552" s="353" t="s">
        <v>1998</v>
      </c>
      <c r="I552" s="105" t="str">
        <f>CONCATENATE(A552,",",D552)</f>
        <v>EE 167,ED1-EE</v>
      </c>
      <c r="J552" s="102"/>
    </row>
    <row r="553" spans="1:10">
      <c r="A553" s="180" t="s">
        <v>243</v>
      </c>
      <c r="B553" s="180" t="str">
        <v>AVIATION BUSINESS MANAGEMENT</v>
      </c>
      <c r="C553" s="123" t="str">
        <v>Takyi Gabriel</v>
      </c>
      <c r="D553" s="180" t="s">
        <v>17</v>
      </c>
      <c r="E553" s="106">
        <v>61</v>
      </c>
      <c r="F553" s="124" t="s">
        <v>1968</v>
      </c>
      <c r="G553" s="107">
        <f>E553*1.1</f>
        <v>67.1</v>
      </c>
      <c r="H553" s="354" t="s">
        <v>1999</v>
      </c>
      <c r="I553" s="104" t="str">
        <f>_xlfn.CONCAT(A553,",",D553)</f>
        <v>AERO 491,ED4-AERO</v>
      </c>
      <c r="J553" s="81">
        <v>81</v>
      </c>
    </row>
    <row r="554" spans="1:10">
      <c r="A554" s="180" t="s">
        <v>198</v>
      </c>
      <c r="B554" s="180" t="str">
        <v>DEVELOPMENT ENGINEERING</v>
      </c>
      <c r="C554" s="123" t="str">
        <v>Tuffour Yaw Adubofour</v>
      </c>
      <c r="D554" s="180" t="s">
        <v>19</v>
      </c>
      <c r="E554" s="106">
        <v>25</v>
      </c>
      <c r="F554" s="342" t="s">
        <v>13</v>
      </c>
      <c r="G554" s="107">
        <f>E554*1.1</f>
        <v>27.5</v>
      </c>
      <c r="H554" s="354" t="s">
        <v>2000</v>
      </c>
      <c r="I554" s="104" t="str">
        <f>_xlfn.CONCAT(A554,",",D554)</f>
        <v>CE 473,ED4-CE</v>
      </c>
      <c r="J554" s="81">
        <v>96</v>
      </c>
    </row>
    <row r="555" spans="1:10">
      <c r="A555" s="180" t="s">
        <v>122</v>
      </c>
      <c r="B555" s="180" t="str">
        <v>AGRIC. METEOROLOGY AND CLIMATOLOGY</v>
      </c>
      <c r="C555" s="123" t="str">
        <v>Bessah Enoch</v>
      </c>
      <c r="D555" s="180" t="s">
        <v>37</v>
      </c>
      <c r="E555" s="106">
        <v>128</v>
      </c>
      <c r="F555" s="134" t="s">
        <v>2013</v>
      </c>
      <c r="G555" s="107">
        <f>E555*1.1</f>
        <v>140.8</v>
      </c>
      <c r="H555" s="353" t="s">
        <v>2008</v>
      </c>
      <c r="I555" s="104" t="str">
        <f>_xlfn.CONCAT(A555,",",D555)</f>
        <v>AE 153,ED1-AE</v>
      </c>
      <c r="J555" s="81"/>
    </row>
    <row r="556" spans="1:10" s="105" customFormat="1">
      <c r="A556" s="180" t="s">
        <v>614</v>
      </c>
      <c r="B556" s="180" t="str">
        <v>PHOTOGEOLOGY AND REMOTE SENSING</v>
      </c>
      <c r="C556" s="328" t="str">
        <v>Nuamah Daniel Oduro Boatey</v>
      </c>
      <c r="D556" s="180" t="s">
        <v>52</v>
      </c>
      <c r="E556" s="106">
        <v>154</v>
      </c>
      <c r="F556" s="124" t="s">
        <v>1973</v>
      </c>
      <c r="G556" s="107">
        <f>1.1*E556</f>
        <v>169.4</v>
      </c>
      <c r="H556" s="353" t="s">
        <v>1995</v>
      </c>
      <c r="I556" s="105" t="str">
        <f>CONCATENATE(A556,",",D556)</f>
        <v>GED 369,ED3-GEOL</v>
      </c>
      <c r="J556" s="102"/>
    </row>
    <row r="557" spans="1:10">
      <c r="A557" s="180" t="s">
        <v>394</v>
      </c>
      <c r="B557" s="180" t="str">
        <v>MARINE ELECTRICAL TECHNOLOGY</v>
      </c>
      <c r="C557" s="123" t="str">
        <v>Frimpong Emmanuel Asuming</v>
      </c>
      <c r="D557" s="180" t="s">
        <v>109</v>
      </c>
      <c r="E557" s="106">
        <v>40</v>
      </c>
      <c r="F557" s="124" t="s">
        <v>277</v>
      </c>
      <c r="G557" s="107">
        <f>E557*1.1</f>
        <v>44</v>
      </c>
      <c r="H557" s="354" t="s">
        <v>2001</v>
      </c>
      <c r="I557" s="104" t="str">
        <f>_xlfn.CONCAT(A557,",",D557)</f>
        <v>MME 353,ED3-MARI</v>
      </c>
      <c r="J557" s="81">
        <v>66</v>
      </c>
    </row>
    <row r="558" spans="1:10">
      <c r="A558" s="180" t="s">
        <v>320</v>
      </c>
      <c r="B558" s="180" t="str">
        <v>FAILURE ANALYSIS AND NON-DESTRUCTIVE TESTING</v>
      </c>
      <c r="C558" s="122" t="str">
        <v>Arthur Emmanuel Kwesi</v>
      </c>
      <c r="D558" s="180" t="s">
        <v>64</v>
      </c>
      <c r="E558" s="117">
        <v>64</v>
      </c>
      <c r="F558" s="123" t="s">
        <v>2006</v>
      </c>
      <c r="G558" s="107">
        <f>E558*1.1</f>
        <v>70.4</v>
      </c>
      <c r="H558" s="354" t="s">
        <v>2007</v>
      </c>
      <c r="I558" s="104" t="str">
        <v>MSE 455,ED4-MSE</v>
      </c>
      <c r="J558" s="81">
        <v>119</v>
      </c>
    </row>
    <row r="559" spans="1:10">
      <c r="A559" s="180" t="s">
        <v>90</v>
      </c>
      <c r="B559" s="180" t="str">
        <v>METALLURGICAL FAILURE ANALYSIS AND NDTs</v>
      </c>
      <c r="C559" s="122" t="str">
        <v>Arthur Emmanuel Kwesi</v>
      </c>
      <c r="D559" s="180" t="s">
        <v>62</v>
      </c>
      <c r="E559" s="117">
        <v>53</v>
      </c>
      <c r="F559" s="331" t="s">
        <v>2002</v>
      </c>
      <c r="G559" s="107">
        <f>E559*1.1</f>
        <v>58.3</v>
      </c>
      <c r="H559" s="354" t="s">
        <v>2003</v>
      </c>
      <c r="I559" s="104" t="str">
        <v>METE 453,ED4-METE</v>
      </c>
      <c r="J559" s="81">
        <v>104</v>
      </c>
    </row>
    <row r="560" spans="1:10">
      <c r="A560" s="180" t="s">
        <v>94</v>
      </c>
      <c r="B560" s="180" t="str">
        <v>INTRODUCTION TO THERMODYNAMICS OF MATERIALS</v>
      </c>
      <c r="C560" s="123" t="str">
        <v>Gikunoo Emmanuel</v>
      </c>
      <c r="D560" s="180" t="s">
        <v>35</v>
      </c>
      <c r="E560" s="106">
        <v>100</v>
      </c>
      <c r="F560" s="134" t="s">
        <v>2004</v>
      </c>
      <c r="G560" s="107">
        <f>E560*1.1</f>
        <v>110</v>
      </c>
      <c r="H560" s="353" t="s">
        <v>2005</v>
      </c>
      <c r="I560" s="83" t="str">
        <f>_xlfn.CONCAT(A560,",",D560)</f>
        <v>MSE 151,ED1-MSE</v>
      </c>
      <c r="J560" s="81"/>
    </row>
    <row r="561" spans="1:12">
      <c r="A561" s="180" t="s">
        <v>316</v>
      </c>
      <c r="B561" s="180" t="str">
        <v>LAND VEHICLE DESIGN</v>
      </c>
      <c r="C561" s="123" t="str">
        <v>Ayetor Godwin Kafui Kwesi</v>
      </c>
      <c r="D561" s="180" t="s">
        <v>105</v>
      </c>
      <c r="E561" s="106">
        <v>40</v>
      </c>
      <c r="F561" s="129" t="s">
        <v>277</v>
      </c>
      <c r="G561" s="107">
        <f>E561*1.1</f>
        <v>44</v>
      </c>
      <c r="H561" s="353" t="s">
        <v>2001</v>
      </c>
      <c r="I561" s="83" t="str">
        <v>AME 371,ED3-AUTO</v>
      </c>
      <c r="J561" s="81">
        <v>113</v>
      </c>
    </row>
    <row r="562" spans="1:12">
      <c r="A562" s="187"/>
      <c r="B562" s="187"/>
      <c r="C562" s="133"/>
      <c r="D562" s="180" t="s">
        <v>594</v>
      </c>
      <c r="E562" s="106">
        <f>SUM(E549:E561)</f>
        <v>1179</v>
      </c>
      <c r="F562" s="134"/>
      <c r="G562" s="333"/>
      <c r="H562" s="353"/>
      <c r="I562" s="83"/>
      <c r="J562" s="81"/>
    </row>
    <row r="563" spans="1:12">
      <c r="A563" s="187"/>
      <c r="B563" s="187"/>
      <c r="C563" s="133"/>
      <c r="D563" s="187"/>
      <c r="E563" s="320"/>
      <c r="F563" s="134"/>
      <c r="G563" s="333"/>
      <c r="H563" s="353"/>
      <c r="I563" s="83"/>
      <c r="J563" s="81"/>
    </row>
    <row r="564" spans="1:12">
      <c r="A564" s="83"/>
      <c r="B564" s="83"/>
      <c r="C564" s="109"/>
      <c r="D564" s="187"/>
      <c r="E564" s="115"/>
      <c r="F564" s="184"/>
      <c r="G564" s="83"/>
      <c r="H564" s="353"/>
      <c r="I564" s="83"/>
      <c r="J564" s="81"/>
    </row>
    <row r="565" spans="1:12">
      <c r="A565" s="83"/>
      <c r="B565" s="83"/>
      <c r="C565" s="109"/>
      <c r="D565" s="187"/>
      <c r="E565" s="115"/>
      <c r="F565" s="184"/>
      <c r="G565" s="83"/>
      <c r="H565" s="353"/>
      <c r="I565" s="83"/>
      <c r="J565" s="81"/>
    </row>
    <row r="566" spans="1:12">
      <c r="A566" s="83"/>
      <c r="B566" s="83"/>
      <c r="C566" s="109"/>
      <c r="D566" s="187"/>
      <c r="E566" s="115"/>
      <c r="F566" s="184"/>
      <c r="G566" s="83"/>
      <c r="H566" s="353"/>
      <c r="I566" s="83"/>
      <c r="J566" s="81"/>
    </row>
    <row r="567" spans="1:12">
      <c r="A567" s="83"/>
      <c r="B567" s="83"/>
      <c r="C567" s="109"/>
      <c r="D567" s="187"/>
      <c r="E567" s="115"/>
      <c r="F567" s="184"/>
      <c r="G567" s="83"/>
      <c r="H567" s="353"/>
      <c r="I567" s="83"/>
      <c r="J567" s="81"/>
    </row>
    <row r="568" spans="1:12">
      <c r="A568" s="83"/>
      <c r="B568" s="83"/>
      <c r="C568" s="109"/>
      <c r="D568" s="187"/>
      <c r="E568" s="115"/>
      <c r="F568" s="184"/>
      <c r="G568" s="83"/>
      <c r="H568" s="353"/>
      <c r="I568" s="83"/>
      <c r="J568" s="81"/>
    </row>
    <row r="569" spans="1:12">
      <c r="A569" s="83"/>
      <c r="B569" s="83"/>
      <c r="C569" s="109"/>
      <c r="D569" s="187"/>
      <c r="E569" s="115"/>
      <c r="F569" s="184"/>
      <c r="G569" s="83"/>
      <c r="H569" s="353"/>
      <c r="I569" s="83"/>
      <c r="J569" s="81"/>
    </row>
    <row r="571" spans="1:12">
      <c r="A571" s="363" t="s">
        <v>1460</v>
      </c>
      <c r="B571" s="363"/>
      <c r="C571" s="363"/>
      <c r="D571" s="363"/>
      <c r="E571" s="363"/>
      <c r="F571" s="363"/>
      <c r="G571" s="363"/>
      <c r="H571" s="353"/>
      <c r="I571" s="83" t="str">
        <f>_xlfn.CONCAT(A571,",",D571)</f>
        <v>Tuesday, 21 April 2026,</v>
      </c>
      <c r="J571" s="81" t="e">
        <f>#N/A</f>
        <v>#N/A</v>
      </c>
    </row>
    <row r="572" spans="1:12">
      <c r="A572" s="364" t="s">
        <v>411</v>
      </c>
      <c r="B572" s="365"/>
      <c r="C572" s="365"/>
      <c r="D572" s="365"/>
      <c r="E572" s="365"/>
      <c r="F572" s="365"/>
      <c r="G572" s="366"/>
      <c r="H572" s="353"/>
      <c r="I572" s="83" t="str">
        <v>Session, 1 (8:30 AM - 10:30 AM),</v>
      </c>
      <c r="J572" s="105"/>
      <c r="L572" s="105" t="s">
        <v>379</v>
      </c>
    </row>
    <row r="573" spans="1:12">
      <c r="A573" s="111" t="s">
        <v>24</v>
      </c>
      <c r="B573" s="111" t="s">
        <v>25</v>
      </c>
      <c r="C573" s="179" t="s">
        <v>26</v>
      </c>
      <c r="D573" s="111" t="s">
        <v>27</v>
      </c>
      <c r="E573" s="111" t="s">
        <v>266</v>
      </c>
      <c r="F573" s="179" t="s">
        <v>28</v>
      </c>
      <c r="G573" s="111" t="s">
        <v>265</v>
      </c>
      <c r="H573" s="353"/>
      <c r="I573" s="104" t="str">
        <f>_xlfn.CONCAT(A573,",",D573)</f>
        <v>CODE ,CLASS</v>
      </c>
      <c r="J573" s="81" t="e">
        <f>#N/A</f>
        <v>#N/A</v>
      </c>
    </row>
    <row r="574" spans="1:12">
      <c r="A574" s="180" t="s">
        <v>371</v>
      </c>
      <c r="B574" s="180" t="str">
        <f>VLOOKUP(I574:I584,Lecturers!A2:G598,6,FALSE)</f>
        <v>PROBABILITY AND STATISTICS</v>
      </c>
      <c r="C574" s="131" t="str">
        <f>VLOOKUP(I574:I584,Lecturers!A2:G598,2,FALSE)</f>
        <v>Amoako-Yirenkyi Carole Fredua</v>
      </c>
      <c r="D574" s="180" t="s">
        <v>107</v>
      </c>
      <c r="E574" s="106">
        <f>IFERROR(VLOOKUP(I574:I584,Lecturers!A2:F596,3,FALSE),0)</f>
        <v>93</v>
      </c>
      <c r="F574" s="123" t="s">
        <v>1814</v>
      </c>
      <c r="G574" s="107">
        <f>E574*1.1</f>
        <v>102.3</v>
      </c>
      <c r="H574" s="353"/>
      <c r="I574" s="104" t="str">
        <f>_xlfn.CONCAT(A574,",",D574)</f>
        <v>STAT 253,ED3-GEOM</v>
      </c>
      <c r="J574" s="81">
        <v>143</v>
      </c>
    </row>
    <row r="575" spans="1:12">
      <c r="A575" s="180" t="s">
        <v>312</v>
      </c>
      <c r="B575" s="180" t="str">
        <v>ETHICS, CONTRACT &amp; PRODUCT LIABILITY LAW</v>
      </c>
      <c r="C575" s="123" t="str">
        <v>Asiedu Charlotte</v>
      </c>
      <c r="D575" s="180" t="s">
        <v>108</v>
      </c>
      <c r="E575" s="106">
        <v>72</v>
      </c>
      <c r="F575" s="124" t="s">
        <v>2021</v>
      </c>
      <c r="G575" s="107">
        <f>E575*1.1</f>
        <v>79.2</v>
      </c>
      <c r="H575" s="353" t="s">
        <v>2024</v>
      </c>
      <c r="I575" s="83" t="str">
        <f>_xlfn.CONCAT(A575,",",D575)</f>
        <v>IE 367,ED3-IND</v>
      </c>
      <c r="J575" s="81">
        <v>99</v>
      </c>
    </row>
    <row r="576" spans="1:12">
      <c r="A576" s="180" t="s">
        <v>45</v>
      </c>
      <c r="B576" s="180" t="str">
        <v>SEPARATION PROCESSES I</v>
      </c>
      <c r="C576" s="123" t="str">
        <v>Dogbe Eunice Sefakor Aku</v>
      </c>
      <c r="D576" s="180" t="s">
        <v>46</v>
      </c>
      <c r="E576" s="106">
        <v>51</v>
      </c>
      <c r="F576" s="124" t="s">
        <v>2025</v>
      </c>
      <c r="G576" s="107">
        <f>E576*1.1</f>
        <v>56.1</v>
      </c>
      <c r="H576" s="353" t="s">
        <v>2026</v>
      </c>
      <c r="I576" s="83" t="str">
        <v>PCE 351,ED3-PCE</v>
      </c>
      <c r="J576" s="81">
        <v>99</v>
      </c>
    </row>
    <row r="577" spans="1:10">
      <c r="A577" s="180" t="s">
        <v>21</v>
      </c>
      <c r="B577" s="180" t="str">
        <v>PRINCIPLES OF HYDROGEOLOGY</v>
      </c>
      <c r="C577" s="123" t="str">
        <v>Appiah-Adjei Emmanuel Kwame</v>
      </c>
      <c r="D577" s="180" t="s">
        <v>22</v>
      </c>
      <c r="E577" s="106">
        <v>95</v>
      </c>
      <c r="F577" s="124" t="s">
        <v>1973</v>
      </c>
      <c r="G577" s="107">
        <f>E577*1.1</f>
        <v>104.5</v>
      </c>
      <c r="H577" s="353" t="s">
        <v>2030</v>
      </c>
      <c r="I577" s="83" t="str">
        <v>GED 475,ED4-GEOL</v>
      </c>
      <c r="J577" s="81">
        <v>134</v>
      </c>
    </row>
    <row r="578" spans="1:10">
      <c r="A578" s="180" t="s">
        <v>161</v>
      </c>
      <c r="B578" s="180" t="str">
        <v>MECHANICAL BEHAVIOUR OF MATERIALS</v>
      </c>
      <c r="C578" s="123" t="str">
        <v>Kwofie Samuel</v>
      </c>
      <c r="D578" s="180" t="s">
        <v>104</v>
      </c>
      <c r="E578" s="106">
        <v>80</v>
      </c>
      <c r="F578" s="123" t="s">
        <v>1958</v>
      </c>
      <c r="G578" s="107">
        <f>E317*1.1</f>
        <v>110</v>
      </c>
      <c r="H578" s="354" t="s">
        <v>2019</v>
      </c>
      <c r="I578" s="104" t="str">
        <f>_xlfn.CONCAT(A578,",",D578)</f>
        <v>MSE 253,ED2-MSE</v>
      </c>
      <c r="J578" s="81">
        <v>127</v>
      </c>
    </row>
    <row ht="12" customHeight="1" r="579" spans="1:10">
      <c r="A579" s="180" t="s">
        <v>161</v>
      </c>
      <c r="B579" s="180" t="str">
        <v>MECHANICAL BEHAVIOUR OF MATERIALS</v>
      </c>
      <c r="C579" s="123" t="str">
        <v>Kwofie Samuel</v>
      </c>
      <c r="D579" s="180" t="s">
        <v>72</v>
      </c>
      <c r="E579" s="106">
        <v>59</v>
      </c>
      <c r="F579" s="124" t="s">
        <v>1968</v>
      </c>
      <c r="G579" s="107">
        <f>E579*1.1</f>
        <v>64.9</v>
      </c>
      <c r="H579" s="353" t="s">
        <v>2023</v>
      </c>
      <c r="I579" s="104" t="str">
        <f>_xlfn.CONCAT(A579,",",D579)</f>
        <v>MSE 253,ED2-METE</v>
      </c>
      <c r="J579" s="81">
        <v>72</v>
      </c>
    </row>
    <row r="580" spans="1:10">
      <c r="A580" s="180" t="s">
        <v>460</v>
      </c>
      <c r="B580" s="180" t="str">
        <v>SIGNALS AND SYSTEMS</v>
      </c>
      <c r="C580" s="123" t="str">
        <v>Agyekum Kwame Agyeman-Prempeh</v>
      </c>
      <c r="D580" s="180" t="s">
        <v>54</v>
      </c>
      <c r="E580" s="106">
        <v>140</v>
      </c>
      <c r="F580" s="123" t="s">
        <v>1973</v>
      </c>
      <c r="G580" s="107">
        <f>E580*1.1</f>
        <v>154</v>
      </c>
      <c r="H580" s="353" t="s">
        <v>2018</v>
      </c>
      <c r="I580" s="104" t="str">
        <f>_xlfn.CONCAT(A580,",",D580)</f>
        <v>TE 355,ED3-TEL</v>
      </c>
      <c r="J580" s="81">
        <v>183</v>
      </c>
    </row>
    <row r="581" spans="1:10">
      <c r="A581" s="180" t="s">
        <v>143</v>
      </c>
      <c r="B581" s="180" t="str">
        <v>SIGNALS AND SYSTEMS</v>
      </c>
      <c r="C581" s="123" t="str">
        <v>Yeboah-Akowuah Bright</v>
      </c>
      <c r="D581" s="180" t="s">
        <v>56</v>
      </c>
      <c r="E581" s="106">
        <v>90</v>
      </c>
      <c r="F581" s="123" t="s">
        <v>2022</v>
      </c>
      <c r="G581" s="107">
        <f>E581*1.1</f>
        <v>99</v>
      </c>
      <c r="H581" s="353" t="s">
        <v>2029</v>
      </c>
      <c r="I581" s="104" t="str">
        <v>TE 385,ED3-BME</v>
      </c>
      <c r="J581" s="81">
        <v>71</v>
      </c>
    </row>
    <row r="582" spans="1:10">
      <c r="A582" s="180" t="s">
        <v>143</v>
      </c>
      <c r="B582" s="180" t="str">
        <v>SIGNALS AND SYSTEMS</v>
      </c>
      <c r="C582" s="123" t="str">
        <v>Yeboah-Akowuah Bright</v>
      </c>
      <c r="D582" s="180" t="s">
        <v>55</v>
      </c>
      <c r="E582" s="106">
        <v>270</v>
      </c>
      <c r="F582" s="459" t="s">
        <v>1996</v>
      </c>
      <c r="G582" s="107">
        <f>E582*1.1</f>
        <v>297</v>
      </c>
      <c r="H582" s="353" t="s">
        <v>2016</v>
      </c>
      <c r="I582" s="104" t="str">
        <v>TE 385,ED3-COE</v>
      </c>
      <c r="J582" s="81"/>
    </row>
    <row r="583" spans="1:10">
      <c r="A583" s="180" t="s">
        <v>168</v>
      </c>
      <c r="B583" s="180" t="str">
        <v>ENGINEERING MATERIALS I</v>
      </c>
      <c r="C583" s="123" t="str">
        <v>Amoabeng Kofi Owura</v>
      </c>
      <c r="D583" s="180" t="s">
        <v>80</v>
      </c>
      <c r="E583" s="106">
        <v>75</v>
      </c>
      <c r="F583" s="124" t="s">
        <v>1968</v>
      </c>
      <c r="G583" s="107">
        <f>E583*1.1</f>
        <v>82.5</v>
      </c>
      <c r="H583" s="353" t="s">
        <v>2020</v>
      </c>
      <c r="I583" s="104" t="str">
        <v>ME 281,ED2-AERO</v>
      </c>
      <c r="J583" s="81">
        <v>74</v>
      </c>
    </row>
    <row r="584" spans="1:10">
      <c r="A584" s="180" t="s">
        <v>168</v>
      </c>
      <c r="B584" s="180" t="str">
        <v>ENGINEERING MATERIALS I</v>
      </c>
      <c r="C584" s="123" t="str">
        <v>Amoabeng Kofi Owura</v>
      </c>
      <c r="D584" s="180" t="s">
        <v>82</v>
      </c>
      <c r="E584" s="106">
        <v>242</v>
      </c>
      <c r="F584" s="124" t="s">
        <v>1996</v>
      </c>
      <c r="G584" s="107">
        <f>E584*1.1</f>
        <v>266.2</v>
      </c>
      <c r="H584" s="353" t="s">
        <v>2017</v>
      </c>
      <c r="I584" s="104" t="str">
        <v>ME 281,ED2-ME</v>
      </c>
      <c r="J584" s="81" t="e">
        <f>#N/A</f>
        <v>#N/A</v>
      </c>
    </row>
    <row r="585" spans="1:10">
      <c r="A585" s="83"/>
      <c r="B585" s="83"/>
      <c r="C585" s="109"/>
      <c r="D585" s="180" t="s">
        <v>400</v>
      </c>
      <c r="E585" s="91">
        <f>SUM(E575:E584)</f>
        <v>1174</v>
      </c>
      <c r="F585" s="109"/>
      <c r="G585" s="83"/>
      <c r="H585" s="353"/>
      <c r="I585" s="104" t="str">
        <f>_xlfn.CONCAT(A585,",",D585)</f>
        <v>,Total M3-2</v>
      </c>
      <c r="J585" s="81"/>
    </row>
    <row r="586" spans="1:10">
      <c r="A586" s="83"/>
      <c r="B586" s="83"/>
      <c r="C586" s="109"/>
      <c r="D586" s="187"/>
      <c r="E586" s="115"/>
      <c r="F586" s="184"/>
      <c r="G586" s="83"/>
      <c r="H586" s="353"/>
      <c r="I586" s="83"/>
      <c r="J586" s="81"/>
    </row>
    <row r="587" spans="1:10">
      <c r="A587" s="83"/>
      <c r="B587" s="83"/>
      <c r="C587" s="109"/>
      <c r="D587" s="83"/>
      <c r="E587" s="83"/>
      <c r="F587" s="109"/>
      <c r="G587" s="83"/>
      <c r="H587" s="353"/>
      <c r="I587" s="104" t="str">
        <f>_xlfn.CONCAT(A587,",",D587)</f>
        <v>,</v>
      </c>
    </row>
    <row r="588" spans="1:10">
      <c r="A588" s="363" t="s">
        <v>1460</v>
      </c>
      <c r="B588" s="363"/>
      <c r="C588" s="363"/>
      <c r="D588" s="363"/>
      <c r="E588" s="363"/>
      <c r="F588" s="363"/>
      <c r="G588" s="363"/>
      <c r="H588" s="353"/>
      <c r="I588" s="83" t="str">
        <v>Tuesday, 21 April 2026,</v>
      </c>
      <c r="J588" s="81" t="e">
        <f>#N/A</f>
        <v>#N/A</v>
      </c>
    </row>
    <row r="589" spans="1:10" s="105" customFormat="1">
      <c r="A589" s="364" t="s">
        <v>412</v>
      </c>
      <c r="B589" s="365"/>
      <c r="C589" s="365"/>
      <c r="D589" s="365"/>
      <c r="E589" s="365"/>
      <c r="F589" s="365"/>
      <c r="G589" s="366"/>
      <c r="H589" s="353"/>
      <c r="I589" s="83" t="str">
        <v>Session, 2 (12:00 PM - 2:00 PM),</v>
      </c>
      <c r="J589" s="81" t="e">
        <f>#N/A</f>
        <v>#N/A</v>
      </c>
    </row>
    <row r="590" spans="1:10">
      <c r="A590" s="111" t="s">
        <v>24</v>
      </c>
      <c r="B590" s="111" t="s">
        <v>25</v>
      </c>
      <c r="C590" s="179" t="s">
        <v>26</v>
      </c>
      <c r="D590" s="111" t="s">
        <v>27</v>
      </c>
      <c r="E590" s="111" t="s">
        <v>266</v>
      </c>
      <c r="F590" s="179" t="s">
        <v>28</v>
      </c>
      <c r="G590" s="111" t="s">
        <v>265</v>
      </c>
      <c r="H590" s="353"/>
      <c r="I590" s="104" t="str">
        <v>CODE ,CLASS</v>
      </c>
      <c r="J590" s="81" t="e">
        <f>#N/A</f>
        <v>#N/A</v>
      </c>
    </row>
    <row r="591" spans="1:10" s="136" customFormat="1">
      <c r="A591" s="181" t="s">
        <v>346</v>
      </c>
      <c r="B591" s="181" t="str">
        <f>VLOOKUP(I591:I601,Lecturers!A2:G598,6,FALSE)</f>
        <v>FACILITIES DESIGN AND MATERIAL HANDLING</v>
      </c>
      <c r="C591" s="132" t="str">
        <f>VLOOKUP(I591:I601,Lecturers!A2:G598,2,FALSE)</f>
        <v>Sackey Samuel Mensah</v>
      </c>
      <c r="D591" s="181" t="s">
        <v>115</v>
      </c>
      <c r="E591" s="108">
        <f>IFERROR(VLOOKUP(I591:I601,Lecturers!A2:F596,3,FALSE),0)</f>
        <v>67</v>
      </c>
      <c r="F591" s="362" t="s">
        <v>414</v>
      </c>
      <c r="G591" s="138">
        <f>E591*1.1</f>
        <v>73.7</v>
      </c>
      <c r="H591" s="355" t="s">
        <v>2034</v>
      </c>
      <c r="I591" s="139" t="str">
        <v>IE 451,ED4-IND</v>
      </c>
      <c r="J591" s="81">
        <v>146</v>
      </c>
    </row>
    <row r="592" spans="1:10">
      <c r="A592" s="180" t="s">
        <v>236</v>
      </c>
      <c r="B592" s="180" t="str">
        <v>COMPUTER PROGRAMMING</v>
      </c>
      <c r="C592" s="123" t="str">
        <v>Osei Jack Banahene</v>
      </c>
      <c r="D592" s="180" t="s">
        <v>84</v>
      </c>
      <c r="E592" s="106">
        <v>255</v>
      </c>
      <c r="F592" s="324" t="s">
        <v>2027</v>
      </c>
      <c r="G592" s="107">
        <f>E592*1.1</f>
        <v>280.5</v>
      </c>
      <c r="H592" s="354" t="s">
        <v>2028</v>
      </c>
      <c r="I592" s="104" t="str">
        <v>CE 257,ED2-CE</v>
      </c>
      <c r="J592" s="81">
        <v>182</v>
      </c>
    </row>
    <row r="593" spans="1:10">
      <c r="A593" s="180" t="s">
        <v>224</v>
      </c>
      <c r="B593" s="180" t="str">
        <v>ENGINEERING SURVEYING I</v>
      </c>
      <c r="C593" s="123" t="str">
        <v>Obeng Kwame</v>
      </c>
      <c r="D593" s="180" t="s">
        <v>51</v>
      </c>
      <c r="E593" s="106">
        <v>220</v>
      </c>
      <c r="F593" s="324" t="s">
        <v>2027</v>
      </c>
      <c r="G593" s="107">
        <f>E593*1.1</f>
        <v>242</v>
      </c>
      <c r="H593" s="354" t="s">
        <v>2031</v>
      </c>
      <c r="I593" s="104" t="str">
        <v>GE 381,ED3-CE</v>
      </c>
      <c r="J593" s="81">
        <v>291</v>
      </c>
    </row>
    <row r="594" spans="1:10">
      <c r="A594" s="180" t="s">
        <v>193</v>
      </c>
      <c r="B594" s="180" t="str">
        <v>STRENGTH OF MATERIALS I</v>
      </c>
      <c r="C594" s="122" t="str">
        <v>Dzebre Denis Edem Kwame</v>
      </c>
      <c r="D594" s="180" t="s">
        <v>101</v>
      </c>
      <c r="E594" s="106">
        <v>85</v>
      </c>
      <c r="F594" s="123" t="s">
        <v>2022</v>
      </c>
      <c r="G594" s="107">
        <f>E594*1.1</f>
        <v>93.5</v>
      </c>
      <c r="H594" s="354" t="s">
        <v>2035</v>
      </c>
      <c r="I594" s="104" t="str">
        <f>_xlfn.CONCAT(A594,",",D594)</f>
        <v>ME 255,ED2-AUTO</v>
      </c>
      <c r="J594" s="81"/>
    </row>
    <row r="595" spans="1:10">
      <c r="A595" s="180" t="s">
        <v>193</v>
      </c>
      <c r="B595" s="180" t="str">
        <v>STRENGTH OF MATERIALS I</v>
      </c>
      <c r="C595" s="122" t="str">
        <v>Dzebre Denis Edem Kwame</v>
      </c>
      <c r="D595" s="180" t="s">
        <v>103</v>
      </c>
      <c r="E595" s="106">
        <v>37</v>
      </c>
      <c r="F595" s="123" t="s">
        <v>331</v>
      </c>
      <c r="G595" s="107">
        <f>E595*1.1</f>
        <v>40.7</v>
      </c>
      <c r="H595" s="353" t="s">
        <v>1978</v>
      </c>
      <c r="I595" s="83" t="str">
        <f>_xlfn.CONCAT(A595,",",D595)</f>
        <v>ME 255,ED2-MARI</v>
      </c>
      <c r="J595" s="81">
        <v>74</v>
      </c>
    </row>
    <row r="596" spans="1:10">
      <c r="A596" s="180" t="s">
        <v>193</v>
      </c>
      <c r="B596" s="180" t="str">
        <v>STRENGTH OF MATERIALS I</v>
      </c>
      <c r="C596" s="122" t="str">
        <v>Dzebre Denis Edem Kwame</v>
      </c>
      <c r="D596" s="180" t="s">
        <v>102</v>
      </c>
      <c r="E596" s="106">
        <v>80</v>
      </c>
      <c r="F596" s="123" t="s">
        <v>431</v>
      </c>
      <c r="G596" s="107">
        <f>E596*1.1</f>
        <v>88</v>
      </c>
      <c r="H596" s="353" t="s">
        <v>2037</v>
      </c>
      <c r="I596" s="83" t="str">
        <f>_xlfn.CONCAT(A596,",",D596)</f>
        <v>ME 255,ED2-IND</v>
      </c>
      <c r="J596" s="81">
        <v>74</v>
      </c>
    </row>
    <row r="597" spans="1:10">
      <c r="A597" s="180" t="s">
        <v>184</v>
      </c>
      <c r="B597" s="180" t="str">
        <v>PYROMETALLURGY</v>
      </c>
      <c r="C597" s="123" t="str">
        <v>Agyemang Frank Ofori</v>
      </c>
      <c r="D597" s="180" t="s">
        <v>111</v>
      </c>
      <c r="E597" s="106">
        <v>89</v>
      </c>
      <c r="F597" s="127" t="s">
        <v>1990</v>
      </c>
      <c r="G597" s="107">
        <f>E597*1.1</f>
        <v>97.9</v>
      </c>
      <c r="H597" s="354" t="s">
        <v>2033</v>
      </c>
      <c r="I597" s="104" t="str">
        <f>_xlfn.CONCAT(A597,",",D597)</f>
        <v>MSE 353,ED3-MSE</v>
      </c>
      <c r="J597" s="81">
        <v>148</v>
      </c>
    </row>
    <row r="598" spans="1:10">
      <c r="A598" s="180" t="s">
        <v>184</v>
      </c>
      <c r="B598" s="180" t="str">
        <v>PYROMETALLURGY</v>
      </c>
      <c r="C598" s="123" t="str">
        <v>Agyemang Frank Ofori</v>
      </c>
      <c r="D598" s="180" t="s">
        <v>110</v>
      </c>
      <c r="E598" s="106">
        <v>87</v>
      </c>
      <c r="F598" s="124" t="s">
        <v>2116</v>
      </c>
      <c r="G598" s="107">
        <f>E598*1.1</f>
        <v>95.7</v>
      </c>
      <c r="H598" s="354" t="s">
        <v>2145</v>
      </c>
      <c r="I598" s="104" t="str">
        <v>MSE 353,ED3-METE</v>
      </c>
      <c r="J598" s="81">
        <v>143</v>
      </c>
    </row>
    <row r="599" spans="1:10" s="136" customFormat="1">
      <c r="A599" s="181" t="s">
        <v>238</v>
      </c>
      <c r="B599" s="181" t="str">
        <v>ENGINEERING SURVEYING I</v>
      </c>
      <c r="C599" s="132" t="str">
        <v>Arko-Adjei Anthony</v>
      </c>
      <c r="D599" s="181" t="s">
        <v>85</v>
      </c>
      <c r="E599" s="108">
        <v>134</v>
      </c>
      <c r="F599" s="132" t="s">
        <v>2148</v>
      </c>
      <c r="G599" s="138">
        <f>E599*1.1</f>
        <v>147.4</v>
      </c>
      <c r="H599" s="355" t="s">
        <v>2149</v>
      </c>
      <c r="I599" s="139" t="str">
        <f>_xlfn.CONCAT(A599,",",D599)</f>
        <v>GE 271,ED2-GEOM</v>
      </c>
      <c r="J599" s="81">
        <v>178</v>
      </c>
    </row>
    <row r="600" spans="1:10">
      <c r="A600" s="180" t="s">
        <v>201</v>
      </c>
      <c r="B600" s="180" t="str">
        <v>CHEMICAL ENGINEERING THERMODYNAMICS I</v>
      </c>
      <c r="C600" s="123" t="str">
        <v>Bonsu Jude Kwaku</v>
      </c>
      <c r="D600" s="180" t="s">
        <v>39</v>
      </c>
      <c r="E600" s="106">
        <v>160</v>
      </c>
      <c r="F600" s="123" t="s">
        <v>1953</v>
      </c>
      <c r="G600" s="107">
        <f>E600*1.1</f>
        <v>176</v>
      </c>
      <c r="H600" s="354" t="s">
        <v>2032</v>
      </c>
      <c r="I600" s="104" t="str">
        <v>CHE 253,ED2-CHE</v>
      </c>
      <c r="J600" s="81">
        <v>153</v>
      </c>
    </row>
    <row r="601" spans="1:10">
      <c r="A601" s="180" t="s">
        <v>201</v>
      </c>
      <c r="B601" s="180" t="str">
        <v>CHEMICAL ENGINEERING THERMODYNAMICS I</v>
      </c>
      <c r="C601" s="123" t="str">
        <v>Dogbe Eunice Sefakor Aku</v>
      </c>
      <c r="D601" s="180" t="s">
        <v>40</v>
      </c>
      <c r="E601" s="106">
        <v>65</v>
      </c>
      <c r="F601" s="127" t="s">
        <v>1958</v>
      </c>
      <c r="G601" s="107">
        <f>E601*1.1</f>
        <v>71.5</v>
      </c>
      <c r="H601" s="354" t="s">
        <v>1965</v>
      </c>
      <c r="I601" s="104" t="str">
        <v>CHE 253,ED2-PCE</v>
      </c>
      <c r="J601" s="81">
        <v>128</v>
      </c>
    </row>
    <row r="602" spans="1:10">
      <c r="A602" s="83"/>
      <c r="B602" s="83"/>
      <c r="C602" s="109"/>
      <c r="D602" s="180" t="s">
        <v>400</v>
      </c>
      <c r="E602" s="91">
        <f>SUM(E591:E601)</f>
        <v>1279</v>
      </c>
      <c r="F602" s="109"/>
      <c r="G602" s="83"/>
      <c r="H602" s="353"/>
      <c r="I602" s="104" t="str">
        <v>,Total M3-2</v>
      </c>
      <c r="J602" s="81"/>
    </row>
    <row r="603" spans="1:10">
      <c r="A603" s="83"/>
      <c r="B603" s="83"/>
      <c r="C603" s="109"/>
      <c r="D603" s="83"/>
      <c r="E603" s="83"/>
      <c r="F603" s="109"/>
      <c r="G603" s="83"/>
      <c r="H603" s="353"/>
      <c r="I603" s="104" t="str">
        <v>,</v>
      </c>
    </row>
    <row r="604" spans="1:10">
      <c r="A604" s="83"/>
      <c r="B604" s="83"/>
      <c r="C604" s="109"/>
      <c r="D604" s="83"/>
      <c r="E604" s="83"/>
      <c r="F604" s="109"/>
      <c r="G604" s="83"/>
      <c r="H604" s="353"/>
      <c r="I604" s="104" t="str">
        <v>,</v>
      </c>
    </row>
    <row r="605" spans="1:10">
      <c r="A605" s="363" t="s">
        <v>1460</v>
      </c>
      <c r="B605" s="363"/>
      <c r="C605" s="363"/>
      <c r="D605" s="363"/>
      <c r="E605" s="363"/>
      <c r="F605" s="363"/>
      <c r="G605" s="363"/>
      <c r="H605" s="353"/>
      <c r="I605" s="83" t="str">
        <f>_xlfn.CONCAT(A605,",",D605)</f>
        <v>Tuesday, 21 April 2026,</v>
      </c>
      <c r="J605" s="81" t="e">
        <f>#N/A</f>
        <v>#N/A</v>
      </c>
    </row>
    <row r="606" spans="1:10">
      <c r="A606" s="364" t="s">
        <v>413</v>
      </c>
      <c r="B606" s="365"/>
      <c r="C606" s="365"/>
      <c r="D606" s="365"/>
      <c r="E606" s="365"/>
      <c r="F606" s="365"/>
      <c r="G606" s="366"/>
      <c r="H606" s="353"/>
      <c r="I606" s="83" t="str">
        <v>Session, 3 (3:00 PM - 5:00 PM),</v>
      </c>
      <c r="J606" s="81" t="e">
        <f>#N/A</f>
        <v>#N/A</v>
      </c>
    </row>
    <row r="607" spans="1:10">
      <c r="A607" s="111" t="s">
        <v>24</v>
      </c>
      <c r="B607" s="111" t="s">
        <v>25</v>
      </c>
      <c r="C607" s="178" t="s">
        <v>26</v>
      </c>
      <c r="D607" s="111" t="s">
        <v>27</v>
      </c>
      <c r="E607" s="111" t="s">
        <v>266</v>
      </c>
      <c r="F607" s="178" t="s">
        <v>28</v>
      </c>
      <c r="G607" s="111" t="s">
        <v>265</v>
      </c>
      <c r="H607" s="353"/>
      <c r="I607" s="104" t="str">
        <v>CODE ,CLASS</v>
      </c>
      <c r="J607" s="81" t="e">
        <f>#N/A</f>
        <v>#N/A</v>
      </c>
    </row>
    <row r="608" spans="1:10">
      <c r="A608" s="180" t="s">
        <v>233</v>
      </c>
      <c r="B608" s="180" t="str">
        <f>VLOOKUP(I608:I619,Lecturers!A2:G598,6,FALSE)</f>
        <v>COMPUTER NETWORKING</v>
      </c>
      <c r="C608" s="122" t="str">
        <f>VLOOKUP(I608:I619,Lecturers!A2:G598,2,FALSE)</f>
        <v>Akowuah Emmanuel Kofi</v>
      </c>
      <c r="D608" s="180" t="s">
        <v>113</v>
      </c>
      <c r="E608" s="106">
        <f>IFERROR(VLOOKUP(I608:I619,Lecturers!A2:F596,3,FALSE),0)</f>
        <v>160</v>
      </c>
      <c r="F608" s="123" t="s">
        <v>1814</v>
      </c>
      <c r="G608" s="107">
        <f>E608*1.1</f>
        <v>176</v>
      </c>
      <c r="H608" s="354"/>
      <c r="I608" s="104" t="str">
        <v>COE 475,ED4-COE</v>
      </c>
      <c r="J608" s="81">
        <v>51</v>
      </c>
    </row>
    <row r="609" spans="1:10">
      <c r="A609" s="180" t="s">
        <v>228</v>
      </c>
      <c r="B609" s="180" t="str">
        <v>SEMICONDUCTOR DEVICES</v>
      </c>
      <c r="C609" s="123" t="str">
        <v>Kommey Benjamin</v>
      </c>
      <c r="D609" s="180" t="s">
        <v>87</v>
      </c>
      <c r="E609" s="106">
        <v>255</v>
      </c>
      <c r="F609" s="124" t="s">
        <v>2027</v>
      </c>
      <c r="G609" s="107">
        <f>E609*1.1</f>
        <v>280.5</v>
      </c>
      <c r="H609" s="353" t="s">
        <v>2028</v>
      </c>
      <c r="I609" s="104" t="str">
        <f>_xlfn.CONCAT(A609,",",D609)</f>
        <v>COE 271,ED2-COE</v>
      </c>
      <c r="J609" s="81">
        <v>240</v>
      </c>
    </row>
    <row r="610" spans="1:10">
      <c r="A610" s="180" t="s">
        <v>228</v>
      </c>
      <c r="B610" s="180" t="str">
        <v>SEMICONDUCTOR DEVICES</v>
      </c>
      <c r="C610" s="123" t="str">
        <v>Kommey Benjamin</v>
      </c>
      <c r="D610" s="180" t="s">
        <v>86</v>
      </c>
      <c r="E610" s="106">
        <v>80</v>
      </c>
      <c r="F610" s="124" t="s">
        <v>414</v>
      </c>
      <c r="G610" s="107">
        <f>E610*1.1</f>
        <v>88</v>
      </c>
      <c r="H610" s="353" t="s">
        <v>2037</v>
      </c>
      <c r="I610" s="104" t="str">
        <f>_xlfn.CONCAT(A610,",",D610)</f>
        <v>COE 271,ED2-BME</v>
      </c>
      <c r="J610" s="81">
        <v>66</v>
      </c>
    </row>
    <row r="611" spans="1:10">
      <c r="A611" s="180" t="s">
        <v>131</v>
      </c>
      <c r="B611" s="180" t="str">
        <v>HIGHWAY ENGINEERING II</v>
      </c>
      <c r="C611" s="122" t="str">
        <v>Tuffour Yaw Adubofour</v>
      </c>
      <c r="D611" s="180" t="s">
        <v>19</v>
      </c>
      <c r="E611" s="106">
        <v>55</v>
      </c>
      <c r="F611" s="123" t="s">
        <v>431</v>
      </c>
      <c r="G611" s="107">
        <f>E611*1.1</f>
        <v>60.5</v>
      </c>
      <c r="H611" s="354" t="s">
        <v>2036</v>
      </c>
      <c r="I611" s="104" t="str">
        <v>CE 467,ED4-CE</v>
      </c>
      <c r="J611" s="81">
        <v>156</v>
      </c>
    </row>
    <row r="612" spans="1:10">
      <c r="A612" s="180" t="s">
        <v>337</v>
      </c>
      <c r="B612" s="180" t="str">
        <v>STATISTICS FOR PETROLEUM ENGINEERS</v>
      </c>
      <c r="C612" s="126" t="str">
        <v>Adjei Stephen</v>
      </c>
      <c r="D612" s="180" t="s">
        <v>1469</v>
      </c>
      <c r="E612" s="106">
        <v>80</v>
      </c>
      <c r="F612" s="124" t="s">
        <v>2053</v>
      </c>
      <c r="G612" s="107">
        <f>E612*1.1</f>
        <v>88</v>
      </c>
      <c r="H612" s="354" t="s">
        <v>2068</v>
      </c>
      <c r="I612" s="104" t="str">
        <v>PE 367,ED3-PE</v>
      </c>
      <c r="J612" s="81">
        <v>218</v>
      </c>
    </row>
    <row ht="15.75" customHeight="1" r="613" spans="1:10">
      <c r="A613" s="180" t="s">
        <v>100</v>
      </c>
      <c r="B613" s="180" t="str">
        <v>POWER GENERATION  AND SUPPLY</v>
      </c>
      <c r="C613" s="123" t="str">
        <v>Asigri Peter</v>
      </c>
      <c r="D613" s="180" t="s">
        <v>53</v>
      </c>
      <c r="E613" s="106">
        <v>240</v>
      </c>
      <c r="F613" s="176" t="s">
        <v>2027</v>
      </c>
      <c r="G613" s="107">
        <f>E613*1.1</f>
        <v>264</v>
      </c>
      <c r="H613" s="354" t="s">
        <v>2038</v>
      </c>
      <c r="I613" s="83" t="str">
        <v>EE 367,ED3-EE</v>
      </c>
      <c r="J613" s="81">
        <v>294</v>
      </c>
    </row>
    <row r="614" spans="1:10">
      <c r="A614" s="180" t="s">
        <v>77</v>
      </c>
      <c r="B614" s="180" t="str">
        <v>COMPUTER OPTIMIZATION METHOD</v>
      </c>
      <c r="C614" s="122" t="str">
        <v>Bonsu Jude Kwaku</v>
      </c>
      <c r="D614" s="180" t="s">
        <v>78</v>
      </c>
      <c r="E614" s="106">
        <v>8</v>
      </c>
      <c r="F614" s="124" t="s">
        <v>2150</v>
      </c>
      <c r="G614" s="107">
        <f>E614*1.1</f>
        <v>8.8</v>
      </c>
      <c r="H614" s="354" t="s">
        <v>2040</v>
      </c>
      <c r="I614" s="104" t="str">
        <f>_xlfn.CONCAT(A614,",",D614)</f>
        <v>CHE 461,ED4-CHE</v>
      </c>
      <c r="J614" s="81" t="e">
        <f>#N/A</f>
        <v>#N/A</v>
      </c>
    </row>
    <row r="615" spans="1:10">
      <c r="A615" s="180" t="s">
        <v>77</v>
      </c>
      <c r="B615" s="180" t="str">
        <v>COMPUTER OPTIMIZATION METHOD</v>
      </c>
      <c r="C615" s="122" t="str">
        <v>Bonsu Jude Kwaku</v>
      </c>
      <c r="D615" s="180" t="s">
        <v>79</v>
      </c>
      <c r="E615" s="106">
        <v>8</v>
      </c>
      <c r="F615" s="124" t="s">
        <v>44</v>
      </c>
      <c r="G615" s="107">
        <f>E615*1.1</f>
        <v>8.8</v>
      </c>
      <c r="H615" s="354" t="s">
        <v>2040</v>
      </c>
      <c r="I615" s="104" t="str">
        <f>_xlfn.CONCAT(A615,",",D615)</f>
        <v>CHE 461,ED4-PCE</v>
      </c>
      <c r="J615" s="81">
        <v>42</v>
      </c>
    </row>
    <row r="616" spans="1:10">
      <c r="A616" s="180" t="s">
        <v>231</v>
      </c>
      <c r="B616" s="180" t="str">
        <v>MASS TRANSFER PROCESSES</v>
      </c>
      <c r="C616" s="123" t="str">
        <v>Ankudey Emmanuel Godwin</v>
      </c>
      <c r="D616" s="180" t="s">
        <v>106</v>
      </c>
      <c r="E616" s="106">
        <v>100</v>
      </c>
      <c r="F616" s="123" t="s">
        <v>1990</v>
      </c>
      <c r="G616" s="107">
        <f>E616*1.1</f>
        <v>110</v>
      </c>
      <c r="H616" s="354" t="s">
        <v>2039</v>
      </c>
      <c r="I616" s="104" t="str">
        <f>_xlfn.CONCAT(A616,",",D616)</f>
        <v>CHE 351,ED3-CHE</v>
      </c>
      <c r="J616" s="81">
        <v>65</v>
      </c>
    </row>
    <row r="617" spans="1:10">
      <c r="A617" s="180" t="s">
        <v>386</v>
      </c>
      <c r="B617" s="180" t="str">
        <v>NATURAL GAS ENGINEERING I</v>
      </c>
      <c r="C617" s="125" t="str">
        <v>Sarkodie Kwame</v>
      </c>
      <c r="D617" s="180" t="s">
        <v>1470</v>
      </c>
      <c r="E617" s="112">
        <v>103</v>
      </c>
      <c r="F617" s="123" t="s">
        <v>2044</v>
      </c>
      <c r="G617" s="107">
        <f>E617*1.1</f>
        <v>113.3</v>
      </c>
      <c r="H617" s="354" t="s">
        <v>2043</v>
      </c>
      <c r="I617" s="104" t="str">
        <f>_xlfn.CONCAT(A617,",",D617)</f>
        <v>PE 459,ED4-PE</v>
      </c>
      <c r="J617" s="81">
        <v>101</v>
      </c>
    </row>
    <row r="618" spans="1:10" s="136" customFormat="1">
      <c r="A618" s="181" t="s">
        <v>42</v>
      </c>
      <c r="B618" s="181" t="str">
        <v>THERMODYNAMICS I</v>
      </c>
      <c r="C618" s="132" t="str">
        <v>Forson Francis Kofi</v>
      </c>
      <c r="D618" s="181" t="s">
        <v>43</v>
      </c>
      <c r="E618" s="108">
        <v>155</v>
      </c>
      <c r="F618" s="132" t="s">
        <v>1973</v>
      </c>
      <c r="G618" s="138">
        <f>E618*1.1</f>
        <v>170.5</v>
      </c>
      <c r="H618" s="355" t="s">
        <v>2151</v>
      </c>
      <c r="I618" s="139" t="str">
        <f>_xlfn.CONCAT(A618,",",D618)</f>
        <v>ME 265,ED2-AE</v>
      </c>
      <c r="J618" s="81">
        <v>6</v>
      </c>
    </row>
    <row r="619" spans="1:10">
      <c r="A619" s="180" t="s">
        <v>1478</v>
      </c>
      <c r="B619" s="180" t="str">
        <v>MICROWAVE ENGINEERING</v>
      </c>
      <c r="C619" s="123" t="str">
        <v>Abdul-Rahman Ahmed</v>
      </c>
      <c r="D619" s="180" t="s">
        <v>117</v>
      </c>
      <c r="E619" s="106">
        <v>140</v>
      </c>
      <c r="F619" s="123" t="s">
        <v>2042</v>
      </c>
      <c r="G619" s="107">
        <f>E619*1.1</f>
        <v>154</v>
      </c>
      <c r="H619" s="354" t="s">
        <v>2041</v>
      </c>
      <c r="I619" s="104" t="str">
        <f>_xlfn.CONCAT(A619,",",D619)</f>
        <v>TE 455,ED4-TEL</v>
      </c>
      <c r="J619" s="81">
        <v>113</v>
      </c>
    </row>
    <row r="620" spans="1:10">
      <c r="A620" s="83"/>
      <c r="B620" s="83"/>
      <c r="C620" s="109"/>
      <c r="D620" s="180" t="s">
        <v>401</v>
      </c>
      <c r="E620" s="91">
        <f>SUM(E609:E619)</f>
        <v>1224</v>
      </c>
      <c r="F620" s="109"/>
      <c r="G620" s="83"/>
      <c r="H620" s="353"/>
      <c r="I620" s="104" t="str">
        <v>,Total M3-3</v>
      </c>
      <c r="J620" s="81" t="e">
        <f>#N/A</f>
        <v>#N/A</v>
      </c>
    </row>
    <row r="621" spans="1:10">
      <c r="A621" s="83"/>
      <c r="B621" s="83"/>
      <c r="C621" s="109"/>
      <c r="D621" s="83"/>
      <c r="E621" s="83"/>
      <c r="F621" s="109"/>
      <c r="G621" s="83"/>
      <c r="H621" s="353"/>
      <c r="I621" s="104" t="str">
        <v>,</v>
      </c>
    </row>
    <row r="622" spans="1:10">
      <c r="A622" s="83"/>
      <c r="B622" s="83"/>
      <c r="C622" s="109"/>
      <c r="D622" s="83"/>
      <c r="E622" s="83"/>
      <c r="F622" s="109"/>
      <c r="G622" s="83"/>
      <c r="H622" s="353"/>
      <c r="I622" s="104" t="str">
        <v>,</v>
      </c>
    </row>
    <row r="623" spans="1:10">
      <c r="A623" s="83"/>
      <c r="B623" s="83"/>
      <c r="C623" s="109"/>
      <c r="D623" s="83"/>
      <c r="E623" s="83"/>
      <c r="F623" s="109"/>
      <c r="G623" s="83"/>
      <c r="H623" s="353"/>
      <c r="I623" s="104" t="str">
        <v>,</v>
      </c>
    </row>
    <row r="624" spans="1:10">
      <c r="A624" s="83"/>
      <c r="B624" s="83"/>
      <c r="C624" s="109"/>
      <c r="D624" s="83"/>
      <c r="E624" s="83"/>
      <c r="F624" s="109"/>
      <c r="G624" s="83"/>
      <c r="H624" s="353"/>
      <c r="I624" s="104" t="str">
        <v>,</v>
      </c>
    </row>
    <row r="625" spans="1:12">
      <c r="A625" s="364" t="s">
        <v>1461</v>
      </c>
      <c r="B625" s="365"/>
      <c r="C625" s="365"/>
      <c r="D625" s="365"/>
      <c r="E625" s="365"/>
      <c r="F625" s="365"/>
      <c r="G625" s="366"/>
      <c r="H625" s="353"/>
      <c r="I625" s="104" t="str">
        <v>Wednesday, 22 April 2026,</v>
      </c>
      <c r="J625" s="81" t="e">
        <f>#N/A</f>
        <v>#N/A</v>
      </c>
    </row>
    <row r="626" spans="1:12">
      <c r="A626" s="364" t="s">
        <v>411</v>
      </c>
      <c r="B626" s="365"/>
      <c r="C626" s="365"/>
      <c r="D626" s="365"/>
      <c r="E626" s="365"/>
      <c r="F626" s="365"/>
      <c r="G626" s="366"/>
      <c r="H626" s="353"/>
      <c r="I626" s="83" t="str">
        <v>Session, 1 (8:30 AM - 10:30 AM),</v>
      </c>
      <c r="J626" s="105"/>
      <c r="L626" s="105" t="s">
        <v>379</v>
      </c>
    </row>
    <row r="627" spans="1:12">
      <c r="A627" s="111" t="s">
        <v>24</v>
      </c>
      <c r="B627" s="111" t="s">
        <v>25</v>
      </c>
      <c r="C627" s="178" t="s">
        <v>26</v>
      </c>
      <c r="D627" s="111" t="s">
        <v>27</v>
      </c>
      <c r="E627" s="111" t="s">
        <v>266</v>
      </c>
      <c r="F627" s="178" t="s">
        <v>28</v>
      </c>
      <c r="G627" s="111" t="s">
        <v>265</v>
      </c>
      <c r="H627" s="353"/>
      <c r="I627" s="104" t="str">
        <v>CODE ,CLASS</v>
      </c>
      <c r="J627" s="81" t="e">
        <f>#N/A</f>
        <v>#N/A</v>
      </c>
    </row>
    <row r="628" spans="1:12" s="337" customFormat="1">
      <c r="A628" s="180" t="s">
        <v>0</v>
      </c>
      <c r="B628" s="180" t="str">
        <f>VLOOKUP(I628:I647,Lecturers!A2:G598,6,FALSE)</f>
        <v>COMMUNICATION SKILLS I</v>
      </c>
      <c r="C628" s="123" t="str">
        <f>VLOOKUP(I628:I647,Lecturers!A2:G598,2,FALSE)</f>
        <v>Yeboah Philomena Ama Okyeso</v>
      </c>
      <c r="D628" s="180" t="s">
        <v>37</v>
      </c>
      <c r="E628" s="106">
        <f>IFERROR(VLOOKUP(I628:I647,Lecturers!A2:F596,3,FALSE),0)</f>
        <v>128</v>
      </c>
      <c r="F628" s="454" t="s">
        <v>1814</v>
      </c>
      <c r="G628" s="107">
        <f>E628*1.1</f>
        <v>140.8</v>
      </c>
      <c r="H628" s="361"/>
      <c r="I628" s="120" t="str">
        <v>ENGL 157,ED1-AE</v>
      </c>
      <c r="J628" s="336">
        <v>124</v>
      </c>
    </row>
    <row r="629" spans="1:12" s="337" customFormat="1">
      <c r="A629" s="180" t="s">
        <v>0</v>
      </c>
      <c r="B629" s="180" t="str">
        <v>COMMUNICATION SKILLS I</v>
      </c>
      <c r="C629" s="123" t="str">
        <v>Yeboah Philomena Ama Okyeso</v>
      </c>
      <c r="D629" s="180" t="s">
        <v>6</v>
      </c>
      <c r="E629" s="106">
        <v>125</v>
      </c>
      <c r="F629" s="460"/>
      <c r="G629" s="107">
        <f>E629*1.1</f>
        <v>137.5</v>
      </c>
      <c r="H629" s="361"/>
      <c r="I629" s="120" t="str">
        <v>ENGL 157,ED1-GEOL</v>
      </c>
      <c r="J629" s="336">
        <v>105</v>
      </c>
    </row>
    <row r="630" spans="1:12" s="337" customFormat="1">
      <c r="A630" s="180" t="s">
        <v>0</v>
      </c>
      <c r="B630" s="180" t="str">
        <v>COMMUNICATION SKILLS I</v>
      </c>
      <c r="C630" s="123" t="str">
        <v>Alhassan Yakubu</v>
      </c>
      <c r="D630" s="180" t="s">
        <v>36</v>
      </c>
      <c r="E630" s="106">
        <v>245</v>
      </c>
      <c r="F630" s="460"/>
      <c r="G630" s="107">
        <f>E630*1.1</f>
        <v>269.5</v>
      </c>
      <c r="H630" s="361"/>
      <c r="I630" s="120" t="str">
        <f>_xlfn.CONCAT(A630,",",D630)</f>
        <v>ENGL 157,ED1-CE</v>
      </c>
      <c r="J630" s="336">
        <v>69</v>
      </c>
    </row>
    <row r="631" spans="1:12" s="337" customFormat="1">
      <c r="A631" s="180" t="s">
        <v>0</v>
      </c>
      <c r="B631" s="180" t="str">
        <v>COMMUNICATION SKILLS I</v>
      </c>
      <c r="C631" s="123" t="str">
        <v>Alhassan Yakubu</v>
      </c>
      <c r="D631" s="180" t="s">
        <v>35</v>
      </c>
      <c r="E631" s="106">
        <v>100</v>
      </c>
      <c r="F631" s="460"/>
      <c r="G631" s="107">
        <f>E631*1.1</f>
        <v>110</v>
      </c>
      <c r="H631" s="361"/>
      <c r="I631" s="120" t="str">
        <f>_xlfn.CONCAT(A631,",",D631)</f>
        <v>ENGL 157,ED1-MSE</v>
      </c>
      <c r="J631" s="336">
        <v>102</v>
      </c>
    </row>
    <row r="632" spans="1:12" s="337" customFormat="1">
      <c r="A632" s="180" t="s">
        <v>0</v>
      </c>
      <c r="B632" s="180" t="str">
        <v>COMMUNICATION SKILLS I</v>
      </c>
      <c r="C632" s="123" t="str">
        <v>Alhassan Yakubu</v>
      </c>
      <c r="D632" s="180" t="s">
        <v>1467</v>
      </c>
      <c r="E632" s="106">
        <v>130</v>
      </c>
      <c r="F632" s="460"/>
      <c r="G632" s="107">
        <f>E632*1.1</f>
        <v>143</v>
      </c>
      <c r="H632" s="361"/>
      <c r="I632" s="120" t="str">
        <f>_xlfn.CONCAT(A632,",",D632)</f>
        <v>ENGL 157,ED1-PE</v>
      </c>
      <c r="J632" s="336">
        <v>61</v>
      </c>
    </row>
    <row r="633" spans="1:12" s="337" customFormat="1">
      <c r="A633" s="180" t="s">
        <v>0</v>
      </c>
      <c r="B633" s="180" t="str">
        <v>COMMUNICATION SKILLS I</v>
      </c>
      <c r="C633" s="123" t="str">
        <v>Alhassan Yakubu</v>
      </c>
      <c r="D633" s="180" t="s">
        <v>31</v>
      </c>
      <c r="E633" s="106">
        <v>130</v>
      </c>
      <c r="F633" s="460"/>
      <c r="G633" s="107">
        <f>E633*1.1</f>
        <v>143</v>
      </c>
      <c r="H633" s="361"/>
      <c r="I633" s="120" t="str">
        <f>_xlfn.CONCAT(A633,",",D633)</f>
        <v>ENGL 157,ED1-TEL</v>
      </c>
      <c r="J633" s="336">
        <v>166</v>
      </c>
    </row>
    <row r="634" spans="1:12" s="337" customFormat="1">
      <c r="A634" s="180" t="s">
        <v>0</v>
      </c>
      <c r="B634" s="180" t="str">
        <v>COMMUNICATION SKILLS I</v>
      </c>
      <c r="C634" s="123" t="str">
        <v>Yeboah Philomena Ama Okyeso</v>
      </c>
      <c r="D634" s="180" t="s">
        <v>9</v>
      </c>
      <c r="E634" s="106">
        <v>226</v>
      </c>
      <c r="F634" s="460"/>
      <c r="G634" s="107">
        <f>E634*1.1</f>
        <v>248.6</v>
      </c>
      <c r="H634" s="361"/>
      <c r="I634" s="120" t="str">
        <f>_xlfn.CONCAT(A634,",",D634)</f>
        <v>ENGL 157,ED1-ME</v>
      </c>
      <c r="J634" s="336">
        <v>61</v>
      </c>
    </row>
    <row r="635" spans="1:12" s="337" customFormat="1">
      <c r="A635" s="180" t="s">
        <v>0</v>
      </c>
      <c r="B635" s="180" t="str">
        <v>COMMUNICATION SKILLS I</v>
      </c>
      <c r="C635" s="123" t="str">
        <v>Yeboah Philomena Ama Okyeso</v>
      </c>
      <c r="D635" s="180" t="s">
        <v>5</v>
      </c>
      <c r="E635" s="106">
        <v>46</v>
      </c>
      <c r="F635" s="461"/>
      <c r="G635" s="107">
        <f>E635*1.1</f>
        <v>50.6</v>
      </c>
      <c r="H635" s="361"/>
      <c r="I635" s="120" t="str">
        <v>ENGL 157,ED1-MARI</v>
      </c>
      <c r="J635" s="336">
        <v>30</v>
      </c>
    </row>
    <row r="636" spans="1:12">
      <c r="A636" s="181" t="s">
        <v>135</v>
      </c>
      <c r="B636" s="181" t="str">
        <v>AUTOMATIC CONTROL I</v>
      </c>
      <c r="C636" s="126" t="str">
        <v>Faisal Wahib Adam</v>
      </c>
      <c r="D636" s="181" t="s">
        <v>48</v>
      </c>
      <c r="E636" s="106">
        <v>76</v>
      </c>
      <c r="F636" s="129" t="s">
        <v>414</v>
      </c>
      <c r="G636" s="107">
        <f>E636*1.1</f>
        <v>83.6</v>
      </c>
      <c r="H636" s="354" t="s">
        <v>2047</v>
      </c>
      <c r="I636" s="104" t="str">
        <f>_xlfn.CONCAT(A636,",",D636)</f>
        <v>ME 363,ED3-AERO</v>
      </c>
      <c r="J636" s="81">
        <v>79</v>
      </c>
    </row>
    <row r="637" spans="1:12">
      <c r="A637" s="181" t="s">
        <v>135</v>
      </c>
      <c r="B637" s="181" t="str">
        <v>AUTOMATIC CONTROL </v>
      </c>
      <c r="C637" s="126" t="str">
        <v>Adam Faisal Wahib</v>
      </c>
      <c r="D637" s="181" t="s">
        <v>49</v>
      </c>
      <c r="E637" s="106">
        <v>225</v>
      </c>
      <c r="F637" s="129" t="s">
        <v>2052</v>
      </c>
      <c r="G637" s="107">
        <f>E637*1.1</f>
        <v>247.5</v>
      </c>
      <c r="H637" s="354" t="s">
        <v>2028</v>
      </c>
      <c r="I637" s="104" t="str">
        <f>_xlfn.CONCAT(A637,",",D637)</f>
        <v>ME 363,ED3-ME</v>
      </c>
      <c r="J637" s="81">
        <v>253</v>
      </c>
    </row>
    <row r="638" spans="1:12">
      <c r="A638" s="181" t="s">
        <v>135</v>
      </c>
      <c r="B638" s="181" t="str">
        <v>AUTOMATIC CONTROL I</v>
      </c>
      <c r="C638" s="126" t="str">
        <v>Adam Faisal Wahib</v>
      </c>
      <c r="D638" s="181" t="s">
        <v>109</v>
      </c>
      <c r="E638" s="106">
        <v>40</v>
      </c>
      <c r="F638" s="129" t="s">
        <v>2061</v>
      </c>
      <c r="G638" s="107">
        <f>E638*1.1</f>
        <v>44</v>
      </c>
      <c r="H638" s="354" t="s">
        <v>2062</v>
      </c>
      <c r="I638" s="104" t="str">
        <f>_xlfn.CONCAT(A638,",",D638)</f>
        <v>ME 363,ED3-MARI</v>
      </c>
      <c r="J638" s="81">
        <v>66</v>
      </c>
    </row>
    <row r="639" spans="1:12">
      <c r="A639" s="319" t="s">
        <v>71</v>
      </c>
      <c r="B639" s="319" t="str">
        <v>MINERALOGY</v>
      </c>
      <c r="C639" s="125" t="str">
        <v>Wilson Matthew Coffie</v>
      </c>
      <c r="D639" s="319" t="s">
        <v>72</v>
      </c>
      <c r="E639" s="334">
        <v>59</v>
      </c>
      <c r="F639" s="127" t="s">
        <v>431</v>
      </c>
      <c r="G639" s="335">
        <f>E639*1.1</f>
        <v>64.9</v>
      </c>
      <c r="H639" s="353" t="s">
        <v>2048</v>
      </c>
      <c r="I639" s="104" t="str">
        <v>GED 251,ED2-METE</v>
      </c>
      <c r="J639" s="81">
        <v>72</v>
      </c>
    </row>
    <row r="640" spans="1:12">
      <c r="A640" s="180" t="s">
        <v>71</v>
      </c>
      <c r="B640" s="180" t="str">
        <v>MINERALOGY</v>
      </c>
      <c r="C640" s="122" t="str">
        <v>Wilson Matthew Coffie</v>
      </c>
      <c r="D640" s="180" t="s">
        <v>73</v>
      </c>
      <c r="E640" s="106">
        <v>150</v>
      </c>
      <c r="F640" s="174" t="s">
        <v>2055</v>
      </c>
      <c r="G640" s="107">
        <f>E640*1.1</f>
        <v>165</v>
      </c>
      <c r="H640" s="353" t="s">
        <v>2056</v>
      </c>
      <c r="I640" s="104" t="str">
        <v>GED 251,ED2-GEOL</v>
      </c>
      <c r="J640" s="81">
        <v>151</v>
      </c>
    </row>
    <row r="641" spans="1:10">
      <c r="A641" s="180" t="s">
        <v>208</v>
      </c>
      <c r="B641" s="180" t="str">
        <v>APPLICATIONS OF COMPUTER GRAPHICS</v>
      </c>
      <c r="C641" s="123" t="str">
        <v>Ayetor Godwin Kafui Kwesi</v>
      </c>
      <c r="D641" s="180" t="s">
        <v>102</v>
      </c>
      <c r="E641" s="106">
        <v>80</v>
      </c>
      <c r="F641" s="134" t="s">
        <v>414</v>
      </c>
      <c r="G641" s="107">
        <f>E641*1.1</f>
        <v>88</v>
      </c>
      <c r="H641" s="354" t="s">
        <v>2037</v>
      </c>
      <c r="I641" s="104" t="str">
        <f>_xlfn.CONCAT(A641,",",D641)</f>
        <v>ME 259,ED2-IND</v>
      </c>
      <c r="J641" s="81"/>
    </row>
    <row r="642" spans="1:10">
      <c r="A642" s="180" t="s">
        <v>208</v>
      </c>
      <c r="B642" s="180" t="str">
        <v>APPLICATIONS OF COMPUTER GRAPHICS</v>
      </c>
      <c r="C642" s="123" t="str">
        <v>Ayetor Godwin Kafui Kwesi</v>
      </c>
      <c r="D642" s="180" t="s">
        <v>101</v>
      </c>
      <c r="E642" s="106">
        <v>82</v>
      </c>
      <c r="F642" s="134" t="s">
        <v>2053</v>
      </c>
      <c r="G642" s="107">
        <f>E642*1.1</f>
        <v>90.2</v>
      </c>
      <c r="H642" s="354" t="s">
        <v>2054</v>
      </c>
      <c r="I642" s="104" t="str">
        <v>ME 259,ED2-AUTO</v>
      </c>
      <c r="J642" s="81"/>
    </row>
    <row r="643" spans="1:10">
      <c r="A643" s="180" t="s">
        <v>208</v>
      </c>
      <c r="B643" s="180" t="str">
        <v>APPLICATIONS OF COMPUTER GRAPHICS</v>
      </c>
      <c r="C643" s="123" t="str">
        <v>Ayetor Godwin Kafui Kwesi</v>
      </c>
      <c r="D643" s="180" t="s">
        <v>103</v>
      </c>
      <c r="E643" s="106">
        <v>37</v>
      </c>
      <c r="F643" s="134" t="s">
        <v>331</v>
      </c>
      <c r="G643" s="107">
        <f>E643*1.1</f>
        <v>40.7</v>
      </c>
      <c r="H643" s="354" t="s">
        <v>1978</v>
      </c>
      <c r="I643" s="104" t="str">
        <v>ME 259,ED2-MARI</v>
      </c>
      <c r="J643" s="81"/>
    </row>
    <row ht="14.25" customHeight="1" r="644" spans="1:10">
      <c r="A644" s="180" t="s">
        <v>163</v>
      </c>
      <c r="B644" s="180" t="str">
        <v>ANALYTICAL CHEMISTRY FOR CHEMICAL ENGINEERS</v>
      </c>
      <c r="C644" s="125" t="str">
        <v>Boakye Patrick</v>
      </c>
      <c r="D644" s="180" t="s">
        <v>39</v>
      </c>
      <c r="E644" s="106">
        <v>157</v>
      </c>
      <c r="F644" s="123" t="s">
        <v>2051</v>
      </c>
      <c r="G644" s="107">
        <f>E644*1.1</f>
        <v>172.7</v>
      </c>
      <c r="H644" s="354" t="s">
        <v>2050</v>
      </c>
      <c r="I644" s="104" t="str">
        <v>CHE 257,ED2-CHE</v>
      </c>
      <c r="J644" s="81">
        <v>153</v>
      </c>
    </row>
    <row ht="14.25" customHeight="1" r="645" spans="1:10">
      <c r="A645" s="180" t="s">
        <v>163</v>
      </c>
      <c r="B645" s="180" t="str">
        <v>ANALYTICAL CHEMISTRY FOR CHEMICAL ENGINEERS</v>
      </c>
      <c r="C645" s="125" t="str">
        <v>Boakye Patrick</v>
      </c>
      <c r="D645" s="180" t="s">
        <v>40</v>
      </c>
      <c r="E645" s="106">
        <v>65</v>
      </c>
      <c r="F645" s="123" t="s">
        <v>2058</v>
      </c>
      <c r="G645" s="107">
        <f>E645*1.1</f>
        <v>71.5</v>
      </c>
      <c r="H645" s="354" t="s">
        <v>2059</v>
      </c>
      <c r="I645" s="104" t="str">
        <v>CHE 257,ED2-PCE</v>
      </c>
      <c r="J645" s="81">
        <v>153</v>
      </c>
    </row>
    <row r="646" spans="1:10">
      <c r="A646" s="180" t="s">
        <v>299</v>
      </c>
      <c r="B646" s="180" t="str">
        <v>FLUID MECHANICS</v>
      </c>
      <c r="C646" s="122" t="str">
        <v>Adjei Stephen</v>
      </c>
      <c r="D646" s="180" t="s">
        <v>1468</v>
      </c>
      <c r="E646" s="106">
        <v>95</v>
      </c>
      <c r="F646" s="124" t="s">
        <v>431</v>
      </c>
      <c r="G646" s="107">
        <f>E646*1.1</f>
        <v>104.5</v>
      </c>
      <c r="H646" s="354" t="s">
        <v>2046</v>
      </c>
      <c r="I646" s="104" t="str">
        <v>PE 255,ED2-PE</v>
      </c>
      <c r="J646" s="81">
        <v>184</v>
      </c>
    </row>
    <row r="647" spans="1:10">
      <c r="A647" s="180" t="s">
        <v>190</v>
      </c>
      <c r="B647" s="180" t="str">
        <v>STRENGTH OF MATERIALS II</v>
      </c>
      <c r="C647" s="123" t="str">
        <v>Agyei Agyemang Anthony</v>
      </c>
      <c r="D647" s="180" t="s">
        <v>50</v>
      </c>
      <c r="E647" s="106">
        <v>100</v>
      </c>
      <c r="F647" s="124" t="s">
        <v>2060</v>
      </c>
      <c r="G647" s="107">
        <f>E647*1.1</f>
        <v>110</v>
      </c>
      <c r="H647" s="353" t="s">
        <v>2057</v>
      </c>
      <c r="I647" s="104" t="str">
        <v>ME 355,ED3-AE</v>
      </c>
      <c r="J647" s="81">
        <v>153</v>
      </c>
    </row>
    <row r="648" spans="1:10">
      <c r="A648" s="83"/>
      <c r="B648" s="83"/>
      <c r="C648" s="109"/>
      <c r="D648" s="180" t="s">
        <v>404</v>
      </c>
      <c r="E648" s="91">
        <f>SUM(E636:E647)</f>
        <v>1166</v>
      </c>
      <c r="F648" s="109"/>
      <c r="G648" s="83"/>
      <c r="H648" s="353"/>
      <c r="I648" s="104" t="str">
        <v>,Total W3-1</v>
      </c>
      <c r="J648" s="81" t="e">
        <f>#N/A</f>
        <v>#N/A</v>
      </c>
    </row>
    <row r="649" spans="1:10">
      <c r="A649" s="83"/>
      <c r="B649" s="83"/>
      <c r="C649" s="109"/>
      <c r="D649" s="83"/>
      <c r="E649" s="83"/>
      <c r="F649" s="109"/>
      <c r="G649" s="83"/>
      <c r="H649" s="353"/>
      <c r="I649" s="104" t="str">
        <v>,</v>
      </c>
      <c r="J649" s="82"/>
    </row>
    <row r="650" spans="1:10">
      <c r="A650" s="83"/>
      <c r="B650" s="83"/>
      <c r="C650" s="109"/>
      <c r="D650" s="83"/>
      <c r="E650" s="83"/>
      <c r="F650" s="109"/>
      <c r="G650" s="83"/>
      <c r="H650" s="353"/>
      <c r="I650" s="104" t="str">
        <v>,</v>
      </c>
    </row>
    <row r="651" spans="1:10">
      <c r="A651" s="364" t="s">
        <v>1461</v>
      </c>
      <c r="B651" s="365"/>
      <c r="C651" s="365"/>
      <c r="D651" s="365"/>
      <c r="E651" s="365"/>
      <c r="F651" s="365"/>
      <c r="G651" s="366"/>
      <c r="H651" s="353"/>
      <c r="I651" s="104" t="str">
        <f>_xlfn.CONCAT(A651,",",D651)</f>
        <v>Wednesday, 22 April 2026,</v>
      </c>
      <c r="J651" s="81" t="e">
        <f>#N/A</f>
        <v>#N/A</v>
      </c>
    </row>
    <row r="652" spans="1:10" s="105" customFormat="1">
      <c r="A652" s="364" t="s">
        <v>412</v>
      </c>
      <c r="B652" s="365"/>
      <c r="C652" s="365"/>
      <c r="D652" s="365"/>
      <c r="E652" s="365"/>
      <c r="F652" s="365"/>
      <c r="G652" s="366"/>
      <c r="H652" s="353"/>
      <c r="I652" s="83" t="str">
        <v>Session, 2 (12:00 PM - 2:00 PM),</v>
      </c>
      <c r="J652" s="81" t="e">
        <f>#N/A</f>
        <v>#N/A</v>
      </c>
    </row>
    <row r="653" spans="1:10">
      <c r="A653" s="111" t="s">
        <v>24</v>
      </c>
      <c r="B653" s="111" t="s">
        <v>25</v>
      </c>
      <c r="C653" s="179" t="s">
        <v>26</v>
      </c>
      <c r="D653" s="111" t="s">
        <v>27</v>
      </c>
      <c r="E653" s="111" t="s">
        <v>266</v>
      </c>
      <c r="F653" s="178" t="s">
        <v>28</v>
      </c>
      <c r="G653" s="111" t="s">
        <v>265</v>
      </c>
      <c r="H653" s="353"/>
      <c r="I653" s="104" t="str">
        <v>CODE ,CLASS</v>
      </c>
      <c r="J653" s="81" t="e">
        <f>#N/A</f>
        <v>#N/A</v>
      </c>
    </row>
    <row r="654" spans="1:10">
      <c r="A654" s="180" t="s">
        <v>0</v>
      </c>
      <c r="B654" s="180" t="str">
        <f>VLOOKUP(I654:I668,Lecturers!A2:G598,6,FALSE)</f>
        <v>COMMUNICATION SKILLS I</v>
      </c>
      <c r="C654" s="123" t="str">
        <f>VLOOKUP(I654:I668,Lecturers!A2:G598,2,FALSE)</f>
        <v>Yeboah Philomena Ama Okyeso</v>
      </c>
      <c r="D654" s="180" t="s">
        <v>30</v>
      </c>
      <c r="E654" s="106">
        <f>IFERROR(VLOOKUP(I654:I668,Lecturers!A2:F596,3,FALSE),0)</f>
        <v>56</v>
      </c>
      <c r="F654" s="444" t="s">
        <v>1814</v>
      </c>
      <c r="G654" s="107">
        <f>E654*1.1</f>
        <v>61.6</v>
      </c>
      <c r="H654" s="353"/>
      <c r="I654" s="104" t="str">
        <v>ENGL 157,ED1-PCE</v>
      </c>
      <c r="J654" s="81">
        <v>72</v>
      </c>
    </row>
    <row r="655" spans="1:10">
      <c r="A655" s="180" t="s">
        <v>0</v>
      </c>
      <c r="B655" s="180" t="str">
        <v>COMMUNICATION SKILLS I</v>
      </c>
      <c r="C655" s="123" t="str">
        <v>Alhassan Yakubu</v>
      </c>
      <c r="D655" s="180" t="s">
        <v>33</v>
      </c>
      <c r="E655" s="106">
        <v>136</v>
      </c>
      <c r="F655" s="460"/>
      <c r="G655" s="107">
        <f>E655*1.1</f>
        <v>149.6</v>
      </c>
      <c r="H655" s="353"/>
      <c r="I655" s="104" t="str">
        <v>ENGL 157,ED1-BME</v>
      </c>
      <c r="J655" s="81">
        <v>43</v>
      </c>
    </row>
    <row r="656" spans="1:10">
      <c r="A656" s="180" t="s">
        <v>0</v>
      </c>
      <c r="B656" s="180" t="str">
        <v>COMMUNICATION SKILLS I</v>
      </c>
      <c r="C656" s="123" t="str">
        <v>Alhassan Yakubu</v>
      </c>
      <c r="D656" s="180" t="s">
        <v>11</v>
      </c>
      <c r="E656" s="106">
        <v>75</v>
      </c>
      <c r="F656" s="460"/>
      <c r="G656" s="107">
        <f>E656*1.1</f>
        <v>82.5</v>
      </c>
      <c r="H656" s="353"/>
      <c r="I656" s="104" t="str">
        <v>ENGL 157,ED1-METE</v>
      </c>
      <c r="J656" s="81">
        <v>129</v>
      </c>
    </row>
    <row r="657" spans="1:10">
      <c r="A657" s="180" t="s">
        <v>0</v>
      </c>
      <c r="B657" s="180" t="str">
        <v>COMMUNICATION SKILLS I</v>
      </c>
      <c r="C657" s="123" t="str">
        <v>Sarfo-Adu Kwasi</v>
      </c>
      <c r="D657" s="180" t="s">
        <v>8</v>
      </c>
      <c r="E657" s="106">
        <v>120</v>
      </c>
      <c r="F657" s="460"/>
      <c r="G657" s="107">
        <f>E657*1.1</f>
        <v>132</v>
      </c>
      <c r="H657" s="353"/>
      <c r="I657" s="104" t="str">
        <f>_xlfn.CONCAT(A657,",",D657)</f>
        <v>ENGL 157,ED1-CHE</v>
      </c>
      <c r="J657" s="81">
        <v>185</v>
      </c>
    </row>
    <row r="658" spans="1:10">
      <c r="A658" s="180" t="s">
        <v>0</v>
      </c>
      <c r="B658" s="180" t="str">
        <v>COMMUNICATION SKILLS I</v>
      </c>
      <c r="C658" s="123" t="str">
        <v>Yeboah Philomena Ama Okyeso</v>
      </c>
      <c r="D658" s="180" t="s">
        <v>10</v>
      </c>
      <c r="E658" s="106">
        <v>100</v>
      </c>
      <c r="F658" s="460"/>
      <c r="G658" s="107">
        <f>E658*1.1</f>
        <v>110</v>
      </c>
      <c r="H658" s="353"/>
      <c r="I658" s="104" t="str">
        <f>_xlfn.CONCAT(A658,",",D658)</f>
        <v>ENGL 157,ED1-GEOM</v>
      </c>
      <c r="J658" s="81">
        <v>185</v>
      </c>
    </row>
    <row r="659" spans="1:10">
      <c r="A659" s="180" t="s">
        <v>0</v>
      </c>
      <c r="B659" s="180" t="str">
        <v>COMMUNICATION SKILLS I</v>
      </c>
      <c r="C659" s="123" t="str">
        <v>Alhassan Yakubu</v>
      </c>
      <c r="D659" s="180" t="s">
        <v>32</v>
      </c>
      <c r="E659" s="106">
        <v>262</v>
      </c>
      <c r="F659" s="460"/>
      <c r="G659" s="107">
        <f>E659*1.1</f>
        <v>288.2</v>
      </c>
      <c r="H659" s="353"/>
      <c r="I659" s="104" t="str">
        <v>ENGL 157,ED1-COE</v>
      </c>
      <c r="J659" s="81">
        <v>185</v>
      </c>
    </row>
    <row ht="17.25" customHeight="1" r="660" spans="1:10">
      <c r="A660" s="180" t="s">
        <v>0</v>
      </c>
      <c r="B660" s="180" t="str">
        <v>COMMUNICATION SKILLS I</v>
      </c>
      <c r="C660" s="123" t="str">
        <v>Yeboah Philomena Ama Okyeso</v>
      </c>
      <c r="D660" s="180" t="s">
        <v>3</v>
      </c>
      <c r="E660" s="106">
        <v>83</v>
      </c>
      <c r="F660" s="461"/>
      <c r="G660" s="107">
        <f>E660*1.1</f>
        <v>91.3</v>
      </c>
      <c r="H660" s="353"/>
      <c r="I660" s="104" t="str">
        <v>ENGL 157,ED1-IND</v>
      </c>
      <c r="J660" s="81">
        <v>233</v>
      </c>
    </row>
    <row r="661" spans="1:10">
      <c r="A661" s="180" t="s">
        <v>176</v>
      </c>
      <c r="B661" s="180" t="str">
        <v>CORROSION ENGINEERING</v>
      </c>
      <c r="C661" s="123" t="str">
        <v>Anang Daniel Adjah</v>
      </c>
      <c r="D661" s="180" t="s">
        <v>79</v>
      </c>
      <c r="E661" s="106">
        <v>55</v>
      </c>
      <c r="F661" s="123" t="s">
        <v>381</v>
      </c>
      <c r="G661" s="107">
        <f>E661*1.1</f>
        <v>60.5</v>
      </c>
      <c r="H661" s="353" t="s">
        <v>2036</v>
      </c>
      <c r="I661" s="104" t="str">
        <f>_xlfn.CONCAT(A661,",",D661)</f>
        <v>PCE 457,ED4-PCE</v>
      </c>
      <c r="J661" s="81" t="e">
        <f>#N/A</f>
        <v>#N/A</v>
      </c>
    </row>
    <row r="662" spans="1:10">
      <c r="A662" s="180" t="s">
        <v>151</v>
      </c>
      <c r="B662" s="180" t="str">
        <v>POWER SYSTEMS OPERATION AND CONTROL</v>
      </c>
      <c r="C662" s="123" t="str">
        <v>Antoh Emmanuel Kwaku</v>
      </c>
      <c r="D662" s="180" t="s">
        <v>114</v>
      </c>
      <c r="E662" s="106">
        <v>205</v>
      </c>
      <c r="F662" s="124" t="s">
        <v>1954</v>
      </c>
      <c r="G662" s="107">
        <f>E662*1.1</f>
        <v>225.5</v>
      </c>
      <c r="H662" s="354" t="s">
        <v>2063</v>
      </c>
      <c r="I662" s="104" t="str">
        <v>EE 467,ED4-EE</v>
      </c>
      <c r="J662" s="81">
        <v>193</v>
      </c>
    </row>
    <row r="663" spans="1:10">
      <c r="A663" s="180" t="s">
        <v>197</v>
      </c>
      <c r="B663" s="180" t="str">
        <v>DRAINAGE SYSTEMS</v>
      </c>
      <c r="C663" s="123" t="str">
        <v>Adjei Kwaku Amaning</v>
      </c>
      <c r="D663" s="180" t="s">
        <v>19</v>
      </c>
      <c r="E663" s="106">
        <v>230</v>
      </c>
      <c r="F663" s="123" t="s">
        <v>2052</v>
      </c>
      <c r="G663" s="107">
        <f>E663*1.1</f>
        <v>253</v>
      </c>
      <c r="H663" s="353" t="s">
        <v>2069</v>
      </c>
      <c r="I663" s="104" t="str">
        <v>CE 457,ED4-CE</v>
      </c>
      <c r="J663" s="81" t="e">
        <f>#N/A</f>
        <v>#N/A</v>
      </c>
    </row>
    <row ht="15.75" customHeight="1" r="664" spans="1:10">
      <c r="A664" s="180" t="s">
        <v>74</v>
      </c>
      <c r="B664" s="180" t="str">
        <v>MEDICAL IMAGING II</v>
      </c>
      <c r="C664" s="123" t="str">
        <v>Kotei Addison Eric Clement</v>
      </c>
      <c r="D664" s="180" t="s">
        <v>75</v>
      </c>
      <c r="E664" s="106">
        <v>87</v>
      </c>
      <c r="F664" s="123" t="s">
        <v>2067</v>
      </c>
      <c r="G664" s="107">
        <f>E664*1.1</f>
        <v>95.7</v>
      </c>
      <c r="H664" s="353" t="s">
        <v>2068</v>
      </c>
      <c r="I664" s="104" t="str">
        <f>_xlfn.CONCAT(A664,",",D664)</f>
        <v>BME 451,ED4-BME</v>
      </c>
      <c r="J664" s="81">
        <v>59</v>
      </c>
    </row>
    <row r="665" spans="1:10">
      <c r="A665" s="180" t="s">
        <v>220</v>
      </c>
      <c r="B665" s="180" t="str">
        <v>STEREO PHOTOGRAMMETRY</v>
      </c>
      <c r="C665" s="123" t="str">
        <v>Tienaah Titus</v>
      </c>
      <c r="D665" s="180" t="s">
        <v>107</v>
      </c>
      <c r="E665" s="106">
        <v>125</v>
      </c>
      <c r="F665" s="124" t="s">
        <v>1992</v>
      </c>
      <c r="G665" s="107">
        <f>E665*1.1</f>
        <v>137.5</v>
      </c>
      <c r="H665" s="358" t="s">
        <v>2066</v>
      </c>
      <c r="I665" s="83" t="str">
        <f>_xlfn.CONCAT(A665,",",D665)</f>
        <v>GE 351,ED3-GEOM</v>
      </c>
      <c r="J665" s="81">
        <v>86</v>
      </c>
    </row>
    <row r="666" spans="1:10">
      <c r="A666" s="180" t="s">
        <v>202</v>
      </c>
      <c r="B666" s="180" t="str">
        <v>ENGINEERING GEOLOGY</v>
      </c>
      <c r="C666" s="122" t="str">
        <v>Acquaah Vincent Kofi Abaka</v>
      </c>
      <c r="D666" s="180" t="s">
        <v>84</v>
      </c>
      <c r="E666" s="106">
        <v>255</v>
      </c>
      <c r="F666" s="124" t="s">
        <v>2052</v>
      </c>
      <c r="G666" s="107">
        <f>E666*1.1</f>
        <v>280.5</v>
      </c>
      <c r="H666" s="354" t="s">
        <v>2028</v>
      </c>
      <c r="I666" s="104" t="str">
        <f>_xlfn.CONCAT(A666,",",D666)</f>
        <v>CE 259,ED2-CE</v>
      </c>
      <c r="J666" s="81">
        <v>285</v>
      </c>
    </row>
    <row r="667" spans="1:10">
      <c r="A667" s="180" t="s">
        <v>180</v>
      </c>
      <c r="B667" s="180" t="str">
        <v>SAFETY AND POLLUTION CONTROL</v>
      </c>
      <c r="C667" s="123" t="str">
        <v>Ohemeng-Boahen Godfred</v>
      </c>
      <c r="D667" s="180" t="s">
        <v>78</v>
      </c>
      <c r="E667" s="106">
        <v>114</v>
      </c>
      <c r="F667" s="124" t="s">
        <v>2064</v>
      </c>
      <c r="G667" s="107">
        <f>E667*1.1</f>
        <v>125.4</v>
      </c>
      <c r="H667" s="354" t="s">
        <v>2065</v>
      </c>
      <c r="I667" s="104" t="str">
        <v>CHE 459,ED4-CHE</v>
      </c>
      <c r="J667" s="81">
        <v>38</v>
      </c>
    </row>
    <row r="668" spans="1:10">
      <c r="A668" s="180" t="s">
        <v>1471</v>
      </c>
      <c r="B668" s="180" t="str">
        <v>DIGITAL INTEGRATED CIRCUITS</v>
      </c>
      <c r="C668" s="123" t="str">
        <v>Affum Emmanuel Ampoma</v>
      </c>
      <c r="D668" s="180" t="s">
        <v>117</v>
      </c>
      <c r="E668" s="106">
        <v>55</v>
      </c>
      <c r="F668" s="123" t="s">
        <v>414</v>
      </c>
      <c r="G668" s="107">
        <f>E668*1.1</f>
        <v>60.5</v>
      </c>
      <c r="H668" s="354" t="s">
        <v>2036</v>
      </c>
      <c r="I668" s="104" t="str">
        <v>TE 465,ED4-TEL</v>
      </c>
      <c r="J668" s="81">
        <v>145</v>
      </c>
    </row>
    <row r="669" spans="1:10">
      <c r="A669" s="83"/>
      <c r="B669" s="83"/>
      <c r="C669" s="109"/>
      <c r="D669" s="180" t="s">
        <v>405</v>
      </c>
      <c r="E669" s="91">
        <f>SUM(E661:E668)</f>
        <v>1126</v>
      </c>
      <c r="F669" s="109"/>
      <c r="G669" s="83"/>
      <c r="H669" s="353"/>
      <c r="I669" s="104" t="str">
        <v>,Total W3-2</v>
      </c>
      <c r="J669" s="81"/>
    </row>
    <row r="670" spans="1:10">
      <c r="A670" s="83"/>
      <c r="B670" s="83"/>
      <c r="C670" s="109"/>
      <c r="D670" s="83"/>
      <c r="E670" s="83"/>
      <c r="F670" s="109"/>
      <c r="G670" s="83"/>
      <c r="H670" s="353"/>
      <c r="I670" s="104" t="str">
        <v>,</v>
      </c>
    </row>
    <row r="671" spans="1:10">
      <c r="A671" s="83"/>
      <c r="B671" s="83"/>
      <c r="C671" s="109"/>
      <c r="D671" s="83"/>
      <c r="E671" s="83"/>
      <c r="F671" s="109"/>
      <c r="G671" s="83"/>
      <c r="H671" s="353"/>
      <c r="I671" s="104" t="str">
        <v>,</v>
      </c>
    </row>
    <row r="672" spans="1:10">
      <c r="A672" s="364" t="s">
        <v>1461</v>
      </c>
      <c r="B672" s="365"/>
      <c r="C672" s="365"/>
      <c r="D672" s="365"/>
      <c r="E672" s="365"/>
      <c r="F672" s="365"/>
      <c r="G672" s="366"/>
      <c r="H672" s="353"/>
      <c r="I672" s="104" t="str">
        <f>_xlfn.CONCAT(A672,",",D672)</f>
        <v>Wednesday, 22 April 2026,</v>
      </c>
      <c r="J672" s="81" t="e">
        <f>#N/A</f>
        <v>#N/A</v>
      </c>
    </row>
    <row r="673" spans="1:10">
      <c r="A673" s="364" t="s">
        <v>413</v>
      </c>
      <c r="B673" s="365"/>
      <c r="C673" s="365"/>
      <c r="D673" s="365"/>
      <c r="E673" s="365"/>
      <c r="F673" s="365"/>
      <c r="G673" s="366"/>
      <c r="H673" s="353"/>
      <c r="I673" s="83" t="str">
        <v>Session, 3 (3:00 PM - 5:00 PM),</v>
      </c>
      <c r="J673" s="81" t="e">
        <f>#N/A</f>
        <v>#N/A</v>
      </c>
    </row>
    <row r="674" spans="1:10">
      <c r="A674" s="111" t="s">
        <v>24</v>
      </c>
      <c r="B674" s="111" t="s">
        <v>25</v>
      </c>
      <c r="C674" s="178" t="s">
        <v>26</v>
      </c>
      <c r="D674" s="111" t="s">
        <v>27</v>
      </c>
      <c r="E674" s="111" t="s">
        <v>266</v>
      </c>
      <c r="F674" s="178" t="s">
        <v>28</v>
      </c>
      <c r="G674" s="111" t="s">
        <v>265</v>
      </c>
      <c r="H674" s="353"/>
      <c r="I674" s="104" t="str">
        <v>CODE ,CLASS</v>
      </c>
      <c r="J674" s="81" t="e">
        <f>#N/A</f>
        <v>#N/A</v>
      </c>
    </row>
    <row r="675" spans="1:10">
      <c r="A675" s="180" t="s">
        <v>0</v>
      </c>
      <c r="B675" s="180" t="str">
        <f>VLOOKUP(I675:I685,Lecturers!A2:G598,6,FALSE)</f>
        <v>COMMUNICATION SKILLS I</v>
      </c>
      <c r="C675" s="123" t="str">
        <f>VLOOKUP(I675:I685,Lecturers!A2:G598,2,FALSE)</f>
        <v>Sarfo-Adu Kwasi</v>
      </c>
      <c r="D675" s="180" t="s">
        <v>7</v>
      </c>
      <c r="E675" s="106">
        <f>IFERROR(VLOOKUP(I675:I685,Lecturers!A2:F596,3,FALSE),0)</f>
        <v>295</v>
      </c>
      <c r="F675" s="444" t="s">
        <v>1814</v>
      </c>
      <c r="G675" s="107">
        <f>E675*1.1</f>
        <v>324.5</v>
      </c>
      <c r="H675" s="354"/>
      <c r="I675" s="104" t="str">
        <f>_xlfn.CONCAT(A675,",",D675)</f>
        <v>ENGL 157,ED1-EE</v>
      </c>
      <c r="J675" s="81">
        <v>291</v>
      </c>
    </row>
    <row r="676" spans="1:10" s="337" customFormat="1">
      <c r="A676" s="180" t="s">
        <v>0</v>
      </c>
      <c r="B676" s="180" t="str">
        <v>COMMUNICATION SKILLS I</v>
      </c>
      <c r="C676" s="123" t="str">
        <v>Sarfo-Adu Kwasi</v>
      </c>
      <c r="D676" s="180" t="s">
        <v>2</v>
      </c>
      <c r="E676" s="106">
        <v>85</v>
      </c>
      <c r="F676" s="445"/>
      <c r="G676" s="107">
        <f>E676*1.1</f>
        <v>93.5</v>
      </c>
      <c r="H676" s="361"/>
      <c r="I676" s="120" t="str">
        <f>_xlfn.CONCAT(A676,",",D676)</f>
        <v>ENGL 157,ED1-AUTO</v>
      </c>
      <c r="J676" s="336">
        <v>69</v>
      </c>
    </row>
    <row r="677" spans="1:10" s="337" customFormat="1">
      <c r="A677" s="180" t="s">
        <v>0</v>
      </c>
      <c r="B677" s="180" t="str">
        <v>COMMUNICATION SKILLS I</v>
      </c>
      <c r="C677" s="123" t="str">
        <v>Appiah Franklin Benjamin</v>
      </c>
      <c r="D677" s="180" t="s">
        <v>1</v>
      </c>
      <c r="E677" s="106">
        <v>70</v>
      </c>
      <c r="F677" s="445"/>
      <c r="G677" s="107">
        <f>E677*1.1</f>
        <v>77</v>
      </c>
      <c r="H677" s="361"/>
      <c r="I677" s="120" t="str">
        <v>ENGL 157,ED1-AERO</v>
      </c>
      <c r="J677" s="336">
        <v>107</v>
      </c>
    </row>
    <row r="678" spans="1:10" s="337" customFormat="1">
      <c r="A678" s="180" t="s">
        <v>209</v>
      </c>
      <c r="B678" s="180" t="str">
        <v>SOIL MECHANICS</v>
      </c>
      <c r="C678" s="123" t="str">
        <v>Charkley Frederick Nai</v>
      </c>
      <c r="D678" s="180" t="s">
        <v>51</v>
      </c>
      <c r="E678" s="106">
        <v>220</v>
      </c>
      <c r="F678" s="122" t="s">
        <v>2052</v>
      </c>
      <c r="G678" s="107">
        <f>E678*1.1</f>
        <v>242</v>
      </c>
      <c r="H678" s="361" t="s">
        <v>2031</v>
      </c>
      <c r="I678" s="120" t="str">
        <v>CE 359,ED3-CE</v>
      </c>
      <c r="J678" s="336">
        <v>61</v>
      </c>
    </row>
    <row r="679" spans="1:10">
      <c r="A679" s="180" t="s">
        <v>532</v>
      </c>
      <c r="B679" s="180" t="str">
        <v>SOIL MECHANICS</v>
      </c>
      <c r="C679" s="123" t="str">
        <v>Amenuvor Andrew Cudzo</v>
      </c>
      <c r="D679" s="180" t="s">
        <v>52</v>
      </c>
      <c r="E679" s="106">
        <v>157</v>
      </c>
      <c r="F679" s="129" t="s">
        <v>2074</v>
      </c>
      <c r="G679" s="107">
        <f>E679*1.1</f>
        <v>172.7</v>
      </c>
      <c r="H679" s="354" t="s">
        <v>2075</v>
      </c>
      <c r="I679" s="104" t="str">
        <v>GED 379,ED3-GEOL</v>
      </c>
      <c r="J679" s="81">
        <v>178</v>
      </c>
    </row>
    <row r="680" spans="1:10">
      <c r="A680" s="180" t="s">
        <v>253</v>
      </c>
      <c r="B680" s="180" t="str">
        <v>MICROPROCESSORS</v>
      </c>
      <c r="C680" s="122" t="str">
        <v>Keelson Eliel</v>
      </c>
      <c r="D680" s="180" t="s">
        <v>55</v>
      </c>
      <c r="E680" s="106">
        <v>270</v>
      </c>
      <c r="F680" s="124" t="s">
        <v>2071</v>
      </c>
      <c r="G680" s="107">
        <f>E680*1.1</f>
        <v>297</v>
      </c>
      <c r="H680" s="353" t="s">
        <v>2072</v>
      </c>
      <c r="I680" s="83" t="str">
        <f>_xlfn.CONCAT(A680,",",D680)</f>
        <v>COE 381,ED3-COE</v>
      </c>
      <c r="J680" s="81">
        <v>226</v>
      </c>
    </row>
    <row r="681" spans="1:10">
      <c r="A681" s="180" t="s">
        <v>253</v>
      </c>
      <c r="B681" s="180" t="str">
        <v>MICROPROCESSORS</v>
      </c>
      <c r="C681" s="122" t="str">
        <v>Keelson Eliel</v>
      </c>
      <c r="D681" s="180" t="s">
        <v>56</v>
      </c>
      <c r="E681" s="106">
        <v>90</v>
      </c>
      <c r="F681" s="124" t="s">
        <v>2053</v>
      </c>
      <c r="G681" s="107">
        <f>E681*1.1</f>
        <v>99</v>
      </c>
      <c r="H681" s="353" t="s">
        <v>2073</v>
      </c>
      <c r="I681" s="83" t="str">
        <f>_xlfn.CONCAT(A681,",",D681)</f>
        <v>COE 381,ED3-BME</v>
      </c>
      <c r="J681" s="81">
        <v>71</v>
      </c>
    </row>
    <row r="682" spans="1:10">
      <c r="A682" s="180" t="s">
        <v>253</v>
      </c>
      <c r="B682" s="180" t="str">
        <v>MICROPROCESSORS</v>
      </c>
      <c r="C682" s="122" t="str">
        <v>Keelson Eliel</v>
      </c>
      <c r="D682" s="180" t="s">
        <v>53</v>
      </c>
      <c r="E682" s="106">
        <v>240</v>
      </c>
      <c r="F682" s="124" t="s">
        <v>2052</v>
      </c>
      <c r="G682" s="107">
        <f>E682*1.1</f>
        <v>264</v>
      </c>
      <c r="H682" s="353" t="s">
        <v>2070</v>
      </c>
      <c r="I682" s="83" t="str">
        <f>_xlfn.CONCAT(A682,",",D682)</f>
        <v>COE 381,ED3-EE</v>
      </c>
      <c r="J682" s="81">
        <v>294</v>
      </c>
    </row>
    <row r="683" spans="1:10">
      <c r="A683" s="180" t="s">
        <v>206</v>
      </c>
      <c r="B683" s="180" t="str">
        <v>METALWORKING PROCESSES</v>
      </c>
      <c r="C683" s="123" t="str">
        <v>Kwofie Samuel</v>
      </c>
      <c r="D683" s="180" t="s">
        <v>64</v>
      </c>
      <c r="E683" s="106">
        <v>64</v>
      </c>
      <c r="F683" s="124" t="s">
        <v>2076</v>
      </c>
      <c r="G683" s="107">
        <f>E683*1.1</f>
        <v>70.4</v>
      </c>
      <c r="H683" s="358" t="s">
        <v>2077</v>
      </c>
      <c r="I683" s="83" t="str">
        <f>_xlfn.CONCAT(A683,",",D683)</f>
        <v>MSE 457,ED4-MSE</v>
      </c>
      <c r="J683" s="81">
        <v>119</v>
      </c>
    </row>
    <row r="684" spans="1:10">
      <c r="A684" s="180" t="s">
        <v>206</v>
      </c>
      <c r="B684" s="180" t="str">
        <v>METAL FORMING PROCESSES</v>
      </c>
      <c r="C684" s="123" t="str">
        <v>Kwofie Samuel</v>
      </c>
      <c r="D684" s="180" t="s">
        <v>62</v>
      </c>
      <c r="E684" s="106">
        <v>53</v>
      </c>
      <c r="F684" s="124" t="s">
        <v>2078</v>
      </c>
      <c r="G684" s="107">
        <f>E684*1.1</f>
        <v>58.3</v>
      </c>
      <c r="H684" s="353" t="s">
        <v>2003</v>
      </c>
      <c r="I684" s="83" t="str">
        <f>_xlfn.CONCAT(A684,",",D684)</f>
        <v>MSE 457,ED4-METE</v>
      </c>
      <c r="J684" s="81">
        <v>104</v>
      </c>
    </row>
    <row r="685" spans="1:10">
      <c r="A685" s="180" t="s">
        <v>57</v>
      </c>
      <c r="B685" s="180" t="str">
        <v>CADASTRAL SURVEYING</v>
      </c>
      <c r="C685" s="125" t="str">
        <v>Akrofi Emmanuel Offei</v>
      </c>
      <c r="D685" s="180" t="s">
        <v>58</v>
      </c>
      <c r="E685" s="106">
        <v>93</v>
      </c>
      <c r="F685" s="123" t="s">
        <v>2079</v>
      </c>
      <c r="G685" s="107">
        <f>E685*1.1</f>
        <v>102.3</v>
      </c>
      <c r="H685" s="354" t="s">
        <v>2080</v>
      </c>
      <c r="I685" s="104" t="str">
        <v>GE 461,ED4-GEOM</v>
      </c>
      <c r="J685" s="81">
        <v>128</v>
      </c>
    </row>
    <row r="686" spans="1:10">
      <c r="A686" s="83"/>
      <c r="B686" s="83"/>
      <c r="C686" s="109"/>
      <c r="D686" s="180" t="s">
        <v>406</v>
      </c>
      <c r="E686" s="91">
        <f>SUM(E678:E685)</f>
        <v>1187</v>
      </c>
      <c r="F686" s="109"/>
      <c r="G686" s="83"/>
      <c r="H686" s="353"/>
      <c r="I686" s="104" t="str">
        <v>,Total W3-3</v>
      </c>
      <c r="J686" s="81" t="e">
        <f>#N/A</f>
        <v>#N/A</v>
      </c>
    </row>
    <row r="687" spans="1:10">
      <c r="A687" s="83"/>
      <c r="B687" s="83"/>
      <c r="C687" s="109"/>
      <c r="D687" s="83"/>
      <c r="E687" s="83"/>
      <c r="F687" s="109"/>
      <c r="G687" s="83"/>
      <c r="H687" s="353"/>
      <c r="I687" s="104" t="str">
        <v>,</v>
      </c>
    </row>
    <row r="688" spans="1:10">
      <c r="A688" s="83"/>
      <c r="B688" s="83"/>
      <c r="C688" s="109"/>
      <c r="D688" s="83"/>
      <c r="E688" s="83"/>
      <c r="F688" s="109"/>
      <c r="G688" s="83"/>
      <c r="H688" s="353"/>
      <c r="I688" s="104" t="str">
        <v>,</v>
      </c>
    </row>
    <row r="689" spans="1:12">
      <c r="A689" s="364" t="s">
        <v>1462</v>
      </c>
      <c r="B689" s="365"/>
      <c r="C689" s="365"/>
      <c r="D689" s="365"/>
      <c r="E689" s="365"/>
      <c r="F689" s="365"/>
      <c r="G689" s="366"/>
      <c r="H689" s="353"/>
      <c r="I689" s="104" t="str">
        <v>Thursday, 23 April 2026,</v>
      </c>
      <c r="J689" s="81" t="e">
        <f>#N/A</f>
        <v>#N/A</v>
      </c>
    </row>
    <row r="690" spans="1:12">
      <c r="A690" s="364" t="s">
        <v>411</v>
      </c>
      <c r="B690" s="365"/>
      <c r="C690" s="365"/>
      <c r="D690" s="365"/>
      <c r="E690" s="365"/>
      <c r="F690" s="365"/>
      <c r="G690" s="366"/>
      <c r="H690" s="353"/>
      <c r="I690" s="83" t="str">
        <v>Session, 1 (8:30 AM - 10:30 AM),</v>
      </c>
      <c r="J690" s="105"/>
      <c r="L690" s="105" t="s">
        <v>379</v>
      </c>
    </row>
    <row r="691" spans="1:12">
      <c r="A691" s="111" t="s">
        <v>24</v>
      </c>
      <c r="B691" s="111" t="s">
        <v>25</v>
      </c>
      <c r="C691" s="179" t="s">
        <v>26</v>
      </c>
      <c r="D691" s="111" t="s">
        <v>27</v>
      </c>
      <c r="E691" s="111" t="s">
        <v>266</v>
      </c>
      <c r="F691" s="178" t="s">
        <v>28</v>
      </c>
      <c r="G691" s="111" t="s">
        <v>265</v>
      </c>
      <c r="H691" s="353"/>
      <c r="I691" s="104" t="str">
        <v>CODE ,CLASS</v>
      </c>
      <c r="J691" s="81" t="e">
        <f>#N/A</f>
        <v>#N/A</v>
      </c>
    </row>
    <row r="692" spans="1:12" s="136" customFormat="1">
      <c r="A692" s="181" t="s">
        <v>96</v>
      </c>
      <c r="B692" s="181" t="str">
        <f>VLOOKUP(I692:I702,Lecturers!A2:G598,6,FALSE)</f>
        <v>INTRODUCTION TO FLUID MECHANICS</v>
      </c>
      <c r="C692" s="132" t="str">
        <f>VLOOKUP(I692:I702,Lecturers!A2:G598,2,FALSE)</f>
        <v>Fiagbe Yesuenyeagbe Atsu Kwabla</v>
      </c>
      <c r="D692" s="181" t="s">
        <v>80</v>
      </c>
      <c r="E692" s="108">
        <f>IFERROR(VLOOKUP(I692:I702,Lecturers!A2:F596,3,FALSE),0)</f>
        <v>75</v>
      </c>
      <c r="F692" s="139" t="s">
        <v>431</v>
      </c>
      <c r="G692" s="138">
        <f>E692*1.1</f>
        <v>82.5</v>
      </c>
      <c r="H692" s="357" t="s">
        <v>1979</v>
      </c>
      <c r="I692" s="139" t="str">
        <v>ME 251,ED2-AERO</v>
      </c>
      <c r="J692" s="81">
        <v>69</v>
      </c>
    </row>
    <row r="693" spans="1:12">
      <c r="A693" s="180" t="s">
        <v>96</v>
      </c>
      <c r="B693" s="180" t="str">
        <v>INTRODUCTION TO FLUID MECHANICS</v>
      </c>
      <c r="C693" s="123" t="str">
        <v>Fiagbe Yesuenyeagbe Atsu Kwabla</v>
      </c>
      <c r="D693" s="180" t="s">
        <v>82</v>
      </c>
      <c r="E693" s="106">
        <v>242</v>
      </c>
      <c r="F693" s="123" t="s">
        <v>2052</v>
      </c>
      <c r="G693" s="107">
        <f>E693*1.1</f>
        <v>266.2</v>
      </c>
      <c r="H693" s="354" t="s">
        <v>2081</v>
      </c>
      <c r="I693" s="104" t="str">
        <v>ME 251,ED2-ME</v>
      </c>
      <c r="J693" s="81" t="e">
        <f>#N/A</f>
        <v>#N/A</v>
      </c>
    </row>
    <row r="694" spans="1:12">
      <c r="A694" s="180" t="s">
        <v>96</v>
      </c>
      <c r="B694" s="180" t="str">
        <v>FLUID MECHANICS I</v>
      </c>
      <c r="C694" s="123" t="str">
        <v>Fiagbe Yesuenyeagbe Atsu Kwabla</v>
      </c>
      <c r="D694" s="180" t="s">
        <v>43</v>
      </c>
      <c r="E694" s="106">
        <v>155</v>
      </c>
      <c r="F694" s="124" t="s">
        <v>2045</v>
      </c>
      <c r="G694" s="107">
        <f>E694*1.1</f>
        <v>170.5</v>
      </c>
      <c r="H694" s="354" t="s">
        <v>2082</v>
      </c>
      <c r="I694" s="104" t="str">
        <v>ME 251,ED2-AE</v>
      </c>
      <c r="J694" s="81">
        <v>130</v>
      </c>
    </row>
    <row r="695" spans="1:12" s="112" customFormat="1">
      <c r="A695" s="112" t="s">
        <v>172</v>
      </c>
      <c r="B695" s="112" t="str">
        <v>AEROSPACE VEHICLE DESIGN</v>
      </c>
      <c r="C695" s="176" t="str">
        <v>Oppong David Kofi</v>
      </c>
      <c r="D695" s="112" t="s">
        <v>17</v>
      </c>
      <c r="E695" s="112">
        <v>61</v>
      </c>
      <c r="F695" s="175" t="s">
        <v>2076</v>
      </c>
      <c r="G695" s="113">
        <f>E695*1.1</f>
        <v>67.1</v>
      </c>
      <c r="H695" s="354" t="s">
        <v>2090</v>
      </c>
      <c r="I695" s="112" t="str">
        <f>_xlfn.CONCAT(A695,",",D695)</f>
        <v>AERO 473,ED4-AERO</v>
      </c>
      <c r="J695" s="112">
        <v>49</v>
      </c>
    </row>
    <row r="696" spans="1:12">
      <c r="A696" s="180" t="s">
        <v>139</v>
      </c>
      <c r="B696" s="180" t="str">
        <v>POLLUTION CONTROL IN PETROCHEMICAL INDUSTRY</v>
      </c>
      <c r="C696" s="126" t="str">
        <v>Kwao-Boateng Emmanuela</v>
      </c>
      <c r="D696" s="180" t="s">
        <v>79</v>
      </c>
      <c r="E696" s="106">
        <v>55</v>
      </c>
      <c r="F696" s="124" t="s">
        <v>2085</v>
      </c>
      <c r="G696" s="107">
        <f>E696*1.1</f>
        <v>60.5</v>
      </c>
      <c r="H696" s="354" t="s">
        <v>2086</v>
      </c>
      <c r="I696" s="104" t="str">
        <f>_xlfn.CONCAT(A696,",",D696)</f>
        <v>PCE 455,ED4-PCE</v>
      </c>
      <c r="J696" s="81">
        <v>81</v>
      </c>
    </row>
    <row r="697" spans="1:12" s="105" customFormat="1">
      <c r="A697" s="180" t="s">
        <v>432</v>
      </c>
      <c r="B697" s="180" t="str">
        <v>DIGITAL SYSTEMS</v>
      </c>
      <c r="C697" s="328" t="str">
        <v>Obour Agyekum Kwame Opuni-Boachie</v>
      </c>
      <c r="D697" s="180" t="s">
        <v>99</v>
      </c>
      <c r="E697" s="106">
        <v>175</v>
      </c>
      <c r="F697" s="329" t="s">
        <v>2084</v>
      </c>
      <c r="G697" s="107">
        <f>1.1*E697</f>
        <v>192.5</v>
      </c>
      <c r="H697" s="353" t="s">
        <v>2083</v>
      </c>
      <c r="I697" s="105" t="str">
        <f>CONCATENATE(A697,",",D697)</f>
        <v>TE 253,ED2-TEL</v>
      </c>
      <c r="J697" s="102"/>
    </row>
    <row r="698" spans="1:12" s="105" customFormat="1">
      <c r="A698" s="180" t="s">
        <v>454</v>
      </c>
      <c r="B698" s="180" t="str">
        <v>RANDOM VARIABLES AND STOCHASTIC PROCESSES</v>
      </c>
      <c r="C698" s="328" t="str">
        <v>Obour Agyekum Kwame Opuni-Boachie</v>
      </c>
      <c r="D698" s="180" t="s">
        <v>54</v>
      </c>
      <c r="E698" s="106">
        <v>140</v>
      </c>
      <c r="F698" s="329" t="s">
        <v>2087</v>
      </c>
      <c r="G698" s="107">
        <f>1.1*E698</f>
        <v>154</v>
      </c>
      <c r="H698" s="353" t="s">
        <v>2088</v>
      </c>
      <c r="I698" s="105" t="str">
        <f>CONCATENATE(A698,",",D698)</f>
        <v>TE 353,ED3-TEL</v>
      </c>
      <c r="J698" s="102"/>
    </row>
    <row r="699" spans="1:12">
      <c r="A699" s="181" t="s">
        <v>134</v>
      </c>
      <c r="B699" s="181" t="str">
        <v>INORGANIC CHEMISTRY FOR ENGINEERS</v>
      </c>
      <c r="C699" s="126" t="str">
        <v>Opoku Francis</v>
      </c>
      <c r="D699" s="181" t="s">
        <v>8</v>
      </c>
      <c r="E699" s="106">
        <v>120</v>
      </c>
      <c r="F699" s="176" t="s">
        <v>1992</v>
      </c>
      <c r="G699" s="107">
        <f>E699*1.1</f>
        <v>132</v>
      </c>
      <c r="H699" s="354" t="s">
        <v>2089</v>
      </c>
      <c r="I699" s="104" t="str">
        <f>_xlfn.CONCAT(A699,",",D699)</f>
        <v>CHE 151,ED1-CHE</v>
      </c>
      <c r="J699" s="81">
        <v>129</v>
      </c>
    </row>
    <row r="700" spans="1:12">
      <c r="A700" s="181" t="s">
        <v>134</v>
      </c>
      <c r="B700" s="181" t="str">
        <v>INORGANIC CHEMISTRY FOR ENGINEERS</v>
      </c>
      <c r="C700" s="126" t="str">
        <v>Opoku Francis</v>
      </c>
      <c r="D700" s="181" t="s">
        <v>30</v>
      </c>
      <c r="E700" s="106">
        <v>56</v>
      </c>
      <c r="F700" s="129" t="s">
        <v>2094</v>
      </c>
      <c r="G700" s="107">
        <f>E700*1.1</f>
        <v>61.6</v>
      </c>
      <c r="H700" s="354" t="s">
        <v>2095</v>
      </c>
      <c r="I700" s="104" t="str">
        <f>_xlfn.CONCAT(A700,",",D700)</f>
        <v>CHE 151,ED1-PCE</v>
      </c>
      <c r="J700" s="81">
        <v>61</v>
      </c>
    </row>
    <row r="701" spans="1:12">
      <c r="A701" s="181" t="s">
        <v>304</v>
      </c>
      <c r="B701" s="181" t="str">
        <v>INORGANIC CHEMISTRY FOR ENGINEERS</v>
      </c>
      <c r="C701" s="126" t="str">
        <v>Opoku Francis</v>
      </c>
      <c r="D701" s="181" t="s">
        <v>1467</v>
      </c>
      <c r="E701" s="106">
        <v>130</v>
      </c>
      <c r="F701" s="129" t="s">
        <v>2092</v>
      </c>
      <c r="G701" s="107">
        <f>E701*1.1</f>
        <v>143</v>
      </c>
      <c r="H701" s="354" t="s">
        <v>2093</v>
      </c>
      <c r="I701" s="104" t="str">
        <f>_xlfn.CONCAT(A701,",",D701)</f>
        <v>PE 151,ED1-PE</v>
      </c>
      <c r="J701" s="81">
        <v>107</v>
      </c>
    </row>
    <row r="702" spans="1:12">
      <c r="A702" s="180" t="s">
        <v>384</v>
      </c>
      <c r="B702" s="180" t="str">
        <v>ENGINEERING GEOLOGICAL INVESTIGATIONS</v>
      </c>
      <c r="C702" s="123" t="str">
        <v>Ali Bukari</v>
      </c>
      <c r="D702" s="180" t="s">
        <v>22</v>
      </c>
      <c r="E702" s="106">
        <v>95</v>
      </c>
      <c r="F702" s="123" t="s">
        <v>2091</v>
      </c>
      <c r="G702" s="107">
        <f>E702*1.1</f>
        <v>104.5</v>
      </c>
      <c r="H702" s="354" t="s">
        <v>2096</v>
      </c>
      <c r="I702" s="104" t="str">
        <v>GED 465,ED4-GEOL</v>
      </c>
      <c r="J702" s="81">
        <v>134</v>
      </c>
    </row>
    <row r="703" spans="1:12">
      <c r="A703" s="83"/>
      <c r="B703" s="83"/>
      <c r="C703" s="109"/>
      <c r="D703" s="180" t="s">
        <v>407</v>
      </c>
      <c r="E703" s="91">
        <f>SUM(E692:E702)</f>
        <v>1304</v>
      </c>
      <c r="F703" s="109"/>
      <c r="G703" s="83"/>
      <c r="H703" s="353"/>
      <c r="I703" s="104" t="str">
        <v>,Total H3-1</v>
      </c>
      <c r="J703" s="81" t="e">
        <f>#N/A</f>
        <v>#N/A</v>
      </c>
    </row>
    <row r="704" spans="1:12">
      <c r="A704" s="83"/>
      <c r="B704" s="83"/>
      <c r="C704" s="109"/>
      <c r="D704" s="83"/>
      <c r="E704" s="83"/>
      <c r="F704" s="109"/>
      <c r="G704" s="83"/>
      <c r="H704" s="353"/>
      <c r="I704" s="104" t="str">
        <v>,</v>
      </c>
      <c r="J704" s="82"/>
    </row>
    <row r="705" spans="1:10">
      <c r="A705" s="83"/>
      <c r="B705" s="83"/>
      <c r="C705" s="109"/>
      <c r="D705" s="83"/>
      <c r="E705" s="83"/>
      <c r="F705" s="109"/>
      <c r="G705" s="83"/>
      <c r="H705" s="353"/>
      <c r="I705" s="104" t="str">
        <v>,</v>
      </c>
    </row>
    <row r="706" spans="1:10">
      <c r="A706" s="364" t="s">
        <v>1462</v>
      </c>
      <c r="B706" s="365"/>
      <c r="C706" s="365"/>
      <c r="D706" s="365"/>
      <c r="E706" s="365"/>
      <c r="F706" s="365"/>
      <c r="G706" s="366"/>
      <c r="H706" s="353"/>
      <c r="I706" s="104" t="str">
        <f>_xlfn.CONCAT(A706,",",D706)</f>
        <v>Thursday, 23 April 2026,</v>
      </c>
      <c r="J706" s="81" t="e">
        <f>#N/A</f>
        <v>#N/A</v>
      </c>
    </row>
    <row r="707" spans="1:10" s="105" customFormat="1">
      <c r="A707" s="364" t="s">
        <v>412</v>
      </c>
      <c r="B707" s="365"/>
      <c r="C707" s="365"/>
      <c r="D707" s="365"/>
      <c r="E707" s="365"/>
      <c r="F707" s="365"/>
      <c r="G707" s="366"/>
      <c r="H707" s="353"/>
      <c r="I707" s="83" t="str">
        <v>Session, 2 (12:00 PM - 2:00 PM),</v>
      </c>
      <c r="J707" s="81" t="e">
        <f>#N/A</f>
        <v>#N/A</v>
      </c>
    </row>
    <row r="708" spans="1:10">
      <c r="A708" s="111" t="s">
        <v>24</v>
      </c>
      <c r="B708" s="111" t="s">
        <v>25</v>
      </c>
      <c r="C708" s="179" t="s">
        <v>26</v>
      </c>
      <c r="D708" s="111" t="s">
        <v>27</v>
      </c>
      <c r="E708" s="111" t="s">
        <v>266</v>
      </c>
      <c r="F708" s="178" t="s">
        <v>28</v>
      </c>
      <c r="G708" s="111" t="s">
        <v>265</v>
      </c>
      <c r="H708" s="353"/>
      <c r="I708" s="104" t="str">
        <v>CODE ,CLASS</v>
      </c>
      <c r="J708" s="81" t="e">
        <f>#N/A</f>
        <v>#N/A</v>
      </c>
    </row>
    <row r="709" spans="1:10" s="136" customFormat="1">
      <c r="A709" s="181" t="s">
        <v>343</v>
      </c>
      <c r="B709" s="181" t="str">
        <f>VLOOKUP(I709:I721,Lecturers!A2:G598,6,FALSE)</f>
        <v>COSTING AND BREAK-EVEN ANALYSIS</v>
      </c>
      <c r="C709" s="126" t="str">
        <f>VLOOKUP(I709:I721,Lecturers!A2:G598,2,FALSE)</f>
        <v>Mensah Lena Dzifa</v>
      </c>
      <c r="D709" s="181" t="s">
        <v>115</v>
      </c>
      <c r="E709" s="108">
        <f>IFERROR(VLOOKUP(I709:I721,Lecturers!A2:F596,3,FALSE),0)</f>
        <v>67</v>
      </c>
      <c r="F709" s="132" t="s">
        <v>431</v>
      </c>
      <c r="G709" s="138">
        <f>E709*1.1</f>
        <v>73.7</v>
      </c>
      <c r="H709" s="357" t="s">
        <v>2099</v>
      </c>
      <c r="I709" s="139" t="str">
        <v>IE 455,ED4-IND</v>
      </c>
      <c r="J709" s="81">
        <v>14</v>
      </c>
    </row>
    <row r="710" spans="1:10">
      <c r="A710" s="180" t="s">
        <v>18</v>
      </c>
      <c r="B710" s="180" t="str">
        <v>STRUCTURAL ENGINEERING I</v>
      </c>
      <c r="C710" s="123" t="str">
        <v>Osei Jack Banahene</v>
      </c>
      <c r="D710" s="180" t="s">
        <v>19</v>
      </c>
      <c r="E710" s="106">
        <v>160</v>
      </c>
      <c r="F710" s="124" t="s">
        <v>2101</v>
      </c>
      <c r="G710" s="107">
        <f>E710*1.1</f>
        <v>176</v>
      </c>
      <c r="H710" s="354" t="s">
        <v>2100</v>
      </c>
      <c r="I710" s="104" t="str">
        <v>CE 451,ED4-CE</v>
      </c>
      <c r="J710" s="81">
        <v>87</v>
      </c>
    </row>
    <row r="711" spans="1:10">
      <c r="A711" s="180" t="s">
        <v>127</v>
      </c>
      <c r="B711" s="180" t="str">
        <v>FIELD AND GEODETIC ASTRONOMY</v>
      </c>
      <c r="C711" s="123" t="str">
        <v>Ayer John Wise Divine</v>
      </c>
      <c r="D711" s="180" t="s">
        <v>85</v>
      </c>
      <c r="E711" s="106">
        <v>134</v>
      </c>
      <c r="F711" s="124" t="s">
        <v>2108</v>
      </c>
      <c r="G711" s="107">
        <f>E711*1.1</f>
        <v>147.4</v>
      </c>
      <c r="H711" s="354" t="s">
        <v>2107</v>
      </c>
      <c r="I711" s="104" t="str">
        <v>GE 261,ED2-GEOM</v>
      </c>
      <c r="J711" s="81">
        <v>112</v>
      </c>
    </row>
    <row r="712" spans="1:10">
      <c r="A712" s="180" t="s">
        <v>309</v>
      </c>
      <c r="B712" s="180" t="str">
        <v>ENGINEERING WORK STUDY</v>
      </c>
      <c r="C712" s="123" t="str">
        <v>Takyi Gabriel</v>
      </c>
      <c r="D712" s="180" t="s">
        <v>108</v>
      </c>
      <c r="E712" s="106">
        <v>72</v>
      </c>
      <c r="F712" s="124" t="s">
        <v>2110</v>
      </c>
      <c r="G712" s="107">
        <f>E712*1.1</f>
        <v>79.2</v>
      </c>
      <c r="H712" s="353" t="s">
        <v>2109</v>
      </c>
      <c r="I712" s="104" t="str">
        <f>_xlfn.CONCAT(A712,",",D712)</f>
        <v>IE 365,ED3-IND</v>
      </c>
      <c r="J712" s="81">
        <v>143</v>
      </c>
    </row>
    <row r="713" spans="1:10">
      <c r="A713" s="180" t="s">
        <v>302</v>
      </c>
      <c r="B713" s="180" t="str">
        <v>PETROLEUM ENGINEERING THERMODYNAMICS I</v>
      </c>
      <c r="C713" s="123" t="str">
        <v>Sokama-Neuyam Yen Adams</v>
      </c>
      <c r="D713" s="180" t="s">
        <v>1468</v>
      </c>
      <c r="E713" s="106">
        <v>95</v>
      </c>
      <c r="F713" s="177" t="s">
        <v>2103</v>
      </c>
      <c r="G713" s="107">
        <f>E713*1.1</f>
        <v>104.5</v>
      </c>
      <c r="H713" s="353" t="s">
        <v>2102</v>
      </c>
      <c r="I713" s="83" t="str">
        <f>_xlfn.CONCAT(A713,",",D713)</f>
        <v>PE 257,ED2-PE</v>
      </c>
      <c r="J713" s="81">
        <v>184</v>
      </c>
    </row>
    <row r="714" spans="1:10">
      <c r="A714" s="180" t="s">
        <v>313</v>
      </c>
      <c r="B714" s="180" t="str">
        <v>HEAT TRANSFER AND COMBUSTION</v>
      </c>
      <c r="C714" s="123" t="str">
        <v>Forson Francis Kofi</v>
      </c>
      <c r="D714" s="180" t="s">
        <v>105</v>
      </c>
      <c r="E714" s="106">
        <v>40</v>
      </c>
      <c r="F714" s="124" t="s">
        <v>69</v>
      </c>
      <c r="G714" s="107">
        <f>E714*1.1</f>
        <v>44</v>
      </c>
      <c r="H714" s="353" t="s">
        <v>2001</v>
      </c>
      <c r="I714" s="104" t="str">
        <f>_xlfn.CONCAT(A714,",",D714)</f>
        <v>AME 365,ED3-AUTO</v>
      </c>
      <c r="J714" s="81">
        <v>113</v>
      </c>
    </row>
    <row r="715" spans="1:10" s="112" customFormat="1">
      <c r="A715" s="112" t="s">
        <v>154</v>
      </c>
      <c r="B715" s="112" t="str">
        <v>BASIC MECHANICS</v>
      </c>
      <c r="C715" s="176" t="str">
        <v>Amoabeng Kofi Owura</v>
      </c>
      <c r="D715" s="112" t="s">
        <v>33</v>
      </c>
      <c r="E715" s="112">
        <v>136</v>
      </c>
      <c r="F715" s="176" t="s">
        <v>2101</v>
      </c>
      <c r="G715" s="113">
        <f>E715*1.1</f>
        <v>149.6</v>
      </c>
      <c r="H715" s="357" t="s">
        <v>2104</v>
      </c>
      <c r="I715" s="112" t="str">
        <f>_xlfn.CONCAT(A715,",",D715)</f>
        <v>ME 161,ED1-BME</v>
      </c>
      <c r="J715" s="112">
        <v>127</v>
      </c>
    </row>
    <row r="716" spans="1:10" s="136" customFormat="1">
      <c r="A716" s="181" t="s">
        <v>154</v>
      </c>
      <c r="B716" s="181" t="str">
        <v>BASIC MECHANICS</v>
      </c>
      <c r="C716" s="132" t="str">
        <v>Oppong Tawiah Peter</v>
      </c>
      <c r="D716" s="181" t="s">
        <v>31</v>
      </c>
      <c r="E716" s="462">
        <v>130</v>
      </c>
      <c r="F716" s="321" t="s">
        <v>2092</v>
      </c>
      <c r="G716" s="138">
        <f>E716*1.1</f>
        <v>143</v>
      </c>
      <c r="H716" s="355" t="s">
        <v>2093</v>
      </c>
      <c r="I716" s="318" t="str">
        <f>_xlfn.CONCAT(A716,",",D716)</f>
        <v>ME 161,ED1-TEL</v>
      </c>
      <c r="J716" s="81"/>
    </row>
    <row r="717" spans="1:10">
      <c r="A717" s="180" t="s">
        <v>154</v>
      </c>
      <c r="B717" s="180" t="str">
        <v>BASIC MECHANICS</v>
      </c>
      <c r="C717" s="330" t="str">
        <v>Adam Faisal Wahib</v>
      </c>
      <c r="D717" s="180" t="s">
        <v>6</v>
      </c>
      <c r="E717" s="106">
        <v>125</v>
      </c>
      <c r="F717" s="329" t="s">
        <v>1992</v>
      </c>
      <c r="G717" s="107">
        <f>E717*1.1</f>
        <v>137.5</v>
      </c>
      <c r="H717" s="353" t="s">
        <v>2066</v>
      </c>
      <c r="I717" s="83" t="str">
        <f>_xlfn.CONCAT(A717,",",D717)</f>
        <v>ME 161,ED1-GEOL</v>
      </c>
      <c r="J717" s="81">
        <v>128</v>
      </c>
    </row>
    <row r="718" spans="1:10">
      <c r="A718" s="180" t="s">
        <v>162</v>
      </c>
      <c r="B718" s="180" t="str">
        <v>ANATOMY AND PHYSIOLOGY FOR ENGINEERS I</v>
      </c>
      <c r="C718" s="123" t="str">
        <v>Agyapong Dorothy Araba Yakoba</v>
      </c>
      <c r="D718" s="180" t="s">
        <v>86</v>
      </c>
      <c r="E718" s="106">
        <v>80</v>
      </c>
      <c r="F718" s="176" t="s">
        <v>2105</v>
      </c>
      <c r="G718" s="107">
        <f>E718*1.1</f>
        <v>88</v>
      </c>
      <c r="H718" s="354" t="s">
        <v>2106</v>
      </c>
      <c r="I718" s="104" t="str">
        <f>_xlfn.CONCAT(A718,",",D718)</f>
        <v>BME 285,ED2-BME</v>
      </c>
      <c r="J718" s="81"/>
    </row>
    <row r="719" spans="1:10">
      <c r="A719" s="180" t="s">
        <v>251</v>
      </c>
      <c r="B719" s="180" t="str">
        <v>MECHANICAL SEPARATION PROCESSES</v>
      </c>
      <c r="C719" s="123" t="str">
        <v>Darkwah Lawrence</v>
      </c>
      <c r="D719" s="180" t="s">
        <v>106</v>
      </c>
      <c r="E719" s="106">
        <v>100</v>
      </c>
      <c r="F719" s="123" t="s">
        <v>1992</v>
      </c>
      <c r="G719" s="107">
        <f>E719*1.1</f>
        <v>110</v>
      </c>
      <c r="H719" s="354" t="s">
        <v>2057</v>
      </c>
      <c r="I719" s="104" t="str">
        <f>_xlfn.CONCAT(A719,",",D719)</f>
        <v>CHE 359,ED3-CHE</v>
      </c>
      <c r="J719" s="81">
        <v>65</v>
      </c>
    </row>
    <row r="720" spans="1:10">
      <c r="A720" s="180" t="s">
        <v>333</v>
      </c>
      <c r="B720" s="180" t="str">
        <v>FORMATION EVALUATION</v>
      </c>
      <c r="C720" s="122" t="str">
        <v>Borkloe Julius Kwame</v>
      </c>
      <c r="D720" s="180" t="s">
        <v>1469</v>
      </c>
      <c r="E720" s="106">
        <v>80</v>
      </c>
      <c r="F720" s="124" t="s">
        <v>2105</v>
      </c>
      <c r="G720" s="107">
        <f>E720*1.1</f>
        <v>88</v>
      </c>
      <c r="H720" s="354" t="s">
        <v>2106</v>
      </c>
      <c r="I720" s="104" t="str">
        <v>PE 363,ED3-PE</v>
      </c>
      <c r="J720" s="81">
        <v>218</v>
      </c>
    </row>
    <row r="721" spans="1:10">
      <c r="A721" s="180" t="s">
        <v>247</v>
      </c>
      <c r="B721" s="180" t="str">
        <v>CLIMATE AND ARCHITECTURE</v>
      </c>
      <c r="C721" s="123" t="str">
        <v>Amos-Abanyie Samuel</v>
      </c>
      <c r="D721" s="180" t="s">
        <v>36</v>
      </c>
      <c r="E721" s="106">
        <v>75</v>
      </c>
      <c r="F721" s="124" t="s">
        <v>414</v>
      </c>
      <c r="G721" s="107">
        <f>E721*1.1</f>
        <v>82.5</v>
      </c>
      <c r="H721" s="354" t="s">
        <v>1979</v>
      </c>
      <c r="I721" s="104" t="str">
        <v>ARC 155,ED1-CE</v>
      </c>
      <c r="J721" s="81">
        <v>37</v>
      </c>
    </row>
    <row r="722" spans="1:10">
      <c r="A722" s="83"/>
      <c r="B722" s="83"/>
      <c r="C722" s="109"/>
      <c r="D722" s="180" t="s">
        <v>408</v>
      </c>
      <c r="E722" s="91">
        <f>SUM(E709:E721)</f>
        <v>1294</v>
      </c>
      <c r="F722" s="109"/>
      <c r="G722" s="83"/>
      <c r="H722" s="353"/>
      <c r="I722" s="104" t="str">
        <v>,Total H3-2</v>
      </c>
      <c r="J722" s="81"/>
    </row>
    <row r="723" spans="1:10">
      <c r="A723" s="83"/>
      <c r="B723" s="83"/>
      <c r="C723" s="109"/>
      <c r="D723" s="83"/>
      <c r="E723" s="83"/>
      <c r="F723" s="109"/>
      <c r="G723" s="83"/>
      <c r="H723" s="353"/>
      <c r="I723" s="104" t="str">
        <v>,</v>
      </c>
    </row>
    <row r="724" spans="1:10">
      <c r="A724" s="83"/>
      <c r="B724" s="83"/>
      <c r="C724" s="109"/>
      <c r="D724" s="83"/>
      <c r="E724" s="83"/>
      <c r="F724" s="109"/>
      <c r="G724" s="83"/>
      <c r="H724" s="353"/>
      <c r="I724" s="104" t="str">
        <v>,</v>
      </c>
    </row>
    <row r="725" spans="1:10">
      <c r="A725" s="364" t="s">
        <v>1462</v>
      </c>
      <c r="B725" s="365"/>
      <c r="C725" s="365"/>
      <c r="D725" s="365"/>
      <c r="E725" s="365"/>
      <c r="F725" s="365"/>
      <c r="G725" s="366"/>
      <c r="H725" s="353"/>
      <c r="I725" s="104" t="str">
        <f>_xlfn.CONCAT(A725,",",D725)</f>
        <v>Thursday, 23 April 2026,</v>
      </c>
      <c r="J725" s="81" t="e">
        <f>#N/A</f>
        <v>#N/A</v>
      </c>
    </row>
    <row r="726" spans="1:10">
      <c r="A726" s="364" t="s">
        <v>413</v>
      </c>
      <c r="B726" s="365"/>
      <c r="C726" s="365"/>
      <c r="D726" s="365"/>
      <c r="E726" s="365"/>
      <c r="F726" s="365"/>
      <c r="G726" s="366"/>
      <c r="H726" s="353"/>
      <c r="I726" s="83" t="str">
        <v>Session, 3 (3:00 PM - 5:00 PM),</v>
      </c>
      <c r="J726" s="81" t="e">
        <f>#N/A</f>
        <v>#N/A</v>
      </c>
    </row>
    <row r="727" spans="1:10">
      <c r="A727" s="111" t="s">
        <v>24</v>
      </c>
      <c r="B727" s="111" t="s">
        <v>25</v>
      </c>
      <c r="C727" s="178" t="s">
        <v>26</v>
      </c>
      <c r="D727" s="111" t="s">
        <v>27</v>
      </c>
      <c r="E727" s="111" t="s">
        <v>266</v>
      </c>
      <c r="F727" s="178" t="s">
        <v>28</v>
      </c>
      <c r="G727" s="111" t="s">
        <v>265</v>
      </c>
      <c r="H727" s="353"/>
      <c r="I727" s="104" t="str">
        <v>CODE ,CLASS</v>
      </c>
      <c r="J727" s="81" t="e">
        <f>#N/A</f>
        <v>#N/A</v>
      </c>
    </row>
    <row r="728" spans="1:10">
      <c r="A728" s="180" t="s">
        <v>348</v>
      </c>
      <c r="B728" s="180" t="str">
        <f>VLOOKUP(I728:I737,Lecturers!A2:G598,6,FALSE)</f>
        <v>VEHICLE AIR-CONDITIONING AND REFRIGERATION</v>
      </c>
      <c r="C728" s="123" t="str">
        <f>VLOOKUP(I728:I737,Lecturers!A2:G598,2,FALSE)</f>
        <v>Sekyere Charles Kofi Kafui</v>
      </c>
      <c r="D728" s="180" t="s">
        <v>112</v>
      </c>
      <c r="E728" s="106">
        <f>IFERROR(VLOOKUP(I728:I737,Lecturers!A2:F596,3,FALSE),0)</f>
        <v>32</v>
      </c>
      <c r="F728" s="175" t="s">
        <v>69</v>
      </c>
      <c r="G728" s="107">
        <f>E728*1.1</f>
        <v>35.2</v>
      </c>
      <c r="H728" s="354" t="s">
        <v>2097</v>
      </c>
      <c r="I728" s="104" t="str">
        <v>AME 455,ED4-AUTO</v>
      </c>
      <c r="J728" s="81">
        <v>39</v>
      </c>
    </row>
    <row r="729" spans="1:10">
      <c r="A729" s="180" t="s">
        <v>349</v>
      </c>
      <c r="B729" s="180" t="str">
        <v>MARINE AIR CONDITIONING AND REFRIGERATION</v>
      </c>
      <c r="C729" s="123" t="str">
        <v>Sekyere Charles Kofi Kafui</v>
      </c>
      <c r="D729" s="180" t="s">
        <v>116</v>
      </c>
      <c r="E729" s="106">
        <v>23</v>
      </c>
      <c r="F729" s="175" t="s">
        <v>44</v>
      </c>
      <c r="G729" s="107">
        <f>E729*1.1</f>
        <v>25.3</v>
      </c>
      <c r="H729" s="354" t="s">
        <v>2098</v>
      </c>
      <c r="I729" s="104" t="str">
        <v>MME 465,ED4-MARI</v>
      </c>
      <c r="J729" s="81">
        <v>23</v>
      </c>
    </row>
    <row r="730" spans="1:10">
      <c r="A730" s="180" t="s">
        <v>76</v>
      </c>
      <c r="B730" s="180" t="str">
        <v>AIR CONDITIONING AND REFRIGERATION</v>
      </c>
      <c r="C730" s="123" t="str">
        <v>Sekyere Charles Kofi Kafui</v>
      </c>
      <c r="D730" s="180" t="s">
        <v>15</v>
      </c>
      <c r="E730" s="106">
        <v>140</v>
      </c>
      <c r="F730" s="175" t="s">
        <v>2045</v>
      </c>
      <c r="G730" s="107">
        <f>E730*1.1</f>
        <v>154</v>
      </c>
      <c r="H730" s="354" t="s">
        <v>2018</v>
      </c>
      <c r="I730" s="104" t="str">
        <f>_xlfn.CONCAT(A730,",",D730)</f>
        <v>ME 465,ED4-ME</v>
      </c>
      <c r="J730" s="81">
        <v>54</v>
      </c>
    </row>
    <row r="731" spans="1:10">
      <c r="A731" s="180" t="s">
        <v>239</v>
      </c>
      <c r="B731" s="180" t="str">
        <v>MACHINE ELEMENTS DESIGN I</v>
      </c>
      <c r="C731" s="123" t="str">
        <v>Davis Francis</v>
      </c>
      <c r="D731" s="180" t="s">
        <v>49</v>
      </c>
      <c r="E731" s="106">
        <v>225</v>
      </c>
      <c r="F731" s="175" t="s">
        <v>2052</v>
      </c>
      <c r="G731" s="107">
        <f>E731*1.1</f>
        <v>247.5</v>
      </c>
      <c r="H731" s="354" t="s">
        <v>2028</v>
      </c>
      <c r="I731" s="104" t="str">
        <v>ME 373,ED3-ME</v>
      </c>
      <c r="J731" s="81"/>
    </row>
    <row r="732" spans="1:10">
      <c r="A732" s="180" t="s">
        <v>171</v>
      </c>
      <c r="B732" s="180" t="str">
        <v>ADVANCED FARM POWER AND MACHINERY</v>
      </c>
      <c r="C732" s="122" t="str">
        <v>Aikins Stephen Hill Mends</v>
      </c>
      <c r="D732" s="180" t="s">
        <v>41</v>
      </c>
      <c r="E732" s="106">
        <v>103</v>
      </c>
      <c r="F732" s="124" t="s">
        <v>2117</v>
      </c>
      <c r="G732" s="107">
        <f>E732*1.1</f>
        <v>113.3</v>
      </c>
      <c r="H732" s="354" t="s">
        <v>2118</v>
      </c>
      <c r="I732" s="104" t="str">
        <v>AE 459,ED4-AE</v>
      </c>
      <c r="J732" s="81">
        <v>83</v>
      </c>
    </row>
    <row r="733" spans="1:10">
      <c r="A733" s="186" t="s">
        <v>158</v>
      </c>
      <c r="B733" s="186" t="str">
        <v>BASIC HYDROLOGY</v>
      </c>
      <c r="C733" s="123" t="str">
        <v>Appiah-Adjei Emmanuel Kwame</v>
      </c>
      <c r="D733" s="186" t="s">
        <v>52</v>
      </c>
      <c r="E733" s="106">
        <v>158</v>
      </c>
      <c r="F733" s="123" t="s">
        <v>2113</v>
      </c>
      <c r="G733" s="107">
        <f>E733*1.1</f>
        <v>173.8</v>
      </c>
      <c r="H733" s="354" t="s">
        <v>2115</v>
      </c>
      <c r="I733" s="104" t="str">
        <v>GED 357,ED3-GEOL</v>
      </c>
      <c r="J733" s="81">
        <v>178</v>
      </c>
    </row>
    <row r="734" spans="1:10">
      <c r="A734" s="180" t="s">
        <v>93</v>
      </c>
      <c r="B734" s="180" t="str">
        <v>CARTOGRAPHY I</v>
      </c>
      <c r="C734" s="123" t="str">
        <v>Quaye-Ballard Jonathan Arthur</v>
      </c>
      <c r="D734" s="180" t="s">
        <v>10</v>
      </c>
      <c r="E734" s="106">
        <v>100</v>
      </c>
      <c r="F734" s="123" t="s">
        <v>1990</v>
      </c>
      <c r="G734" s="107">
        <f>E734*1.1</f>
        <v>110</v>
      </c>
      <c r="H734" s="353" t="s">
        <v>2039</v>
      </c>
      <c r="I734" s="104" t="str">
        <f>_xlfn.CONCAT(A734,",",D734)</f>
        <v>GE 151,ED1-GEOM</v>
      </c>
      <c r="J734" s="81">
        <v>107</v>
      </c>
    </row>
    <row ht="17.25" customHeight="1" r="735" spans="1:10">
      <c r="A735" s="180" t="s">
        <v>248</v>
      </c>
      <c r="B735" s="180" t="str">
        <v>C PROGRAMMING</v>
      </c>
      <c r="C735" s="123" t="str">
        <v>Adjei Prince Ebenezer</v>
      </c>
      <c r="D735" s="180" t="s">
        <v>98</v>
      </c>
      <c r="E735" s="106">
        <v>340</v>
      </c>
      <c r="F735" s="325" t="s">
        <v>2111</v>
      </c>
      <c r="G735" s="107">
        <f>E735*1.1</f>
        <v>374</v>
      </c>
      <c r="H735" s="353" t="s">
        <v>2112</v>
      </c>
      <c r="I735" s="83" t="str">
        <f>_xlfn.CONCAT(A735,",",D735)</f>
        <v>COE 251,ED2-EE</v>
      </c>
      <c r="J735" s="81">
        <v>255</v>
      </c>
    </row>
    <row r="736" spans="1:10" s="136" customFormat="1">
      <c r="A736" s="181" t="s">
        <v>1477</v>
      </c>
      <c r="B736" s="181" t="str">
        <v>AVIATION COMMUNICATION</v>
      </c>
      <c r="C736" s="126" t="str">
        <v>Obeng Kwakye Kingsford Sarkodie</v>
      </c>
      <c r="D736" s="181" t="s">
        <v>117</v>
      </c>
      <c r="E736" s="108">
        <v>83</v>
      </c>
      <c r="F736" s="132" t="s">
        <v>2119</v>
      </c>
      <c r="G736" s="138">
        <f>E736*1.1</f>
        <v>91.3</v>
      </c>
      <c r="H736" s="357" t="s">
        <v>2120</v>
      </c>
      <c r="I736" s="139" t="str">
        <f>_xlfn.CONCAT(A736,",",D736)</f>
        <v>TE 463,ED4-TEL</v>
      </c>
      <c r="J736" s="81" t="e">
        <f>#N/A</f>
        <v>#N/A</v>
      </c>
    </row>
    <row r="737" spans="1:12">
      <c r="A737" s="180" t="s">
        <v>385</v>
      </c>
      <c r="B737" s="180" t="str">
        <v>BASIC SHIP STRUCTURE</v>
      </c>
      <c r="C737" s="123" t="str">
        <v>Andoh Prince Yaw</v>
      </c>
      <c r="D737" s="180" t="s">
        <v>109</v>
      </c>
      <c r="E737" s="106">
        <v>40</v>
      </c>
      <c r="F737" s="176" t="s">
        <v>277</v>
      </c>
      <c r="G737" s="107">
        <f>E737*1.1</f>
        <v>44</v>
      </c>
      <c r="H737" s="354" t="s">
        <v>2001</v>
      </c>
      <c r="I737" s="104" t="str">
        <v>MME 355,ED3-MARI</v>
      </c>
      <c r="J737" s="81">
        <v>107</v>
      </c>
    </row>
    <row r="738" spans="1:12">
      <c r="A738" s="83"/>
      <c r="B738" s="83"/>
      <c r="C738" s="109"/>
      <c r="D738" s="180" t="s">
        <v>409</v>
      </c>
      <c r="E738" s="91">
        <f>SUM(E728:E737)</f>
        <v>1244</v>
      </c>
      <c r="F738" s="109"/>
      <c r="G738" s="83"/>
      <c r="H738" s="353"/>
      <c r="I738" s="104" t="str">
        <v>,Total H3-3</v>
      </c>
      <c r="J738" s="81" t="e">
        <f>#N/A</f>
        <v>#N/A</v>
      </c>
    </row>
    <row r="739" spans="1:12">
      <c r="A739" s="83"/>
      <c r="B739" s="83"/>
      <c r="C739" s="109"/>
      <c r="D739" s="83"/>
      <c r="E739" s="83"/>
      <c r="F739" s="109"/>
      <c r="G739" s="83"/>
      <c r="H739" s="353"/>
      <c r="I739" s="104" t="str">
        <v>,</v>
      </c>
    </row>
    <row r="740" spans="1:12">
      <c r="A740" s="83"/>
      <c r="B740" s="83"/>
      <c r="C740" s="109"/>
      <c r="D740" s="83"/>
      <c r="E740" s="83"/>
      <c r="F740" s="109"/>
      <c r="G740" s="83"/>
      <c r="H740" s="353"/>
      <c r="I740" s="104" t="str">
        <v>,</v>
      </c>
    </row>
    <row r="741" spans="1:12">
      <c r="A741" s="363" t="s">
        <v>1463</v>
      </c>
      <c r="B741" s="363"/>
      <c r="C741" s="363"/>
      <c r="D741" s="363"/>
      <c r="E741" s="363"/>
      <c r="F741" s="363"/>
      <c r="G741" s="363"/>
      <c r="H741" s="353"/>
      <c r="I741" s="83" t="str">
        <v>Friday, 24 April 2026,</v>
      </c>
      <c r="J741" s="81" t="e">
        <f>#N/A</f>
        <v>#N/A</v>
      </c>
    </row>
    <row r="742" spans="1:12">
      <c r="A742" s="364" t="s">
        <v>411</v>
      </c>
      <c r="B742" s="365"/>
      <c r="C742" s="365"/>
      <c r="D742" s="365"/>
      <c r="E742" s="365"/>
      <c r="F742" s="365"/>
      <c r="G742" s="366"/>
      <c r="H742" s="353"/>
      <c r="I742" s="83" t="str">
        <v>Session, 1 (8:30 AM - 10:30 AM),</v>
      </c>
      <c r="J742" s="105"/>
      <c r="L742" s="105" t="s">
        <v>379</v>
      </c>
    </row>
    <row r="743" spans="1:12">
      <c r="A743" s="111" t="s">
        <v>24</v>
      </c>
      <c r="B743" s="111" t="s">
        <v>25</v>
      </c>
      <c r="C743" s="178" t="s">
        <v>26</v>
      </c>
      <c r="D743" s="111" t="s">
        <v>27</v>
      </c>
      <c r="E743" s="111" t="s">
        <v>266</v>
      </c>
      <c r="F743" s="178" t="s">
        <v>28</v>
      </c>
      <c r="G743" s="111" t="s">
        <v>265</v>
      </c>
      <c r="H743" s="353"/>
      <c r="I743" s="104" t="str">
        <v>CODE ,CLASS</v>
      </c>
      <c r="J743" s="81" t="e">
        <f>#N/A</f>
        <v>#N/A</v>
      </c>
    </row>
    <row r="744" spans="1:12">
      <c r="A744" s="180" t="s">
        <v>210</v>
      </c>
      <c r="B744" s="180" t="str">
        <f>VLOOKUP(I744:I753,Lecturers!A2:G598,6,FALSE)</f>
        <v>CLASSICAL CONTROL SYSTEMS</v>
      </c>
      <c r="C744" s="122" t="str">
        <f>VLOOKUP(I744:I753,Lecturers!A2:G598,2,FALSE)</f>
        <v>Opoku Daniel</v>
      </c>
      <c r="D744" s="180" t="s">
        <v>53</v>
      </c>
      <c r="E744" s="106">
        <f>IFERROR(VLOOKUP(I744:I753,Lecturers!A2:F596,3,FALSE),0)</f>
        <v>250</v>
      </c>
      <c r="F744" s="124" t="s">
        <v>2027</v>
      </c>
      <c r="G744" s="107">
        <f>E744*1.1</f>
        <v>275</v>
      </c>
      <c r="H744" s="353" t="s">
        <v>2121</v>
      </c>
      <c r="I744" s="104" t="str">
        <v>EE 387,ED3-EE</v>
      </c>
      <c r="J744" s="81">
        <v>294</v>
      </c>
    </row>
    <row r="745" spans="1:12">
      <c r="A745" s="180" t="s">
        <v>138</v>
      </c>
      <c r="B745" s="180" t="str">
        <v>BIOCHEMICAL TECHNOLOGY</v>
      </c>
      <c r="C745" s="122" t="str">
        <v>Ankudey Emmanuel Godwin</v>
      </c>
      <c r="D745" s="180" t="s">
        <v>78</v>
      </c>
      <c r="E745" s="106">
        <v>33</v>
      </c>
      <c r="F745" s="124" t="s">
        <v>81</v>
      </c>
      <c r="G745" s="107">
        <f>E745*1.1</f>
        <v>36.3</v>
      </c>
      <c r="H745" s="353" t="s">
        <v>2114</v>
      </c>
      <c r="I745" s="83" t="str">
        <f>_xlfn.CONCAT(A745,",",D745)</f>
        <v>CHE 467,ED4-CHE</v>
      </c>
      <c r="J745" s="81">
        <v>129</v>
      </c>
    </row>
    <row r="746" spans="1:12">
      <c r="A746" s="180" t="s">
        <v>328</v>
      </c>
      <c r="B746" s="180" t="str">
        <v>COMPUTER PROGRAMMING FOR ENGINEERS</v>
      </c>
      <c r="C746" s="122" t="str">
        <v>Tay Godwin Fabiola Kwaku</v>
      </c>
      <c r="D746" s="180" t="s">
        <v>2</v>
      </c>
      <c r="E746" s="106">
        <v>85</v>
      </c>
      <c r="F746" s="323" t="s">
        <v>2067</v>
      </c>
      <c r="G746" s="107">
        <f>E746*1.1</f>
        <v>93.5</v>
      </c>
      <c r="H746" s="354" t="s">
        <v>2125</v>
      </c>
      <c r="I746" s="104" t="str">
        <v>AME 167,ED1-AUTO</v>
      </c>
      <c r="J746" s="81">
        <v>43</v>
      </c>
    </row>
    <row r="747" spans="1:12">
      <c r="A747" s="180" t="s">
        <v>221</v>
      </c>
      <c r="B747" s="180" t="str">
        <v>CHEMICAL PROCESS CALCULATIONS I</v>
      </c>
      <c r="C747" s="123" t="str">
        <v>Rockson Mizpah Ama Dziedzorm</v>
      </c>
      <c r="D747" s="180" t="s">
        <v>39</v>
      </c>
      <c r="E747" s="106">
        <v>157</v>
      </c>
      <c r="F747" s="123" t="s">
        <v>2074</v>
      </c>
      <c r="G747" s="107">
        <f>E747*1.1</f>
        <v>172.7</v>
      </c>
      <c r="H747" s="353" t="s">
        <v>2075</v>
      </c>
      <c r="I747" s="104" t="str">
        <f>_xlfn.CONCAT(A747,",",D747)</f>
        <v>CHE 251,ED2-CHE</v>
      </c>
      <c r="J747" s="81">
        <v>218</v>
      </c>
    </row>
    <row r="748" spans="1:12">
      <c r="A748" s="180" t="s">
        <v>221</v>
      </c>
      <c r="B748" s="180" t="str">
        <v>CHEMICAL PROCESS CALCULATIONS I</v>
      </c>
      <c r="C748" s="123" t="str">
        <v>Ohemeng-Boahen Godfred</v>
      </c>
      <c r="D748" s="180" t="s">
        <v>40</v>
      </c>
      <c r="E748" s="106">
        <v>65</v>
      </c>
      <c r="F748" s="123" t="s">
        <v>414</v>
      </c>
      <c r="G748" s="107">
        <f>E748*1.1</f>
        <v>71.5</v>
      </c>
      <c r="H748" s="354" t="s">
        <v>2049</v>
      </c>
      <c r="I748" s="104" t="str">
        <f>_xlfn.CONCAT(A748,",",D748)</f>
        <v>CHE 251,ED2-PCE</v>
      </c>
      <c r="J748" s="81">
        <v>233</v>
      </c>
    </row>
    <row r="749" spans="1:12">
      <c r="A749" s="180" t="s">
        <v>329</v>
      </c>
      <c r="B749" s="180" t="str">
        <v>SOIL AND WATER ENGINEERING</v>
      </c>
      <c r="C749" s="122" t="str">
        <v>Kyei-Baffour Nicholas</v>
      </c>
      <c r="D749" s="180" t="s">
        <v>50</v>
      </c>
      <c r="E749" s="106">
        <v>100</v>
      </c>
      <c r="F749" s="323" t="s">
        <v>1990</v>
      </c>
      <c r="G749" s="107">
        <f>E749*1.1</f>
        <v>110</v>
      </c>
      <c r="H749" s="354" t="s">
        <v>2039</v>
      </c>
      <c r="I749" s="104" t="str">
        <f>_xlfn.CONCAT(A749,",",D749)</f>
        <v>AE 351,ED3-AE</v>
      </c>
      <c r="J749" s="81">
        <v>142</v>
      </c>
    </row>
    <row r="750" spans="1:12">
      <c r="A750" s="180" t="s">
        <v>149</v>
      </c>
      <c r="B750" s="180" t="str">
        <v>LAND AND GEOGRAPHIC INFORMATION SYSTEM I</v>
      </c>
      <c r="C750" s="122" t="str">
        <v>Forkuo Eric Kwabena</v>
      </c>
      <c r="D750" s="180" t="s">
        <v>58</v>
      </c>
      <c r="E750" s="106">
        <v>93</v>
      </c>
      <c r="F750" s="123" t="s">
        <v>1990</v>
      </c>
      <c r="G750" s="107">
        <f>E750*1.1</f>
        <v>102.3</v>
      </c>
      <c r="H750" s="354" t="s">
        <v>2080</v>
      </c>
      <c r="I750" s="104" t="str">
        <f>_xlfn.CONCAT(A750,",",D750)</f>
        <v>GE 463,ED4-GEOM</v>
      </c>
      <c r="J750" s="81">
        <v>86</v>
      </c>
    </row>
    <row r="751" spans="1:12" s="136" customFormat="1">
      <c r="A751" s="181" t="s">
        <v>322</v>
      </c>
      <c r="B751" s="181" t="str">
        <v>SPECIAL ELECTRICAL MACHINES</v>
      </c>
      <c r="C751" s="338" t="str">
        <v>Kwegyir Daniel</v>
      </c>
      <c r="D751" s="181" t="s">
        <v>114</v>
      </c>
      <c r="E751" s="108">
        <v>157</v>
      </c>
      <c r="F751" s="129" t="s">
        <v>2123</v>
      </c>
      <c r="G751" s="138">
        <f>E751*1.1</f>
        <v>172.7</v>
      </c>
      <c r="H751" s="355" t="s">
        <v>2124</v>
      </c>
      <c r="I751" s="139" t="str">
        <v>EE 463,ED4-EE</v>
      </c>
      <c r="J751" s="81"/>
    </row>
    <row r="752" spans="1:12" s="105" customFormat="1">
      <c r="A752" s="180" t="s">
        <v>457</v>
      </c>
      <c r="B752" s="180" t="str">
        <v>ENGINEERING AND ENVIRONMENTAL GEOPHYSICS</v>
      </c>
      <c r="C752" s="122" t="str">
        <v>Owusu-Nimo Frederick</v>
      </c>
      <c r="D752" s="180" t="s">
        <v>19</v>
      </c>
      <c r="E752" s="106">
        <v>95</v>
      </c>
      <c r="F752" s="176" t="s">
        <v>2126</v>
      </c>
      <c r="G752" s="107">
        <f>1.1*E752</f>
        <v>104.5</v>
      </c>
      <c r="H752" s="354" t="s">
        <v>2127</v>
      </c>
      <c r="I752" s="105" t="str">
        <f>CONCATENATE(A752,",",D752)</f>
        <v>CE 479,ED4-CE</v>
      </c>
      <c r="J752" s="102"/>
    </row>
    <row r="753" spans="1:10">
      <c r="A753" s="180" t="s">
        <v>222</v>
      </c>
      <c r="B753" s="180" t="str">
        <v>AERODYNAMICS I</v>
      </c>
      <c r="C753" s="123" t="str">
        <v>Bofah Kwasi Kete</v>
      </c>
      <c r="D753" s="180" t="s">
        <v>48</v>
      </c>
      <c r="E753" s="106">
        <v>76</v>
      </c>
      <c r="F753" s="124" t="s">
        <v>431</v>
      </c>
      <c r="G753" s="107">
        <f>E753*1.1</f>
        <v>83.6</v>
      </c>
      <c r="H753" s="353" t="s">
        <v>2047</v>
      </c>
      <c r="I753" s="104" t="str">
        <v>AERO 351,ED3-AERO</v>
      </c>
      <c r="J753" s="81">
        <v>153</v>
      </c>
    </row>
    <row r="754" spans="1:10">
      <c r="A754" s="83"/>
      <c r="B754" s="83"/>
      <c r="C754" s="109"/>
      <c r="D754" s="180" t="s">
        <v>355</v>
      </c>
      <c r="E754" s="91">
        <f>SUM(E744:E753)</f>
        <v>1111</v>
      </c>
      <c r="F754" s="109"/>
      <c r="G754" s="83"/>
      <c r="H754" s="353"/>
      <c r="I754" s="104" t="str">
        <v>,Total F3-1</v>
      </c>
      <c r="J754" s="81" t="e">
        <f>#N/A</f>
        <v>#N/A</v>
      </c>
    </row>
    <row r="755" spans="1:10">
      <c r="A755" s="83"/>
      <c r="B755" s="83"/>
      <c r="C755" s="109"/>
      <c r="D755" s="83"/>
      <c r="E755" s="83"/>
      <c r="F755" s="109"/>
      <c r="G755" s="83"/>
      <c r="H755" s="353"/>
      <c r="I755" s="104" t="str">
        <v>,</v>
      </c>
    </row>
    <row r="756" spans="1:10">
      <c r="A756" s="363" t="s">
        <v>1463</v>
      </c>
      <c r="B756" s="363"/>
      <c r="C756" s="363"/>
      <c r="D756" s="363"/>
      <c r="E756" s="363"/>
      <c r="F756" s="363"/>
      <c r="G756" s="363"/>
      <c r="H756" s="353"/>
      <c r="I756" s="83" t="str">
        <f>_xlfn.CONCAT(A756,",",D756)</f>
        <v>Friday, 24 April 2026,</v>
      </c>
      <c r="J756" s="81" t="e">
        <f>#N/A</f>
        <v>#N/A</v>
      </c>
    </row>
    <row r="757" spans="1:10" s="105" customFormat="1">
      <c r="A757" s="364" t="s">
        <v>412</v>
      </c>
      <c r="B757" s="365"/>
      <c r="C757" s="365"/>
      <c r="D757" s="365"/>
      <c r="E757" s="365"/>
      <c r="F757" s="365"/>
      <c r="G757" s="366"/>
      <c r="H757" s="353"/>
      <c r="I757" s="83" t="str">
        <v>Session, 2 (12:00 PM - 2:00 PM),</v>
      </c>
      <c r="J757" s="81" t="e">
        <f>#N/A</f>
        <v>#N/A</v>
      </c>
    </row>
    <row r="758" spans="1:10">
      <c r="A758" s="111" t="s">
        <v>24</v>
      </c>
      <c r="B758" s="111" t="s">
        <v>25</v>
      </c>
      <c r="C758" s="179" t="s">
        <v>26</v>
      </c>
      <c r="D758" s="111" t="s">
        <v>27</v>
      </c>
      <c r="E758" s="111" t="s">
        <v>266</v>
      </c>
      <c r="F758" s="178" t="s">
        <v>28</v>
      </c>
      <c r="G758" s="111" t="s">
        <v>265</v>
      </c>
      <c r="H758" s="353"/>
      <c r="I758" s="104" t="str">
        <v>CODE ,CLASS</v>
      </c>
      <c r="J758" s="81" t="e">
        <f>#N/A</f>
        <v>#N/A</v>
      </c>
    </row>
    <row r="759" spans="1:10">
      <c r="A759" s="180" t="s">
        <v>383</v>
      </c>
      <c r="B759" s="180" t="str">
        <f>VLOOKUP(I759:I774,Lecturers!A2:G598,6,FALSE)</f>
        <v>FINANCIAL ACCOUNTING I</v>
      </c>
      <c r="C759" s="123" t="str">
        <f>VLOOKUP(I759:I774,Lecturers!A2:G598,2,FALSE)</f>
        <v>Yeboah Edward</v>
      </c>
      <c r="D759" s="180" t="s">
        <v>6</v>
      </c>
      <c r="E759" s="106">
        <f>IFERROR(VLOOKUP(I759:I774,Lecturers!A2:F596,3,FALSE),0)</f>
        <v>5</v>
      </c>
      <c r="F759" s="123" t="s">
        <v>20</v>
      </c>
      <c r="G759" s="107">
        <f>E759*1.1</f>
        <v>5.5</v>
      </c>
      <c r="H759" s="354" t="s">
        <v>2122</v>
      </c>
      <c r="I759" s="104" t="str">
        <v>ACF 255,ED1-GEOL</v>
      </c>
      <c r="J759" s="81">
        <v>124</v>
      </c>
    </row>
    <row r="760" spans="1:10">
      <c r="A760" s="180" t="s">
        <v>383</v>
      </c>
      <c r="B760" s="180" t="str">
        <v>FINANCIAL ACCOUNTING I</v>
      </c>
      <c r="C760" s="122" t="str">
        <v>Yeboah Edward</v>
      </c>
      <c r="D760" s="180" t="s">
        <v>87</v>
      </c>
      <c r="E760" s="106">
        <v>70</v>
      </c>
      <c r="F760" s="122" t="s">
        <v>431</v>
      </c>
      <c r="G760" s="107">
        <f>E760*1.1</f>
        <v>77</v>
      </c>
      <c r="H760" s="354" t="s">
        <v>2131</v>
      </c>
      <c r="I760" s="104" t="str">
        <f>_xlfn.CONCAT(A760,",",D760)</f>
        <v>ACF 255,ED2-COE</v>
      </c>
      <c r="J760" s="81">
        <v>57</v>
      </c>
    </row>
    <row r="761" spans="1:10">
      <c r="A761" s="180" t="s">
        <v>383</v>
      </c>
      <c r="B761" s="180" t="str">
        <v>FINANCIAL ACCOUNTING I</v>
      </c>
      <c r="C761" s="122" t="str">
        <v>Yeboah Edward</v>
      </c>
      <c r="D761" s="180" t="s">
        <v>99</v>
      </c>
      <c r="E761" s="106">
        <v>38</v>
      </c>
      <c r="F761" s="122" t="s">
        <v>12</v>
      </c>
      <c r="G761" s="107">
        <f>E761*1.1</f>
        <v>41.8</v>
      </c>
      <c r="H761" s="354" t="s">
        <v>2128</v>
      </c>
      <c r="I761" s="104" t="str">
        <v>ACF 255,ED2-TEL</v>
      </c>
      <c r="J761" s="81">
        <v>29</v>
      </c>
    </row>
    <row r="762" spans="1:10">
      <c r="A762" s="180" t="s">
        <v>383</v>
      </c>
      <c r="B762" s="180" t="str">
        <v>FINANCIAL ACCOUNTING I</v>
      </c>
      <c r="C762" s="122" t="str">
        <v>Yeboah Edward</v>
      </c>
      <c r="D762" s="180" t="s">
        <v>104</v>
      </c>
      <c r="E762" s="106">
        <v>13</v>
      </c>
      <c r="F762" s="123" t="s">
        <v>34</v>
      </c>
      <c r="G762" s="107">
        <f>E762*1.1</f>
        <v>14.3</v>
      </c>
      <c r="H762" s="354" t="s">
        <v>2129</v>
      </c>
      <c r="I762" s="104" t="str">
        <v>ACF 255,ED2-MSE</v>
      </c>
      <c r="J762" s="81">
        <v>9</v>
      </c>
    </row>
    <row r="763" spans="1:10">
      <c r="A763" s="180" t="s">
        <v>383</v>
      </c>
      <c r="B763" s="180" t="str">
        <v>FINANCIAL ACCOUNTING I</v>
      </c>
      <c r="C763" s="122" t="str">
        <v>Yeboah Edward</v>
      </c>
      <c r="D763" s="180" t="s">
        <v>107</v>
      </c>
      <c r="E763" s="106">
        <v>38</v>
      </c>
      <c r="F763" s="123" t="s">
        <v>92</v>
      </c>
      <c r="G763" s="107">
        <f>E763*1.1</f>
        <v>41.8</v>
      </c>
      <c r="H763" s="354" t="s">
        <v>2128</v>
      </c>
      <c r="I763" s="104" t="str">
        <v>ACF 255,ED3-GEOM</v>
      </c>
      <c r="J763" s="81">
        <v>47</v>
      </c>
    </row>
    <row r="764" spans="1:10">
      <c r="A764" s="180" t="s">
        <v>383</v>
      </c>
      <c r="B764" s="180" t="str">
        <v>FINANCIAL ACCOUNTING I</v>
      </c>
      <c r="C764" s="122" t="str">
        <v>Yeboah Edward</v>
      </c>
      <c r="D764" s="180" t="s">
        <v>86</v>
      </c>
      <c r="E764" s="106">
        <v>18</v>
      </c>
      <c r="F764" s="123" t="s">
        <v>67</v>
      </c>
      <c r="G764" s="107">
        <f>E764*1.1</f>
        <v>19.8</v>
      </c>
      <c r="H764" s="354" t="s">
        <v>2130</v>
      </c>
      <c r="I764" s="104" t="str">
        <v>ACF 255,ED2-BME</v>
      </c>
      <c r="J764" s="81"/>
    </row>
    <row r="765" spans="1:10">
      <c r="A765" s="180" t="s">
        <v>242</v>
      </c>
      <c r="B765" s="180" t="str">
        <v>INTRODUCTION TO INFORMATION TECHNOLOGY</v>
      </c>
      <c r="C765" s="122" t="str">
        <v>Sackey Michael Nii</v>
      </c>
      <c r="D765" s="180" t="s">
        <v>1</v>
      </c>
      <c r="E765" s="106">
        <v>70</v>
      </c>
      <c r="F765" s="175" t="s">
        <v>414</v>
      </c>
      <c r="G765" s="107">
        <f>E765*1.1</f>
        <v>77</v>
      </c>
      <c r="H765" s="354" t="s">
        <v>2131</v>
      </c>
      <c r="I765" s="104" t="str">
        <v>ME 157,ED1-AERO</v>
      </c>
      <c r="J765" s="81">
        <v>72</v>
      </c>
    </row>
    <row r="766" spans="1:10">
      <c r="A766" s="180" t="s">
        <v>242</v>
      </c>
      <c r="B766" s="180" t="str">
        <v>INTRODUCTION TO INFORMATION TECHNOLOGY</v>
      </c>
      <c r="C766" s="122" t="str">
        <v>Sackey Michael Nii</v>
      </c>
      <c r="D766" s="180" t="s">
        <v>9</v>
      </c>
      <c r="E766" s="106">
        <v>226</v>
      </c>
      <c r="F766" s="175" t="s">
        <v>2027</v>
      </c>
      <c r="G766" s="107">
        <f>E766*1.1</f>
        <v>248.6</v>
      </c>
      <c r="H766" s="354" t="s">
        <v>2137</v>
      </c>
      <c r="I766" s="104" t="str">
        <v>ME 157,ED1-ME</v>
      </c>
      <c r="J766" s="81">
        <v>166</v>
      </c>
    </row>
    <row r="767" spans="1:10">
      <c r="A767" s="180" t="s">
        <v>242</v>
      </c>
      <c r="B767" s="180" t="str">
        <v>INTRODUCTION TO INFORMATION TECHNOLOGY</v>
      </c>
      <c r="C767" s="122" t="str">
        <v>Sekyere Charles Kofi Kafui</v>
      </c>
      <c r="D767" s="180" t="s">
        <v>5</v>
      </c>
      <c r="E767" s="106">
        <v>46</v>
      </c>
      <c r="F767" s="175" t="s">
        <v>381</v>
      </c>
      <c r="G767" s="107">
        <f>E767*1.1</f>
        <v>50.6</v>
      </c>
      <c r="H767" s="354" t="s">
        <v>2132</v>
      </c>
      <c r="I767" s="104" t="str">
        <v>ME 157,ED1-MARI</v>
      </c>
      <c r="J767" s="81">
        <v>166</v>
      </c>
    </row>
    <row r="768" spans="1:10">
      <c r="A768" s="180" t="s">
        <v>242</v>
      </c>
      <c r="B768" s="180" t="str">
        <v>INTRODUCTION TO INFORMATION TECHNOLOGY</v>
      </c>
      <c r="C768" s="122" t="str">
        <v>Sekyere Charles Kofi Kafui</v>
      </c>
      <c r="D768" s="180" t="s">
        <v>3</v>
      </c>
      <c r="E768" s="106">
        <v>83</v>
      </c>
      <c r="F768" s="175" t="s">
        <v>2022</v>
      </c>
      <c r="G768" s="107">
        <f>E768*1.1</f>
        <v>91.3</v>
      </c>
      <c r="H768" s="354" t="s">
        <v>2135</v>
      </c>
      <c r="I768" s="104" t="str">
        <v>ME 157,ED1-IND</v>
      </c>
      <c r="J768" s="81">
        <v>69</v>
      </c>
    </row>
    <row r="769" spans="1:10">
      <c r="A769" s="180" t="s">
        <v>188</v>
      </c>
      <c r="B769" s="180" t="str">
        <v>INTRODUCTION TO INFORMATION TECHNOLOGY</v>
      </c>
      <c r="C769" s="123" t="str">
        <v>Okae James</v>
      </c>
      <c r="D769" s="180" t="s">
        <v>35</v>
      </c>
      <c r="E769" s="106">
        <v>100</v>
      </c>
      <c r="F769" s="124" t="s">
        <v>1990</v>
      </c>
      <c r="G769" s="107">
        <f>E769*1.1</f>
        <v>110</v>
      </c>
      <c r="H769" s="353" t="s">
        <v>2039</v>
      </c>
      <c r="I769" s="83" t="str">
        <f>_xlfn.CONCAT(A769,",",D769)</f>
        <v>MSE 153,ED1-MSE</v>
      </c>
      <c r="J769" s="81">
        <v>69</v>
      </c>
    </row>
    <row r="770" spans="1:10" s="112" customFormat="1">
      <c r="A770" s="112" t="s">
        <v>188</v>
      </c>
      <c r="B770" s="112" t="str">
        <v>INTRODUCTION TO INFORMATION TECHNOLOGY</v>
      </c>
      <c r="C770" s="176" t="str">
        <v>Okae James</v>
      </c>
      <c r="D770" s="112" t="s">
        <v>11</v>
      </c>
      <c r="E770" s="112">
        <v>75</v>
      </c>
      <c r="F770" s="175" t="s">
        <v>414</v>
      </c>
      <c r="G770" s="107">
        <f>E770*1.1</f>
        <v>82.5</v>
      </c>
      <c r="H770" s="354" t="s">
        <v>1979</v>
      </c>
      <c r="I770" s="112" t="str">
        <f>_xlfn.CONCAT(A770,",",D770)</f>
        <v>MSE 153,ED1-METE</v>
      </c>
    </row>
    <row r="771" spans="1:10">
      <c r="A771" s="180" t="s">
        <v>66</v>
      </c>
      <c r="B771" s="180" t="str">
        <v>RESEARCH METHODS</v>
      </c>
      <c r="C771" s="123" t="str">
        <v>Acquah Isaac</v>
      </c>
      <c r="D771" s="180" t="s">
        <v>56</v>
      </c>
      <c r="E771" s="106">
        <v>90</v>
      </c>
      <c r="F771" s="176" t="s">
        <v>1990</v>
      </c>
      <c r="G771" s="107">
        <f>E771*1.1</f>
        <v>99</v>
      </c>
      <c r="H771" s="353" t="s">
        <v>2133</v>
      </c>
      <c r="I771" s="104" t="str">
        <f>_xlfn.CONCAT(A771,",",D771)</f>
        <v>BME 397,ED3-BME</v>
      </c>
      <c r="J771" s="81">
        <v>71</v>
      </c>
    </row>
    <row r="772" spans="1:10">
      <c r="A772" s="180" t="s">
        <v>263</v>
      </c>
      <c r="B772" s="180" t="str">
        <v>PRACTICAL CHEMISTRY I</v>
      </c>
      <c r="C772" s="123" t="str">
        <v>Opoku Francis</v>
      </c>
      <c r="D772" s="180" t="s">
        <v>8</v>
      </c>
      <c r="E772" s="106">
        <v>120</v>
      </c>
      <c r="F772" s="176" t="s">
        <v>2103</v>
      </c>
      <c r="G772" s="107">
        <f>E772*1.1</f>
        <v>132</v>
      </c>
      <c r="H772" s="354" t="s">
        <v>2134</v>
      </c>
      <c r="I772" s="104" t="str">
        <v>CHEM 169,ED1-CHE</v>
      </c>
      <c r="J772" s="81">
        <v>129</v>
      </c>
    </row>
    <row r="773" spans="1:10">
      <c r="A773" s="180" t="s">
        <v>263</v>
      </c>
      <c r="B773" s="180" t="str">
        <v>PRACTICAL CHEMISTRY I</v>
      </c>
      <c r="C773" s="123" t="str">
        <v>Opoku Francis</v>
      </c>
      <c r="D773" s="180" t="s">
        <v>30</v>
      </c>
      <c r="E773" s="106">
        <v>56</v>
      </c>
      <c r="F773" s="176" t="s">
        <v>2138</v>
      </c>
      <c r="G773" s="107">
        <f>E773*1.1</f>
        <v>61.6</v>
      </c>
      <c r="H773" s="354" t="s">
        <v>2095</v>
      </c>
      <c r="I773" s="104" t="str">
        <v>CHEM 169,ED1-PCE</v>
      </c>
      <c r="J773" s="81">
        <v>61</v>
      </c>
    </row>
    <row r="774" spans="1:10">
      <c r="A774" s="180" t="s">
        <v>263</v>
      </c>
      <c r="B774" s="180" t="str">
        <v>PRACTICAL CHEMISTRY I</v>
      </c>
      <c r="C774" s="126" t="str">
        <v>Opoku Francis</v>
      </c>
      <c r="D774" s="180" t="s">
        <v>1467</v>
      </c>
      <c r="E774" s="106">
        <v>130</v>
      </c>
      <c r="F774" s="124" t="s">
        <v>2108</v>
      </c>
      <c r="G774" s="107">
        <f>E774*1.1</f>
        <v>143</v>
      </c>
      <c r="H774" s="354" t="s">
        <v>2136</v>
      </c>
      <c r="I774" s="104" t="str">
        <v>CHEM 169,ED1-PE</v>
      </c>
      <c r="J774" s="81">
        <v>4</v>
      </c>
    </row>
    <row r="775" spans="1:10">
      <c r="A775" s="83"/>
      <c r="B775" s="83"/>
      <c r="C775" s="109"/>
      <c r="D775" s="180" t="s">
        <v>402</v>
      </c>
      <c r="E775" s="91">
        <f>SUM(E759:E774)</f>
        <v>1178</v>
      </c>
      <c r="F775" s="109"/>
      <c r="G775" s="83"/>
      <c r="H775" s="353"/>
      <c r="I775" s="104" t="str">
        <v>,Total T3-2</v>
      </c>
      <c r="J775" s="81"/>
    </row>
    <row r="776" spans="1:10">
      <c r="A776" s="83"/>
      <c r="B776" s="83"/>
      <c r="C776" s="109"/>
      <c r="D776" s="83"/>
      <c r="E776" s="83"/>
      <c r="F776" s="109"/>
      <c r="G776" s="83"/>
      <c r="H776" s="353"/>
      <c r="I776" s="104" t="str">
        <v>,</v>
      </c>
    </row>
    <row r="777" spans="1:10">
      <c r="A777" s="83"/>
      <c r="B777" s="83"/>
      <c r="C777" s="109"/>
      <c r="D777" s="83"/>
      <c r="E777" s="83"/>
      <c r="F777" s="109"/>
      <c r="G777" s="83"/>
      <c r="H777" s="353"/>
      <c r="I777" s="104" t="str">
        <v>,</v>
      </c>
    </row>
    <row r="778" spans="1:10">
      <c r="A778" s="363" t="s">
        <v>1463</v>
      </c>
      <c r="B778" s="363"/>
      <c r="C778" s="363"/>
      <c r="D778" s="363"/>
      <c r="E778" s="363"/>
      <c r="F778" s="363"/>
      <c r="G778" s="363"/>
      <c r="H778" s="353"/>
      <c r="I778" s="83" t="str">
        <f>_xlfn.CONCAT(A778,",",D778)</f>
        <v>Friday, 24 April 2026,</v>
      </c>
      <c r="J778" s="81" t="e">
        <f>#N/A</f>
        <v>#N/A</v>
      </c>
    </row>
    <row r="779" spans="1:10">
      <c r="A779" s="364" t="s">
        <v>413</v>
      </c>
      <c r="B779" s="365"/>
      <c r="C779" s="365"/>
      <c r="D779" s="365"/>
      <c r="E779" s="365"/>
      <c r="F779" s="365"/>
      <c r="G779" s="366"/>
      <c r="H779" s="353"/>
      <c r="I779" s="83" t="str">
        <v>Session, 3 (3:00 PM - 5:00 PM),</v>
      </c>
      <c r="J779" s="81" t="e">
        <f>#N/A</f>
        <v>#N/A</v>
      </c>
    </row>
    <row r="780" spans="1:10">
      <c r="A780" s="111" t="s">
        <v>24</v>
      </c>
      <c r="B780" s="111" t="s">
        <v>25</v>
      </c>
      <c r="C780" s="178" t="s">
        <v>26</v>
      </c>
      <c r="D780" s="111" t="s">
        <v>27</v>
      </c>
      <c r="E780" s="111" t="s">
        <v>266</v>
      </c>
      <c r="F780" s="178" t="s">
        <v>28</v>
      </c>
      <c r="G780" s="111" t="s">
        <v>265</v>
      </c>
      <c r="H780" s="353"/>
      <c r="I780" s="104" t="str">
        <v>CODE ,CLASS</v>
      </c>
      <c r="J780" s="81" t="e">
        <f>#N/A</f>
        <v>#N/A</v>
      </c>
    </row>
    <row r="781" spans="1:10">
      <c r="A781" s="180" t="s">
        <v>323</v>
      </c>
      <c r="B781" s="180" t="str">
        <f>VLOOKUP(I781:I789,Lecturers!A2:G598,6,FALSE)</f>
        <v>STRENGTH OF MATERIALS</v>
      </c>
      <c r="C781" s="123" t="str">
        <f>VLOOKUP(I781:I789,Lecturers!A2:G598,2,FALSE)</f>
        <v>Amponsah Evans</v>
      </c>
      <c r="D781" s="180" t="s">
        <v>84</v>
      </c>
      <c r="E781" s="106">
        <f>IFERROR(VLOOKUP(I781:I789,Lecturers!A2:F596,3,FALSE),0)</f>
        <v>255</v>
      </c>
      <c r="F781" s="124" t="s">
        <v>2052</v>
      </c>
      <c r="G781" s="107">
        <f>E781*1.1</f>
        <v>280.5</v>
      </c>
      <c r="H781" s="354" t="s">
        <v>2028</v>
      </c>
      <c r="I781" s="104" t="str">
        <v>CE 251,ED2-CE</v>
      </c>
      <c r="J781" s="81">
        <v>6</v>
      </c>
    </row>
    <row r="782" spans="1:10">
      <c r="A782" s="180" t="s">
        <v>323</v>
      </c>
      <c r="B782" s="180" t="str">
        <v>STRENGTH OF MATERIALS</v>
      </c>
      <c r="C782" s="123" t="str">
        <v>Kankam Charles Kwame</v>
      </c>
      <c r="D782" s="180" t="s">
        <v>73</v>
      </c>
      <c r="E782" s="106">
        <v>150</v>
      </c>
      <c r="F782" s="124" t="s">
        <v>2045</v>
      </c>
      <c r="G782" s="107">
        <f>E782*1.1</f>
        <v>165</v>
      </c>
      <c r="H782" s="354" t="s">
        <v>2139</v>
      </c>
      <c r="I782" s="104" t="str">
        <v>CE 251,ED2-GEOL</v>
      </c>
      <c r="J782" s="81">
        <v>151</v>
      </c>
    </row>
    <row r="783" spans="1:10" s="105" customFormat="1">
      <c r="A783" s="180" t="s">
        <v>218</v>
      </c>
      <c r="B783" s="180" t="str">
        <v>FIRE AND SAFETY ENGINEERING</v>
      </c>
      <c r="C783" s="122" t="str">
        <v>Momade Zsuzsanna Gál</v>
      </c>
      <c r="D783" s="180" t="s">
        <v>46</v>
      </c>
      <c r="E783" s="106">
        <v>51</v>
      </c>
      <c r="F783" s="176" t="s">
        <v>2141</v>
      </c>
      <c r="G783" s="107">
        <f>1.1*E783</f>
        <v>56.1</v>
      </c>
      <c r="H783" s="354" t="s">
        <v>2142</v>
      </c>
      <c r="I783" s="105" t="str">
        <f>CONCATENATE(A783,",",D783)</f>
        <v>PCE 355,ED3-PCE</v>
      </c>
      <c r="J783" s="102"/>
    </row>
    <row r="784" spans="1:10">
      <c r="A784" s="180" t="s">
        <v>153</v>
      </c>
      <c r="B784" s="180" t="str">
        <v>HYDRAULICS AND PNEUMATICS</v>
      </c>
      <c r="C784" s="122" t="str">
        <v>Fiagbe Yesuenyeagbe Atsu Kwabla</v>
      </c>
      <c r="D784" s="180" t="s">
        <v>112</v>
      </c>
      <c r="E784" s="117">
        <v>32</v>
      </c>
      <c r="F784" s="123" t="s">
        <v>277</v>
      </c>
      <c r="G784" s="107">
        <f>E784*1.1</f>
        <v>35.2</v>
      </c>
      <c r="H784" s="353" t="s">
        <v>2097</v>
      </c>
      <c r="I784" s="104" t="str">
        <f>_xlfn.CONCAT(A784,",",D784)</f>
        <v>ME 453,ED4-AUTO</v>
      </c>
      <c r="J784" s="81">
        <v>39</v>
      </c>
    </row>
    <row r="785" spans="1:10">
      <c r="A785" s="180" t="s">
        <v>153</v>
      </c>
      <c r="B785" s="180" t="str">
        <v>HYDRAULICS AND PNEUMATICS</v>
      </c>
      <c r="C785" s="122" t="str">
        <v>Fiagbe Yesuenyeagbe Atsu Kwabla</v>
      </c>
      <c r="D785" s="180" t="s">
        <v>15</v>
      </c>
      <c r="E785" s="117">
        <v>140</v>
      </c>
      <c r="F785" s="124" t="s">
        <v>2045</v>
      </c>
      <c r="G785" s="107">
        <f>E785*1.1</f>
        <v>154</v>
      </c>
      <c r="H785" s="353" t="s">
        <v>2018</v>
      </c>
      <c r="I785" s="104" t="str">
        <v>ME 453,ED4-ME</v>
      </c>
      <c r="J785" s="81">
        <v>140</v>
      </c>
    </row>
    <row r="786" spans="1:10">
      <c r="A786" s="180" t="s">
        <v>153</v>
      </c>
      <c r="B786" s="180" t="str">
        <v>HYDRAULICS AND PNEUMATICS</v>
      </c>
      <c r="C786" s="122" t="str">
        <v>Fiagbe Yesuenyeagbe Atsu Kwabla</v>
      </c>
      <c r="D786" s="180" t="s">
        <v>116</v>
      </c>
      <c r="E786" s="117">
        <v>23</v>
      </c>
      <c r="F786" s="124">
        <v>303</v>
      </c>
      <c r="G786" s="107">
        <f>E786*1.1</f>
        <v>25.3</v>
      </c>
      <c r="H786" s="353" t="s">
        <v>2098</v>
      </c>
      <c r="I786" s="104" t="str">
        <v>ME 453,ED4-MARI</v>
      </c>
      <c r="J786" s="81">
        <v>140</v>
      </c>
    </row>
    <row r="787" spans="1:10">
      <c r="A787" s="180" t="s">
        <v>128</v>
      </c>
      <c r="B787" s="180" t="str">
        <v>FOUNDRY TECHNOLOGY</v>
      </c>
      <c r="C787" s="122" t="str">
        <v>Bota Osei Sekyere</v>
      </c>
      <c r="D787" s="180" t="s">
        <v>111</v>
      </c>
      <c r="E787" s="106">
        <v>89</v>
      </c>
      <c r="F787" s="124" t="s">
        <v>1990</v>
      </c>
      <c r="G787" s="107">
        <f>E787*1.1</f>
        <v>97.9</v>
      </c>
      <c r="H787" s="354" t="s">
        <v>2140</v>
      </c>
      <c r="I787" s="104" t="str">
        <f>_xlfn.CONCAT(A787,",",D787)</f>
        <v>MSE 357,ED3-MSE</v>
      </c>
      <c r="J787" s="81">
        <v>148</v>
      </c>
    </row>
    <row r="788" spans="1:10">
      <c r="A788" s="180" t="s">
        <v>128</v>
      </c>
      <c r="B788" s="180" t="str">
        <v>FOUNDRY TECHNOLOGY</v>
      </c>
      <c r="C788" s="122" t="str">
        <v>Bota Osei Sekyere</v>
      </c>
      <c r="D788" s="180" t="s">
        <v>110</v>
      </c>
      <c r="E788" s="106">
        <v>87</v>
      </c>
      <c r="F788" s="124" t="s">
        <v>2143</v>
      </c>
      <c r="G788" s="107">
        <f>E788*1.1</f>
        <v>95.7</v>
      </c>
      <c r="H788" s="354" t="s">
        <v>2144</v>
      </c>
      <c r="I788" s="104" t="str">
        <f>_xlfn.CONCAT(A788,",",D788)</f>
        <v>MSE 357,ED3-METE</v>
      </c>
      <c r="J788" s="81">
        <v>143</v>
      </c>
    </row>
    <row r="789" spans="1:10">
      <c r="A789" s="180" t="s">
        <v>157</v>
      </c>
      <c r="B789" s="180" t="str">
        <v>HYDROLOGY</v>
      </c>
      <c r="C789" s="122" t="str">
        <v>Adjei Kwaku Amaning</v>
      </c>
      <c r="D789" s="180" t="s">
        <v>51</v>
      </c>
      <c r="E789" s="106">
        <v>220</v>
      </c>
      <c r="F789" s="124" t="s">
        <v>2027</v>
      </c>
      <c r="G789" s="107">
        <f>E789*1.1</f>
        <v>242</v>
      </c>
      <c r="H789" s="354" t="s">
        <v>2031</v>
      </c>
      <c r="I789" s="104" t="str">
        <v>CE 355,ED3-CE</v>
      </c>
      <c r="J789" s="81">
        <v>147</v>
      </c>
    </row>
    <row r="790" spans="1:10">
      <c r="A790" s="83"/>
      <c r="B790" s="83"/>
      <c r="C790" s="109"/>
      <c r="D790" s="180" t="s">
        <v>403</v>
      </c>
      <c r="E790" s="91">
        <f>SUM(E781:E789)</f>
        <v>1047</v>
      </c>
      <c r="F790" s="109"/>
      <c r="G790" s="83"/>
      <c r="H790" s="353"/>
      <c r="I790" s="104" t="str">
        <v>,Total T3-3</v>
      </c>
      <c r="J790" s="81" t="e">
        <f>#N/A</f>
        <v>#N/A</v>
      </c>
    </row>
    <row r="791" spans="1:10">
      <c r="A791" s="104"/>
      <c r="B791" s="104"/>
      <c r="F791" s="119"/>
      <c r="G791" s="83"/>
      <c r="J791" s="81"/>
    </row>
    <row r="792" spans="1:10">
      <c r="A792" s="104"/>
      <c r="B792" s="104"/>
      <c r="D792" s="104"/>
      <c r="E792" s="83"/>
      <c r="F792" s="119"/>
      <c r="G792" s="83"/>
      <c r="I792" s="104" t="str">
        <f>_xlfn.CONCAT(A792,",",D792)</f>
        <v>,</v>
      </c>
    </row>
    <row ht="14.25" r="793" spans="1:10">
      <c r="C793" s="352"/>
      <c r="E793" s="352"/>
      <c r="F793" s="352"/>
      <c r="G793" s="352"/>
      <c r="I793" s="352"/>
    </row>
    <row ht="14.25" r="794" spans="1:10">
      <c r="C794" s="352"/>
      <c r="E794" s="352"/>
      <c r="F794" s="352"/>
      <c r="G794" s="352"/>
      <c r="I794" s="352"/>
    </row>
    <row r="795" spans="1:10">
      <c r="C795" s="352"/>
      <c r="F795" s="352"/>
      <c r="I795" s="352"/>
    </row>
    <row r="796" spans="1:10">
      <c r="C796" s="352"/>
      <c r="F796" s="352"/>
      <c r="I796" s="352"/>
    </row>
    <row r="797" spans="1:10">
      <c r="C797" s="352"/>
      <c r="F797" s="352"/>
      <c r="I797" s="352"/>
    </row>
    <row r="798" spans="1:10">
      <c r="C798" s="352"/>
      <c r="F798" s="352"/>
      <c r="I798" s="352"/>
    </row>
    <row r="799" spans="1:10">
      <c r="C799" s="352"/>
      <c r="F799" s="352"/>
      <c r="I799" s="352"/>
    </row>
    <row r="800" spans="1:10">
      <c r="C800" s="352"/>
      <c r="F800" s="352"/>
      <c r="I800" s="352"/>
    </row>
    <row r="801" spans="5:8" s="352" customFormat="1">
      <c r="E801" s="105"/>
      <c r="G801" s="105"/>
      <c r="H801" s="359"/>
    </row>
    <row r="802" spans="5:8" s="352" customFormat="1">
      <c r="E802" s="105"/>
      <c r="G802" s="105"/>
      <c r="H802" s="359"/>
    </row>
    <row r="803" spans="5:8" s="352" customFormat="1">
      <c r="E803" s="105"/>
      <c r="G803" s="105"/>
      <c r="H803" s="359"/>
    </row>
    <row r="804" spans="5:8" s="352" customFormat="1">
      <c r="E804" s="105"/>
      <c r="G804" s="105"/>
      <c r="H804" s="359"/>
    </row>
    <row r="805" spans="5:8" s="352" customFormat="1">
      <c r="E805" s="105"/>
      <c r="G805" s="105"/>
      <c r="H805" s="359"/>
    </row>
    <row r="806" spans="5:8" s="352" customFormat="1">
      <c r="E806" s="105"/>
      <c r="G806" s="105"/>
      <c r="H806" s="359"/>
    </row>
    <row r="807" spans="5:8" s="352" customFormat="1">
      <c r="E807" s="105"/>
      <c r="G807" s="105"/>
      <c r="H807" s="359"/>
    </row>
    <row r="808" spans="5:8" s="352" customFormat="1">
      <c r="E808" s="105"/>
      <c r="G808" s="105"/>
      <c r="H808" s="359"/>
    </row>
    <row r="809" spans="5:8" s="352" customFormat="1">
      <c r="E809" s="105"/>
      <c r="G809" s="105"/>
      <c r="H809" s="359"/>
    </row>
    <row r="810" spans="5:8" s="352" customFormat="1">
      <c r="E810" s="105"/>
      <c r="G810" s="105"/>
      <c r="H810" s="359"/>
    </row>
  </sheetData>
  <autoFilter ref="L442"/>
  <mergeCells count="94">
    <mergeCell ref="A779:G779"/>
    <mergeCell ref="A689:G689"/>
    <mergeCell ref="A706:G706"/>
    <mergeCell ref="A725:G725"/>
    <mergeCell ref="A741:G741"/>
    <mergeCell ref="A756:G756"/>
    <mergeCell ref="A778:G778"/>
    <mergeCell ref="A204:G204"/>
    <mergeCell ref="A354:G354"/>
    <mergeCell ref="A355:G355"/>
    <mergeCell ref="A409:G409"/>
    <mergeCell ref="F675:F677"/>
    <mergeCell ref="A428:G428"/>
    <mergeCell ref="A427:G427"/>
    <mergeCell ref="F628:F635"/>
    <mergeCell ref="A588:G588"/>
    <mergeCell ref="A500:G500"/>
    <mergeCell ref="A501:G501"/>
    <mergeCell ref="A625:G625"/>
    <mergeCell ref="A651:G651"/>
    <mergeCell ref="A672:G672"/>
    <mergeCell ref="A606:G606"/>
    <mergeCell ref="A673:G673"/>
    <mergeCell ref="A757:G757"/>
    <mergeCell ref="A269:G269"/>
    <mergeCell ref="A290:G290"/>
    <mergeCell ref="A291:G291"/>
    <mergeCell ref="A304:G304"/>
    <mergeCell ref="A305:G305"/>
    <mergeCell ref="A324:G324"/>
    <mergeCell ref="A338:G338"/>
    <mergeCell ref="A339:G339"/>
    <mergeCell ref="A370:G370"/>
    <mergeCell ref="A526:G526"/>
    <mergeCell ref="A527:G527"/>
    <mergeCell ref="A545:G545"/>
    <mergeCell ref="A546:G546"/>
    <mergeCell ref="A571:G571"/>
    <mergeCell ref="A726:G726"/>
    <mergeCell ref="A3:G3"/>
    <mergeCell ref="A4:G4"/>
    <mergeCell ref="A19:G19"/>
    <mergeCell ref="A20:G20"/>
    <mergeCell ref="A36:G36"/>
    <mergeCell ref="F135:F144"/>
    <mergeCell ref="F256:F258"/>
    <mergeCell ref="F390:F395"/>
    <mergeCell ref="A178:G178"/>
    <mergeCell ref="F373:F374"/>
    <mergeCell ref="A160:G160"/>
    <mergeCell ref="A159:G159"/>
    <mergeCell ref="F180:F186"/>
    <mergeCell ref="A221:G221"/>
    <mergeCell ref="A222:G222"/>
    <mergeCell ref="F271:F272"/>
    <mergeCell ref="A234:G234"/>
    <mergeCell ref="A235:G235"/>
    <mergeCell ref="A253:G253"/>
    <mergeCell ref="A254:G254"/>
    <mergeCell ref="A268:G268"/>
    <mergeCell ref="A37:G37"/>
    <mergeCell ref="A54:G54"/>
    <mergeCell ref="A55:G55"/>
    <mergeCell ref="A71:G71"/>
    <mergeCell ref="A72:G72"/>
    <mergeCell ref="A91:G91"/>
    <mergeCell ref="A132:G132"/>
    <mergeCell ref="A133:G133"/>
    <mergeCell ref="A110:G110"/>
    <mergeCell ref="A111:G111"/>
    <mergeCell ref="A90:G90"/>
    <mergeCell ref="F654:F660"/>
    <mergeCell ref="F503:F508"/>
    <mergeCell ref="A177:G177"/>
    <mergeCell ref="A323:G323"/>
    <mergeCell ref="A205:G205"/>
    <mergeCell ref="A388:G388"/>
    <mergeCell ref="A371:G371"/>
    <mergeCell ref="A387:G387"/>
    <mergeCell ref="A410:G410"/>
    <mergeCell ref="A479:G479"/>
    <mergeCell ref="A441:G441"/>
    <mergeCell ref="A442:G442"/>
    <mergeCell ref="A461:G461"/>
    <mergeCell ref="A462:G462"/>
    <mergeCell ref="A478:G478"/>
    <mergeCell ref="A605:G605"/>
    <mergeCell ref="A572:G572"/>
    <mergeCell ref="A690:G690"/>
    <mergeCell ref="A742:G742"/>
    <mergeCell ref="A626:G626"/>
    <mergeCell ref="A589:G589"/>
    <mergeCell ref="A652:G652"/>
    <mergeCell ref="A707:G707"/>
  </mergeCells>
  <phoneticPr fontId="4" type="noConversion"/>
  <conditionalFormatting sqref="I156 I132:I134">
    <cfRule type="duplicateValues" dxfId="379" priority="217"/>
    <cfRule type="duplicateValues" dxfId="378" priority="218"/>
  </conditionalFormatting>
  <conditionalFormatting sqref="I130 I110:I112">
    <cfRule type="duplicateValues" dxfId="377" priority="215"/>
    <cfRule type="duplicateValues" dxfId="376" priority="216"/>
  </conditionalFormatting>
  <conditionalFormatting sqref="I232:I233 I220:I223">
    <cfRule type="duplicateValues" dxfId="375" priority="209"/>
    <cfRule type="duplicateValues" dxfId="374" priority="210"/>
  </conditionalFormatting>
  <conditionalFormatting sqref="I809 I777 I790:I791 I780">
    <cfRule type="duplicateValues" dxfId="373" priority="205"/>
    <cfRule type="duplicateValues" dxfId="372" priority="206"/>
  </conditionalFormatting>
  <conditionalFormatting sqref="I792:I808">
    <cfRule type="duplicateValues" dxfId="371" priority="203"/>
    <cfRule type="duplicateValues" dxfId="370" priority="204"/>
  </conditionalFormatting>
  <conditionalFormatting sqref="I366">
    <cfRule type="duplicateValues" dxfId="369" priority="195"/>
    <cfRule type="duplicateValues" dxfId="368" priority="196"/>
  </conditionalFormatting>
  <conditionalFormatting sqref="I116">
    <cfRule type="duplicateValues" dxfId="367" priority="187"/>
    <cfRule type="duplicateValues" dxfId="366" priority="188"/>
  </conditionalFormatting>
  <conditionalFormatting sqref="I752">
    <cfRule type="duplicateValues" dxfId="365" priority="181"/>
    <cfRule type="duplicateValues" dxfId="364" priority="182"/>
  </conditionalFormatting>
  <conditionalFormatting sqref="I77">
    <cfRule type="duplicateValues" dxfId="363" priority="175"/>
    <cfRule type="duplicateValues" dxfId="362" priority="176"/>
  </conditionalFormatting>
  <conditionalFormatting sqref="I216:I217 I203:I206">
    <cfRule type="duplicateValues" dxfId="361" priority="312"/>
    <cfRule type="duplicateValues" dxfId="360" priority="313"/>
  </conditionalFormatting>
  <conditionalFormatting sqref="I449:I450">
    <cfRule type="duplicateValues" dxfId="359" priority="318"/>
    <cfRule type="duplicateValues" dxfId="358" priority="319"/>
  </conditionalFormatting>
  <conditionalFormatting sqref="I775:I776 I316 I755 I758">
    <cfRule type="duplicateValues" dxfId="357" priority="324"/>
    <cfRule type="duplicateValues" dxfId="356" priority="325"/>
  </conditionalFormatting>
  <conditionalFormatting sqref="I65">
    <cfRule type="duplicateValues" dxfId="355" priority="370"/>
    <cfRule type="duplicateValues" dxfId="354" priority="371"/>
  </conditionalFormatting>
  <conditionalFormatting sqref="I697 I556">
    <cfRule type="duplicateValues" dxfId="353" priority="171"/>
    <cfRule type="duplicateValues" dxfId="352" priority="172"/>
  </conditionalFormatting>
  <conditionalFormatting sqref="I552">
    <cfRule type="duplicateValues" dxfId="351" priority="169"/>
    <cfRule type="duplicateValues" dxfId="350" priority="170"/>
  </conditionalFormatting>
  <conditionalFormatting sqref="I585 I573">
    <cfRule type="duplicateValues" dxfId="349" priority="1103"/>
    <cfRule type="duplicateValues" dxfId="348" priority="1104"/>
  </conditionalFormatting>
  <conditionalFormatting sqref="I105">
    <cfRule type="duplicateValues" dxfId="347" priority="163"/>
    <cfRule type="duplicateValues" dxfId="346" priority="164"/>
  </conditionalFormatting>
  <conditionalFormatting sqref="I106">
    <cfRule type="duplicateValues" dxfId="345" priority="1193"/>
    <cfRule type="duplicateValues" dxfId="344" priority="1194"/>
  </conditionalFormatting>
  <conditionalFormatting sqref="I773">
    <cfRule type="duplicateValues" dxfId="343" priority="161"/>
    <cfRule type="duplicateValues" dxfId="342" priority="162"/>
  </conditionalFormatting>
  <conditionalFormatting sqref="I28">
    <cfRule type="duplicateValues" dxfId="341" priority="159"/>
    <cfRule type="duplicateValues" dxfId="340" priority="160"/>
  </conditionalFormatting>
  <conditionalFormatting sqref="I85">
    <cfRule type="duplicateValues" dxfId="339" priority="157"/>
    <cfRule type="duplicateValues" dxfId="338" priority="158"/>
  </conditionalFormatting>
  <conditionalFormatting sqref="I143">
    <cfRule type="duplicateValues" dxfId="337" priority="155"/>
    <cfRule type="duplicateValues" dxfId="336" priority="156"/>
  </conditionalFormatting>
  <conditionalFormatting sqref="I213">
    <cfRule type="duplicateValues" dxfId="335" priority="151"/>
    <cfRule type="duplicateValues" dxfId="334" priority="152"/>
  </conditionalFormatting>
  <conditionalFormatting sqref="I257">
    <cfRule type="duplicateValues" dxfId="333" priority="149"/>
    <cfRule type="duplicateValues" dxfId="332" priority="150"/>
  </conditionalFormatting>
  <conditionalFormatting sqref="I258">
    <cfRule type="duplicateValues" dxfId="331" priority="147"/>
    <cfRule type="duplicateValues" dxfId="330" priority="148"/>
  </conditionalFormatting>
  <conditionalFormatting sqref="I431">
    <cfRule type="duplicateValues" dxfId="329" priority="141"/>
    <cfRule type="duplicateValues" dxfId="328" priority="142"/>
  </conditionalFormatting>
  <conditionalFormatting sqref="I392:I393">
    <cfRule type="duplicateValues" dxfId="327" priority="139"/>
    <cfRule type="duplicateValues" dxfId="326" priority="140"/>
  </conditionalFormatting>
  <conditionalFormatting sqref="I555">
    <cfRule type="duplicateValues" dxfId="325" priority="137"/>
    <cfRule type="duplicateValues" dxfId="324" priority="138"/>
  </conditionalFormatting>
  <conditionalFormatting sqref="I493">
    <cfRule type="duplicateValues" dxfId="323" priority="1443"/>
    <cfRule type="duplicateValues" dxfId="322" priority="1444"/>
  </conditionalFormatting>
  <conditionalFormatting sqref="I509">
    <cfRule type="duplicateValues" dxfId="321" priority="135"/>
    <cfRule type="duplicateValues" dxfId="320" priority="136"/>
  </conditionalFormatting>
  <conditionalFormatting sqref="I632">
    <cfRule type="duplicateValues" dxfId="319" priority="133"/>
    <cfRule type="duplicateValues" dxfId="318" priority="134"/>
  </conditionalFormatting>
  <conditionalFormatting sqref="I658">
    <cfRule type="duplicateValues" dxfId="317" priority="131"/>
    <cfRule type="duplicateValues" dxfId="316" priority="132"/>
  </conditionalFormatting>
  <conditionalFormatting sqref="I657">
    <cfRule type="duplicateValues" dxfId="315" priority="129"/>
    <cfRule type="duplicateValues" dxfId="314" priority="130"/>
  </conditionalFormatting>
  <conditionalFormatting sqref="I698">
    <cfRule type="duplicateValues" dxfId="313" priority="127"/>
    <cfRule type="duplicateValues" dxfId="312" priority="128"/>
  </conditionalFormatting>
  <conditionalFormatting sqref="I99">
    <cfRule type="duplicateValues" dxfId="311" priority="125"/>
    <cfRule type="duplicateValues" dxfId="310" priority="126"/>
  </conditionalFormatting>
  <conditionalFormatting sqref="I530">
    <cfRule type="duplicateValues" dxfId="309" priority="121"/>
    <cfRule type="duplicateValues" dxfId="308" priority="122"/>
  </conditionalFormatting>
  <conditionalFormatting sqref="I487">
    <cfRule type="duplicateValues" dxfId="307" priority="119"/>
    <cfRule type="duplicateValues" dxfId="306" priority="120"/>
  </conditionalFormatting>
  <conditionalFormatting sqref="I595">
    <cfRule type="duplicateValues" dxfId="305" priority="115"/>
    <cfRule type="duplicateValues" dxfId="304" priority="116"/>
  </conditionalFormatting>
  <conditionalFormatting sqref="I273">
    <cfRule type="duplicateValues" dxfId="303" priority="113"/>
    <cfRule type="duplicateValues" dxfId="302" priority="114"/>
  </conditionalFormatting>
  <conditionalFormatting sqref="I272">
    <cfRule type="duplicateValues" dxfId="301" priority="111"/>
    <cfRule type="duplicateValues" dxfId="300" priority="112"/>
  </conditionalFormatting>
  <conditionalFormatting sqref="I312">
    <cfRule type="duplicateValues" dxfId="299" priority="109"/>
    <cfRule type="duplicateValues" dxfId="298" priority="110"/>
  </conditionalFormatting>
  <conditionalFormatting sqref="I298">
    <cfRule type="duplicateValues" dxfId="297" priority="107"/>
    <cfRule type="duplicateValues" dxfId="296" priority="108"/>
  </conditionalFormatting>
  <conditionalFormatting sqref="I766">
    <cfRule type="duplicateValues" dxfId="295" priority="105"/>
    <cfRule type="duplicateValues" dxfId="294" priority="106"/>
  </conditionalFormatting>
  <conditionalFormatting sqref="I491">
    <cfRule type="duplicateValues" dxfId="293" priority="103"/>
    <cfRule type="duplicateValues" dxfId="292" priority="104"/>
  </conditionalFormatting>
  <conditionalFormatting sqref="I785">
    <cfRule type="duplicateValues" dxfId="291" priority="101"/>
    <cfRule type="duplicateValues" dxfId="290" priority="102"/>
  </conditionalFormatting>
  <conditionalFormatting sqref="I644">
    <cfRule type="duplicateValues" dxfId="289" priority="97"/>
    <cfRule type="duplicateValues" dxfId="288" priority="98"/>
  </conditionalFormatting>
  <conditionalFormatting sqref="I783">
    <cfRule type="duplicateValues" dxfId="287" priority="95"/>
    <cfRule type="duplicateValues" dxfId="286" priority="96"/>
  </conditionalFormatting>
  <conditionalFormatting sqref="I435">
    <cfRule type="duplicateValues" dxfId="285" priority="93"/>
    <cfRule type="duplicateValues" dxfId="284" priority="94"/>
  </conditionalFormatting>
  <conditionalFormatting sqref="I101">
    <cfRule type="duplicateValues" dxfId="283" priority="91"/>
    <cfRule type="duplicateValues" dxfId="282" priority="92"/>
  </conditionalFormatting>
  <conditionalFormatting sqref="I79">
    <cfRule type="duplicateValues" dxfId="281" priority="89"/>
    <cfRule type="duplicateValues" dxfId="280" priority="90"/>
  </conditionalFormatting>
  <conditionalFormatting sqref="I348">
    <cfRule type="duplicateValues" dxfId="279" priority="87"/>
    <cfRule type="duplicateValues" dxfId="278" priority="88"/>
  </conditionalFormatting>
  <conditionalFormatting sqref="I663">
    <cfRule type="duplicateValues" dxfId="277" priority="85"/>
    <cfRule type="duplicateValues" dxfId="276" priority="86"/>
  </conditionalFormatting>
  <conditionalFormatting sqref="I280">
    <cfRule type="duplicateValues" dxfId="275" priority="83"/>
    <cfRule type="duplicateValues" dxfId="274" priority="84"/>
  </conditionalFormatting>
  <conditionalFormatting sqref="I456">
    <cfRule type="duplicateValues" dxfId="273" priority="81"/>
    <cfRule type="duplicateValues" dxfId="272" priority="82"/>
  </conditionalFormatting>
  <conditionalFormatting sqref="I398">
    <cfRule type="duplicateValues" dxfId="271" priority="79"/>
    <cfRule type="duplicateValues" dxfId="270" priority="80"/>
  </conditionalFormatting>
  <conditionalFormatting sqref="I297">
    <cfRule type="duplicateValues" dxfId="269" priority="77"/>
    <cfRule type="duplicateValues" dxfId="268" priority="78"/>
  </conditionalFormatting>
  <conditionalFormatting sqref="I247">
    <cfRule type="duplicateValues" dxfId="267" priority="75"/>
    <cfRule type="duplicateValues" dxfId="266" priority="76"/>
  </conditionalFormatting>
  <conditionalFormatting sqref="I454">
    <cfRule type="duplicateValues" dxfId="265" priority="71"/>
    <cfRule type="duplicateValues" dxfId="264" priority="72"/>
  </conditionalFormatting>
  <conditionalFormatting sqref="I414">
    <cfRule type="duplicateValues" dxfId="263" priority="69"/>
    <cfRule type="duplicateValues" dxfId="262" priority="70"/>
  </conditionalFormatting>
  <conditionalFormatting sqref="I575">
    <cfRule type="duplicateValues" dxfId="261" priority="67"/>
    <cfRule type="duplicateValues" dxfId="260" priority="68"/>
  </conditionalFormatting>
  <conditionalFormatting sqref="I296">
    <cfRule type="duplicateValues" dxfId="259" priority="63"/>
    <cfRule type="duplicateValues" dxfId="258" priority="64"/>
  </conditionalFormatting>
  <conditionalFormatting sqref="I170">
    <cfRule type="duplicateValues" dxfId="257" priority="61"/>
    <cfRule type="duplicateValues" dxfId="256" priority="62"/>
  </conditionalFormatting>
  <conditionalFormatting sqref="I196">
    <cfRule type="duplicateValues" dxfId="255" priority="59"/>
    <cfRule type="duplicateValues" dxfId="254" priority="60"/>
  </conditionalFormatting>
  <conditionalFormatting sqref="I404">
    <cfRule type="duplicateValues" dxfId="253" priority="57"/>
    <cfRule type="duplicateValues" dxfId="252" priority="58"/>
  </conditionalFormatting>
  <conditionalFormatting sqref="I436">
    <cfRule type="duplicateValues" dxfId="251" priority="55"/>
    <cfRule type="duplicateValues" dxfId="250" priority="56"/>
  </conditionalFormatting>
  <conditionalFormatting sqref="I403">
    <cfRule type="duplicateValues" dxfId="249" priority="53"/>
    <cfRule type="duplicateValues" dxfId="248" priority="54"/>
  </conditionalFormatting>
  <conditionalFormatting sqref="I451">
    <cfRule type="duplicateValues" dxfId="247" priority="51"/>
    <cfRule type="duplicateValues" dxfId="246" priority="52"/>
  </conditionalFormatting>
  <conditionalFormatting sqref="I484">
    <cfRule type="duplicateValues" dxfId="245" priority="49"/>
    <cfRule type="duplicateValues" dxfId="244" priority="50"/>
  </conditionalFormatting>
  <conditionalFormatting sqref="I810:I1048576 I313:I315 I131 I218:I219 I564:I569 I107:I109 I574 I207:I212 I113:I115 I781:I782 I117:I129 I86:I96 I135:I142 I144:I147 I1:I25 I234:I241 I532 I214:I215 I503:I508 I394:I397 I399:I402 I510:I521 I578:I584 I586:I587 I633:I643 I551 I597:I604 I557:I559 I774 I759:I765 I718:I724 I27 I736:I740 I784 I535:I536 I538:I540 I699:I705 I714:I715 I259:I271 I553:I554 I157:I169 I767:I772 I753:I754 I299:I311 I274:I279 I645:I650 I659:I662 I103:I104 I149:I152 I154:I155 I78 I66:I76 I82:I84 I80 I786:I789 I437:I448 I457:I483 I452:I453 I455 I488:I490 I494:I499 I248:I256 I367:I391 I746:I751 I349:I365 I664:I671 I685:I688 I243:I246 I281:I295 I415:I430 I432:I434 I317:I347 I171:I195 I224:I231 I197:I202 I30:I64 I485:I486 I405:I413 I492 I590:I594 I607:I625 I691:I696 I743:I744 I627:I631 I653:I656 I708:I712 I674:I679 I727:I734">
    <cfRule type="duplicateValues" dxfId="243" priority="4349"/>
    <cfRule type="duplicateValues" dxfId="242" priority="4350"/>
  </conditionalFormatting>
  <conditionalFormatting sqref="I713 I81 I745 I153 I100 I537 I716:I717 I29 I102 I148 I596 I26 I735 I97:I98 I500:I502 I576:I577 I242 I680:I684 I560:I563 I522:I529 I533:I534 I541:I550 I531">
    <cfRule type="duplicateValues" dxfId="241" priority="4361"/>
    <cfRule type="duplicateValues" dxfId="240" priority="4362"/>
  </conditionalFormatting>
  <conditionalFormatting sqref="I571">
    <cfRule type="duplicateValues" dxfId="239" priority="47"/>
    <cfRule type="duplicateValues" dxfId="238" priority="48"/>
  </conditionalFormatting>
  <conditionalFormatting sqref="I588">
    <cfRule type="duplicateValues" dxfId="237" priority="45"/>
    <cfRule type="duplicateValues" dxfId="236" priority="46"/>
  </conditionalFormatting>
  <conditionalFormatting sqref="I605">
    <cfRule type="duplicateValues" dxfId="235" priority="43"/>
    <cfRule type="duplicateValues" dxfId="234" priority="44"/>
  </conditionalFormatting>
  <conditionalFormatting sqref="I572">
    <cfRule type="duplicateValues" dxfId="233" priority="41"/>
    <cfRule type="duplicateValues" dxfId="232" priority="42"/>
  </conditionalFormatting>
  <conditionalFormatting sqref="I690">
    <cfRule type="duplicateValues" dxfId="231" priority="39"/>
    <cfRule type="duplicateValues" dxfId="230" priority="40"/>
  </conditionalFormatting>
  <conditionalFormatting sqref="I742">
    <cfRule type="duplicateValues" dxfId="229" priority="37"/>
    <cfRule type="duplicateValues" dxfId="228" priority="38"/>
  </conditionalFormatting>
  <conditionalFormatting sqref="I626">
    <cfRule type="duplicateValues" dxfId="227" priority="35"/>
    <cfRule type="duplicateValues" dxfId="226" priority="36"/>
  </conditionalFormatting>
  <conditionalFormatting sqref="I589">
    <cfRule type="duplicateValues" dxfId="225" priority="31"/>
    <cfRule type="duplicateValues" dxfId="224" priority="32"/>
  </conditionalFormatting>
  <conditionalFormatting sqref="I652">
    <cfRule type="duplicateValues" dxfId="223" priority="29"/>
    <cfRule type="duplicateValues" dxfId="222" priority="30"/>
  </conditionalFormatting>
  <conditionalFormatting sqref="I707">
    <cfRule type="duplicateValues" dxfId="221" priority="27"/>
    <cfRule type="duplicateValues" dxfId="220" priority="28"/>
  </conditionalFormatting>
  <conditionalFormatting sqref="I757">
    <cfRule type="duplicateValues" dxfId="219" priority="25"/>
    <cfRule type="duplicateValues" dxfId="218" priority="26"/>
  </conditionalFormatting>
  <conditionalFormatting sqref="I651">
    <cfRule type="duplicateValues" dxfId="23" priority="23"/>
    <cfRule type="duplicateValues" dxfId="22" priority="24"/>
  </conditionalFormatting>
  <conditionalFormatting sqref="I672">
    <cfRule type="duplicateValues" dxfId="21" priority="21"/>
    <cfRule type="duplicateValues" dxfId="20" priority="22"/>
  </conditionalFormatting>
  <conditionalFormatting sqref="I606">
    <cfRule type="duplicateValues" dxfId="19" priority="19"/>
    <cfRule type="duplicateValues" dxfId="18" priority="20"/>
  </conditionalFormatting>
  <conditionalFormatting sqref="I673">
    <cfRule type="duplicateValues" dxfId="17" priority="17"/>
    <cfRule type="duplicateValues" dxfId="16" priority="18"/>
  </conditionalFormatting>
  <conditionalFormatting sqref="I726">
    <cfRule type="duplicateValues" dxfId="15" priority="15"/>
    <cfRule type="duplicateValues" dxfId="14" priority="16"/>
  </conditionalFormatting>
  <conditionalFormatting sqref="I779">
    <cfRule type="duplicateValues" dxfId="13" priority="13"/>
    <cfRule type="duplicateValues" dxfId="12" priority="14"/>
  </conditionalFormatting>
  <conditionalFormatting sqref="I689">
    <cfRule type="duplicateValues" dxfId="11" priority="11"/>
    <cfRule type="duplicateValues" dxfId="10" priority="12"/>
  </conditionalFormatting>
  <conditionalFormatting sqref="I706">
    <cfRule type="duplicateValues" dxfId="9" priority="9"/>
    <cfRule type="duplicateValues" dxfId="8" priority="10"/>
  </conditionalFormatting>
  <conditionalFormatting sqref="I725">
    <cfRule type="duplicateValues" dxfId="7" priority="7"/>
    <cfRule type="duplicateValues" dxfId="6" priority="8"/>
  </conditionalFormatting>
  <conditionalFormatting sqref="I741">
    <cfRule type="duplicateValues" dxfId="5" priority="5"/>
    <cfRule type="duplicateValues" dxfId="4" priority="6"/>
  </conditionalFormatting>
  <conditionalFormatting sqref="I756">
    <cfRule type="duplicateValues" dxfId="3" priority="3"/>
    <cfRule type="duplicateValues" dxfId="2" priority="4"/>
  </conditionalFormatting>
  <conditionalFormatting sqref="I778">
    <cfRule type="duplicateValues" dxfId="1" priority="1"/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52" fitToHeight="0" orientation="landscape" r:id="rId1"/>
  <headerFooter>
    <oddHeader>&amp;C&amp;"Times New Roman,Bold"&amp;12COLLEGE OF ENGINEERING             
FINAL EXAMINATION TIMETABLE FOR  FIRST SEMESTER, 2024/2025 ACADEMIC YEAR</oddHeader>
  </headerFooter>
  <rowBreaks count="40" manualBreakCount="40">
    <brk id="2" max="16383" man="1"/>
    <brk id="18" max="7" man="1"/>
    <brk id="35" max="7" man="1"/>
    <brk id="53" max="7" man="1"/>
    <brk id="70" max="16383" man="1"/>
    <brk id="89" max="16383" man="1"/>
    <brk id="109" max="16383" man="1"/>
    <brk id="131" max="16383" man="1"/>
    <brk id="158" max="16383" man="1"/>
    <brk id="176" max="16383" man="1"/>
    <brk id="203" max="16383" man="1"/>
    <brk id="220" max="16383" man="1"/>
    <brk id="233" max="16383" man="1"/>
    <brk id="252" max="16383" man="1"/>
    <brk id="267" max="16383" man="1"/>
    <brk id="289" max="16383" man="1"/>
    <brk id="303" max="16383" man="1"/>
    <brk id="322" max="16383" man="1"/>
    <brk id="337" max="16383" man="1"/>
    <brk id="353" max="16383" man="1"/>
    <brk id="369" max="16383" man="1"/>
    <brk id="386" max="16383" man="1"/>
    <brk id="408" max="16383" man="1"/>
    <brk id="426" max="16383" man="1"/>
    <brk id="440" max="16383" man="1"/>
    <brk id="460" max="16383" man="1"/>
    <brk id="477" max="16383" man="1"/>
    <brk id="499" max="16383" man="1"/>
    <brk id="525" max="16383" man="1"/>
    <brk id="544" max="16383" man="1"/>
    <brk id="604" max="16383" man="1"/>
    <brk id="624" max="16383" man="1"/>
    <brk id="650" max="16383" man="1"/>
    <brk id="671" max="16383" man="1"/>
    <brk id="688" max="16383" man="1"/>
    <brk id="705" max="16383" man="1"/>
    <brk id="724" max="16383" man="1"/>
    <brk id="740" max="16383" man="1"/>
    <brk id="755" max="16383" man="1"/>
    <brk id="777" max="16383" man="1"/>
  </rowBreak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CE02-3D56-471D-9D1F-1E11A393F090}">
  <sheetViews>
    <sheetView topLeftCell="A433" workbookViewId="0">
      <selection pane="topLeft" activeCell="E360" sqref="E360"/>
    </sheetView>
  </sheetViews>
  <sheetFormatPr baseColWidth="8" defaultRowHeight="14"/>
  <cols>
    <col min="1" max="1" width="18.875" style="285" customWidth="1"/>
    <col min="2" max="2" width="38.5" style="290" customWidth="1"/>
    <col min="3" max="3" width="12.375" style="92" customWidth="1"/>
    <col min="4" max="4" width="14.25" style="92" customWidth="1"/>
    <col min="5" max="5" width="13.5" style="92" customWidth="1"/>
    <col min="6" max="6" width="62.125" style="92" bestFit="1" customWidth="1"/>
    <col min="7" max="7" width="6.5" style="92" customWidth="1"/>
    <col min="8" max="8" width="5.25" style="92" customWidth="1"/>
    <col min="9" max="16384" width="9" style="92" customWidth="1"/>
  </cols>
  <sheetData>
    <row ht="15" r="1" spans="1:6">
      <c r="A1" s="282" t="s">
        <v>576</v>
      </c>
      <c r="B1" s="283" t="s">
        <v>575</v>
      </c>
      <c r="C1" s="284" t="s">
        <v>574</v>
      </c>
      <c r="D1" s="282"/>
      <c r="E1" s="282" t="s">
        <v>573</v>
      </c>
      <c r="F1" s="282" t="s">
        <v>572</v>
      </c>
    </row>
    <row r="2" spans="1:6" s="288" customFormat="1">
      <c r="A2" s="285" t="str">
        <f>_xlfn.CONCAT(E2,",",D2)</f>
        <v>AERO 157,ED1-AERO</v>
      </c>
      <c r="B2" s="286" t="s">
        <v>562</v>
      </c>
      <c r="C2" s="287">
        <v>70</v>
      </c>
      <c r="D2" s="287" t="s">
        <v>1</v>
      </c>
      <c r="E2" s="287" t="s">
        <v>187</v>
      </c>
      <c r="F2" s="287" t="s">
        <v>571</v>
      </c>
    </row>
    <row r="3" spans="1:6" s="288" customFormat="1">
      <c r="A3" s="285" t="str">
        <v>CE 155,ED1-AERO</v>
      </c>
      <c r="B3" s="286" t="s">
        <v>1821</v>
      </c>
      <c r="C3" s="287">
        <v>70</v>
      </c>
      <c r="D3" s="287" t="str">
        <f>D2</f>
        <v>ED1-AERO</v>
      </c>
      <c r="E3" s="287" t="s">
        <v>155</v>
      </c>
      <c r="F3" s="287" t="s">
        <v>475</v>
      </c>
    </row>
    <row r="4" spans="1:6" s="288" customFormat="1">
      <c r="A4" s="285" t="str">
        <v>EE 151,ED1-AERO</v>
      </c>
      <c r="B4" s="286" t="s">
        <v>522</v>
      </c>
      <c r="C4" s="287">
        <v>70</v>
      </c>
      <c r="D4" s="287" t="str">
        <f>D3</f>
        <v>ED1-AERO</v>
      </c>
      <c r="E4" s="287" t="s">
        <v>229</v>
      </c>
      <c r="F4" s="287" t="s">
        <v>474</v>
      </c>
    </row>
    <row r="5" spans="1:6" s="288" customFormat="1">
      <c r="A5" s="285" t="str">
        <v>ENGL 157,ED1-AERO</v>
      </c>
      <c r="B5" s="286" t="s">
        <v>1822</v>
      </c>
      <c r="C5" s="287">
        <v>70</v>
      </c>
      <c r="D5" s="287" t="str">
        <f>D4</f>
        <v>ED1-AERO</v>
      </c>
      <c r="E5" s="287" t="s">
        <v>0</v>
      </c>
      <c r="F5" s="287" t="s">
        <v>473</v>
      </c>
    </row>
    <row r="6" spans="1:6" s="288" customFormat="1">
      <c r="A6" s="285" t="str">
        <v>MATH 151,ED1-AERO</v>
      </c>
      <c r="B6" s="286" t="s">
        <v>499</v>
      </c>
      <c r="C6" s="287">
        <v>70</v>
      </c>
      <c r="D6" s="287" t="str">
        <f>D5</f>
        <v>ED1-AERO</v>
      </c>
      <c r="E6" s="287" t="s">
        <v>65</v>
      </c>
      <c r="F6" s="287" t="s">
        <v>472</v>
      </c>
    </row>
    <row r="7" spans="1:6" s="288" customFormat="1">
      <c r="A7" s="285" t="str">
        <v>ME 157,ED1-AERO</v>
      </c>
      <c r="B7" s="286" t="s">
        <v>506</v>
      </c>
      <c r="C7" s="287">
        <v>70</v>
      </c>
      <c r="D7" s="287" t="str">
        <f>D6</f>
        <v>ED1-AERO</v>
      </c>
      <c r="E7" s="287" t="s">
        <v>242</v>
      </c>
      <c r="F7" s="287" t="s">
        <v>481</v>
      </c>
    </row>
    <row r="8" spans="1:6" s="288" customFormat="1">
      <c r="A8" s="285" t="str">
        <v>ME 159,ED1-AERO</v>
      </c>
      <c r="B8" s="286" t="s">
        <v>470</v>
      </c>
      <c r="C8" s="287">
        <v>70</v>
      </c>
      <c r="D8" s="287" t="str">
        <f>D7</f>
        <v>ED1-AERO</v>
      </c>
      <c r="E8" s="287" t="s">
        <v>160</v>
      </c>
      <c r="F8" s="287" t="s">
        <v>471</v>
      </c>
    </row>
    <row r="9" spans="1:6" s="288" customFormat="1">
      <c r="A9" s="285" t="str">
        <v>ME 281,ED2-AERO</v>
      </c>
      <c r="B9" s="286" t="s">
        <v>515</v>
      </c>
      <c r="C9" s="287">
        <v>75</v>
      </c>
      <c r="D9" s="287" t="s">
        <v>80</v>
      </c>
      <c r="E9" s="287" t="s">
        <v>168</v>
      </c>
      <c r="F9" s="287" t="s">
        <v>514</v>
      </c>
    </row>
    <row r="10" spans="1:6" s="288" customFormat="1">
      <c r="A10" s="285" t="str">
        <v>CENG 291,ED2-AERO</v>
      </c>
      <c r="B10" s="286" t="s">
        <v>562</v>
      </c>
      <c r="C10" s="287">
        <v>75</v>
      </c>
      <c r="D10" s="287" t="str">
        <f>D9</f>
        <v>ED2-AERO</v>
      </c>
      <c r="E10" s="287" t="s">
        <v>258</v>
      </c>
      <c r="F10" s="287" t="s">
        <v>468</v>
      </c>
    </row>
    <row r="11" spans="1:6" s="288" customFormat="1">
      <c r="A11" s="285" t="str">
        <v>AERO 293,ED2-AERO</v>
      </c>
      <c r="B11" s="286" t="s">
        <v>562</v>
      </c>
      <c r="C11" s="287">
        <v>75</v>
      </c>
      <c r="D11" s="287" t="str">
        <f>D10</f>
        <v>ED2-AERO</v>
      </c>
      <c r="E11" s="287" t="s">
        <v>570</v>
      </c>
      <c r="F11" s="287" t="s">
        <v>569</v>
      </c>
    </row>
    <row r="12" spans="1:6" s="288" customFormat="1">
      <c r="A12" s="285" t="str">
        <v>ME 255,ED2-AERO</v>
      </c>
      <c r="B12" s="286" t="s">
        <v>520</v>
      </c>
      <c r="C12" s="287">
        <v>75</v>
      </c>
      <c r="D12" s="287" t="str">
        <f>D11</f>
        <v>ED2-AERO</v>
      </c>
      <c r="E12" s="287" t="s">
        <v>193</v>
      </c>
      <c r="F12" s="287" t="s">
        <v>480</v>
      </c>
    </row>
    <row r="13" spans="1:6" s="288" customFormat="1">
      <c r="A13" s="285" t="str">
        <v>ENGL 263,ED2-AERO</v>
      </c>
      <c r="B13" s="286" t="s">
        <v>519</v>
      </c>
      <c r="C13" s="287">
        <v>75</v>
      </c>
      <c r="D13" s="287" t="str">
        <f>D12</f>
        <v>ED2-AERO</v>
      </c>
      <c r="E13" s="287" t="s">
        <v>83</v>
      </c>
      <c r="F13" s="287" t="s">
        <v>518</v>
      </c>
    </row>
    <row r="14" spans="1:6" s="288" customFormat="1">
      <c r="A14" s="285" t="str">
        <v>MATH 251,ED2-AERO</v>
      </c>
      <c r="B14" s="286" t="s">
        <v>466</v>
      </c>
      <c r="C14" s="287">
        <v>75</v>
      </c>
      <c r="D14" s="287" t="str">
        <f>D13</f>
        <v>ED2-AERO</v>
      </c>
      <c r="E14" s="287" t="s">
        <v>140</v>
      </c>
      <c r="F14" s="287" t="s">
        <v>465</v>
      </c>
    </row>
    <row r="15" spans="1:6" s="288" customFormat="1">
      <c r="A15" s="285" t="str">
        <v>ME 251,ED2-AERO</v>
      </c>
      <c r="B15" s="286" t="s">
        <v>507</v>
      </c>
      <c r="C15" s="287">
        <v>75</v>
      </c>
      <c r="D15" s="287" t="str">
        <f>D14</f>
        <v>ED2-AERO</v>
      </c>
      <c r="E15" s="287" t="s">
        <v>96</v>
      </c>
      <c r="F15" s="287" t="s">
        <v>517</v>
      </c>
    </row>
    <row r="16" spans="1:6" s="288" customFormat="1">
      <c r="A16" s="285" t="str">
        <v>ME 261,ED2-AERO</v>
      </c>
      <c r="B16" s="286" t="s">
        <v>516</v>
      </c>
      <c r="C16" s="287">
        <v>75</v>
      </c>
      <c r="D16" s="287" t="str">
        <f>D15</f>
        <v>ED2-AERO</v>
      </c>
      <c r="E16" s="287" t="s">
        <v>230</v>
      </c>
      <c r="F16" s="287" t="s">
        <v>1538</v>
      </c>
    </row>
    <row r="17" spans="1:6" s="288" customFormat="1">
      <c r="A17" s="285" t="str">
        <v>ME 295,ED2-AERO</v>
      </c>
      <c r="B17" s="286" t="s">
        <v>699</v>
      </c>
      <c r="C17" s="287">
        <v>75</v>
      </c>
      <c r="D17" s="287" t="str">
        <f>D16</f>
        <v>ED2-AERO</v>
      </c>
      <c r="E17" s="287" t="s">
        <v>262</v>
      </c>
      <c r="F17" s="287" t="s">
        <v>513</v>
      </c>
    </row>
    <row r="18" spans="1:6" s="288" customFormat="1">
      <c r="A18" s="285" t="str">
        <v>ECON 151,ED3-AERO</v>
      </c>
      <c r="B18" s="286" t="s">
        <v>467</v>
      </c>
      <c r="C18" s="287">
        <v>76</v>
      </c>
      <c r="D18" s="287" t="s">
        <v>48</v>
      </c>
      <c r="E18" s="287" t="s">
        <v>177</v>
      </c>
      <c r="F18" s="287" t="s">
        <v>510</v>
      </c>
    </row>
    <row r="19" spans="1:6" s="288" customFormat="1">
      <c r="A19" s="285" t="str">
        <v>AERO 393,ED3-AERO</v>
      </c>
      <c r="B19" s="286" t="s">
        <v>562</v>
      </c>
      <c r="C19" s="287">
        <v>76</v>
      </c>
      <c r="D19" s="287" t="str">
        <f>D18</f>
        <v>ED3-AERO</v>
      </c>
      <c r="E19" s="287" t="s">
        <v>568</v>
      </c>
      <c r="F19" s="287" t="s">
        <v>567</v>
      </c>
    </row>
    <row r="20" spans="1:6" s="288" customFormat="1">
      <c r="A20" s="285" t="str">
        <v>AERO 351,ED3-AERO</v>
      </c>
      <c r="B20" s="286" t="s">
        <v>565</v>
      </c>
      <c r="C20" s="287">
        <v>76</v>
      </c>
      <c r="D20" s="287" t="str">
        <f>D19</f>
        <v>ED3-AERO</v>
      </c>
      <c r="E20" s="287" t="s">
        <v>222</v>
      </c>
      <c r="F20" s="287" t="s">
        <v>566</v>
      </c>
    </row>
    <row r="21" spans="1:6" s="288" customFormat="1">
      <c r="A21" s="285" t="str">
        <v>AERO 391,ED3-AERO</v>
      </c>
      <c r="B21" s="286" t="s">
        <v>1818</v>
      </c>
      <c r="C21" s="287">
        <v>76</v>
      </c>
      <c r="D21" s="287" t="str">
        <f>D20</f>
        <v>ED3-AERO</v>
      </c>
      <c r="E21" s="287" t="s">
        <v>205</v>
      </c>
      <c r="F21" s="287" t="s">
        <v>564</v>
      </c>
    </row>
    <row r="22" spans="1:6" s="288" customFormat="1">
      <c r="A22" s="285" t="str">
        <v>AERO 395,ED3-AERO</v>
      </c>
      <c r="B22" s="286" t="s">
        <v>562</v>
      </c>
      <c r="C22" s="287">
        <v>76</v>
      </c>
      <c r="D22" s="287" t="str">
        <f>D21</f>
        <v>ED3-AERO</v>
      </c>
      <c r="E22" s="287" t="s">
        <v>254</v>
      </c>
      <c r="F22" s="287" t="s">
        <v>563</v>
      </c>
    </row>
    <row r="23" spans="1:6" s="288" customFormat="1">
      <c r="A23" s="285" t="str">
        <v>MATH 351,ED3-AERO</v>
      </c>
      <c r="B23" s="286" t="s">
        <v>530</v>
      </c>
      <c r="C23" s="287">
        <v>76</v>
      </c>
      <c r="D23" s="287" t="str">
        <f>D22</f>
        <v>ED3-AERO</v>
      </c>
      <c r="E23" s="287" t="s">
        <v>47</v>
      </c>
      <c r="F23" s="287" t="s">
        <v>463</v>
      </c>
    </row>
    <row r="24" spans="1:6" s="288" customFormat="1">
      <c r="A24" s="285" t="str">
        <v>STAT 253,ED3-AERO</v>
      </c>
      <c r="B24" s="286" t="s">
        <v>1820</v>
      </c>
      <c r="C24" s="287">
        <v>76</v>
      </c>
      <c r="D24" s="287" t="str">
        <f>D23</f>
        <v>ED3-AERO</v>
      </c>
      <c r="E24" s="287" t="s">
        <v>371</v>
      </c>
      <c r="F24" s="287" t="s">
        <v>462</v>
      </c>
    </row>
    <row r="25" spans="1:6" s="288" customFormat="1">
      <c r="A25" s="285" t="str">
        <v>ME 363,ED3-AERO</v>
      </c>
      <c r="B25" s="286" t="s">
        <v>1819</v>
      </c>
      <c r="C25" s="287">
        <v>76</v>
      </c>
      <c r="D25" s="287" t="str">
        <f>D24</f>
        <v>ED3-AERO</v>
      </c>
      <c r="E25" s="287" t="s">
        <v>135</v>
      </c>
      <c r="F25" s="287" t="s">
        <v>512</v>
      </c>
    </row>
    <row r="26" spans="1:6" s="289" customFormat="1">
      <c r="A26" s="285" t="str">
        <v>AERO 473,ED4-AERO</v>
      </c>
      <c r="B26" s="286" t="s">
        <v>562</v>
      </c>
      <c r="C26" s="287">
        <v>61</v>
      </c>
      <c r="D26" s="287" t="s">
        <v>17</v>
      </c>
      <c r="E26" s="287" t="s">
        <v>172</v>
      </c>
      <c r="F26" s="287" t="s">
        <v>1539</v>
      </c>
    </row>
    <row r="27" spans="1:6" s="289" customFormat="1">
      <c r="A27" s="285" t="str">
        <v>AERO 483,ED4-AERO</v>
      </c>
      <c r="B27" s="286" t="s">
        <v>562</v>
      </c>
      <c r="C27" s="287">
        <v>61</v>
      </c>
      <c r="D27" s="287" t="str">
        <f>D26</f>
        <v>ED4-AERO</v>
      </c>
      <c r="E27" s="287" t="s">
        <v>129</v>
      </c>
      <c r="F27" s="287" t="s">
        <v>1540</v>
      </c>
    </row>
    <row r="28" spans="1:6" s="289" customFormat="1">
      <c r="A28" s="285" t="str">
        <v>AERO 491,ED4-AERO</v>
      </c>
      <c r="B28" s="286" t="s">
        <v>502</v>
      </c>
      <c r="C28" s="287">
        <v>61</v>
      </c>
      <c r="D28" s="287" t="str">
        <f>D27</f>
        <v>ED4-AERO</v>
      </c>
      <c r="E28" s="287" t="s">
        <v>243</v>
      </c>
      <c r="F28" s="287" t="s">
        <v>1541</v>
      </c>
    </row>
    <row r="29" spans="1:6" s="289" customFormat="1">
      <c r="A29" s="285" t="str">
        <v>AERO 493,ED4-AERO</v>
      </c>
      <c r="B29" s="286" t="s">
        <v>562</v>
      </c>
      <c r="C29" s="287">
        <v>61</v>
      </c>
      <c r="D29" s="287" t="str">
        <f>D28</f>
        <v>ED4-AERO</v>
      </c>
      <c r="E29" s="287" t="s">
        <v>1482</v>
      </c>
      <c r="F29" s="287" t="s">
        <v>1542</v>
      </c>
    </row>
    <row r="30" spans="1:6" s="289" customFormat="1">
      <c r="A30" s="285" t="str">
        <v>AERO 495,ED4-AERO</v>
      </c>
      <c r="B30" s="286" t="s">
        <v>470</v>
      </c>
      <c r="C30" s="287">
        <v>61</v>
      </c>
      <c r="D30" s="287" t="str">
        <f>D29</f>
        <v>ED4-AERO</v>
      </c>
      <c r="E30" s="287" t="s">
        <v>145</v>
      </c>
      <c r="F30" s="287" t="s">
        <v>1543</v>
      </c>
    </row>
    <row r="31" spans="1:6" s="8" customFormat="1">
      <c r="A31" s="285" t="str">
        <v>AERO 497,ED4-AERO</v>
      </c>
      <c r="B31" s="286" t="s">
        <v>1823</v>
      </c>
      <c r="C31" s="287">
        <v>61</v>
      </c>
      <c r="D31" s="287" t="str">
        <f>D30</f>
        <v>ED4-AERO</v>
      </c>
      <c r="E31" s="287" t="s">
        <v>1483</v>
      </c>
      <c r="F31" s="287" t="s">
        <v>1544</v>
      </c>
    </row>
    <row r="32" spans="1:6" s="289" customFormat="1">
      <c r="A32" s="285" t="str">
        <v>ME 451,ED4-AERO</v>
      </c>
      <c r="B32" s="286" t="s">
        <v>1824</v>
      </c>
      <c r="C32" s="287">
        <v>53</v>
      </c>
      <c r="D32" s="287" t="str">
        <f>D31</f>
        <v>ED4-AERO</v>
      </c>
      <c r="E32" s="287" t="s">
        <v>16</v>
      </c>
      <c r="F32" s="287" t="s">
        <v>1545</v>
      </c>
    </row>
    <row r="33" spans="1:6" s="289" customFormat="1">
      <c r="A33" s="285" t="str">
        <v>ME 473,ED4-AERO</v>
      </c>
      <c r="B33" s="286" t="s">
        <v>504</v>
      </c>
      <c r="C33" s="287">
        <v>7</v>
      </c>
      <c r="D33" s="287" t="str">
        <f>D32</f>
        <v>ED4-AERO</v>
      </c>
      <c r="E33" s="287" t="s">
        <v>14</v>
      </c>
      <c r="F33" s="287" t="s">
        <v>1546</v>
      </c>
    </row>
    <row r="34" spans="1:6" s="289" customFormat="1">
      <c r="A34" s="285" t="str">
        <v>ME 499,ED4-AERO</v>
      </c>
      <c r="B34" s="286" t="s">
        <v>1825</v>
      </c>
      <c r="C34" s="287">
        <v>2</v>
      </c>
      <c r="D34" s="287" t="str">
        <f>D33</f>
        <v>ED4-AERO</v>
      </c>
      <c r="E34" s="287" t="s">
        <v>1484</v>
      </c>
      <c r="F34" s="287" t="s">
        <v>1547</v>
      </c>
    </row>
    <row r="35" spans="1:6" s="289" customFormat="1">
      <c r="A35" s="285"/>
      <c r="B35" s="290"/>
      <c r="C35" s="287"/>
      <c r="D35" s="287"/>
      <c r="E35" s="92"/>
      <c r="F35" s="92"/>
    </row>
    <row r="36" spans="1:6" s="204" customFormat="1">
      <c r="A36" s="285" t="str">
        <v>AE 153,ED1-AE</v>
      </c>
      <c r="B36" s="291" t="s">
        <v>1826</v>
      </c>
      <c r="C36" s="292">
        <v>128</v>
      </c>
      <c r="D36" s="292" t="s">
        <v>37</v>
      </c>
      <c r="E36" s="292" t="s">
        <v>122</v>
      </c>
      <c r="F36" s="292" t="s">
        <v>1548</v>
      </c>
    </row>
    <row r="37" spans="1:6" s="204" customFormat="1">
      <c r="A37" s="285" t="str">
        <v>EE 151,ED1-AE</v>
      </c>
      <c r="B37" s="291" t="s">
        <v>1827</v>
      </c>
      <c r="C37" s="292">
        <v>135</v>
      </c>
      <c r="D37" s="292" t="str">
        <f>D36</f>
        <v>ED1-AE</v>
      </c>
      <c r="E37" s="292" t="s">
        <v>229</v>
      </c>
      <c r="F37" s="292" t="s">
        <v>474</v>
      </c>
    </row>
    <row r="38" spans="1:6" s="204" customFormat="1">
      <c r="A38" s="285" t="str">
        <v>ENGL 157,ED1-AE</v>
      </c>
      <c r="B38" s="291" t="s">
        <v>519</v>
      </c>
      <c r="C38" s="292">
        <v>128</v>
      </c>
      <c r="D38" s="292" t="str">
        <f>D37</f>
        <v>ED1-AE</v>
      </c>
      <c r="E38" s="292" t="s">
        <v>0</v>
      </c>
      <c r="F38" s="292" t="s">
        <v>473</v>
      </c>
    </row>
    <row r="39" spans="1:6" s="204" customFormat="1">
      <c r="A39" s="285" t="str">
        <v>MATH 151,ED1-AE</v>
      </c>
      <c r="B39" s="291" t="s">
        <v>1828</v>
      </c>
      <c r="C39" s="292">
        <v>128</v>
      </c>
      <c r="D39" s="292" t="str">
        <f>D38</f>
        <v>ED1-AE</v>
      </c>
      <c r="E39" s="292" t="s">
        <v>65</v>
      </c>
      <c r="F39" s="292" t="s">
        <v>472</v>
      </c>
    </row>
    <row r="40" spans="1:6" s="204" customFormat="1">
      <c r="A40" s="285" t="str">
        <v>ME 159,ED1-AE</v>
      </c>
      <c r="B40" s="291" t="s">
        <v>552</v>
      </c>
      <c r="C40" s="292">
        <v>128</v>
      </c>
      <c r="D40" s="292" t="str">
        <f>D39</f>
        <v>ED1-AE</v>
      </c>
      <c r="E40" s="292" t="s">
        <v>160</v>
      </c>
      <c r="F40" s="292" t="s">
        <v>471</v>
      </c>
    </row>
    <row r="41" spans="1:6" s="204" customFormat="1">
      <c r="A41" s="285" t="str">
        <v>ME 195,ED1-AE</v>
      </c>
      <c r="B41" s="291" t="s">
        <v>562</v>
      </c>
      <c r="C41" s="292">
        <v>128</v>
      </c>
      <c r="D41" s="292" t="str">
        <f>D40</f>
        <v>ED1-AE</v>
      </c>
      <c r="E41" s="292" t="s">
        <v>255</v>
      </c>
      <c r="F41" s="292" t="s">
        <v>1549</v>
      </c>
    </row>
    <row r="42" spans="1:6" s="204" customFormat="1">
      <c r="A42" s="285" t="str">
        <v>CE 155,ED1-AE</v>
      </c>
      <c r="B42" s="291" t="s">
        <v>1829</v>
      </c>
      <c r="C42" s="292">
        <v>130</v>
      </c>
      <c r="D42" s="292" t="str">
        <f>D41</f>
        <v>ED1-AE</v>
      </c>
      <c r="E42" s="292" t="s">
        <v>155</v>
      </c>
      <c r="F42" s="292" t="s">
        <v>475</v>
      </c>
    </row>
    <row r="43" spans="1:6" s="204" customFormat="1">
      <c r="A43" s="285" t="str">
        <v>CENG 291,ED2-AE</v>
      </c>
      <c r="B43" s="291" t="s">
        <v>1830</v>
      </c>
      <c r="C43" s="292">
        <v>155</v>
      </c>
      <c r="D43" s="292" t="s">
        <v>43</v>
      </c>
      <c r="E43" s="292" t="s">
        <v>258</v>
      </c>
      <c r="F43" s="292" t="s">
        <v>468</v>
      </c>
    </row>
    <row r="44" spans="1:6" s="204" customFormat="1">
      <c r="A44" s="285" t="str">
        <v>ENGL 263,ED2-AE</v>
      </c>
      <c r="B44" s="291" t="s">
        <v>519</v>
      </c>
      <c r="C44" s="292">
        <v>155</v>
      </c>
      <c r="D44" s="292" t="str">
        <f>D43</f>
        <v>ED2-AE</v>
      </c>
      <c r="E44" s="292" t="s">
        <v>83</v>
      </c>
      <c r="F44" s="292" t="s">
        <v>518</v>
      </c>
    </row>
    <row r="45" spans="1:6" s="204" customFormat="1">
      <c r="A45" s="285" t="str">
        <v>MATH 251,ED2-AE</v>
      </c>
      <c r="B45" s="291" t="s">
        <v>466</v>
      </c>
      <c r="C45" s="292">
        <v>155</v>
      </c>
      <c r="D45" s="292" t="str">
        <f>D44</f>
        <v>ED2-AE</v>
      </c>
      <c r="E45" s="292" t="s">
        <v>140</v>
      </c>
      <c r="F45" s="292" t="s">
        <v>465</v>
      </c>
    </row>
    <row r="46" spans="1:6" s="204" customFormat="1">
      <c r="A46" s="285" t="str">
        <v>ME 251,ED2-AE</v>
      </c>
      <c r="B46" s="291" t="s">
        <v>507</v>
      </c>
      <c r="C46" s="292">
        <v>155</v>
      </c>
      <c r="D46" s="292" t="str">
        <f>D45</f>
        <v>ED2-AE</v>
      </c>
      <c r="E46" s="292" t="s">
        <v>96</v>
      </c>
      <c r="F46" s="292" t="s">
        <v>1550</v>
      </c>
    </row>
    <row r="47" spans="1:6" s="204" customFormat="1">
      <c r="A47" s="285" t="str">
        <v>ME 255,ED2-AE</v>
      </c>
      <c r="B47" s="291" t="s">
        <v>1831</v>
      </c>
      <c r="C47" s="292">
        <v>165</v>
      </c>
      <c r="D47" s="292" t="str">
        <f>D46</f>
        <v>ED2-AE</v>
      </c>
      <c r="E47" s="292" t="s">
        <v>193</v>
      </c>
      <c r="F47" s="292" t="s">
        <v>480</v>
      </c>
    </row>
    <row r="48" spans="1:6" s="204" customFormat="1">
      <c r="A48" s="285" t="str">
        <v>ME 259,ED2-AE</v>
      </c>
      <c r="B48" s="291" t="s">
        <v>1832</v>
      </c>
      <c r="C48" s="292">
        <v>155</v>
      </c>
      <c r="D48" s="292" t="str">
        <f>D47</f>
        <v>ED2-AE</v>
      </c>
      <c r="E48" s="292" t="s">
        <v>208</v>
      </c>
      <c r="F48" s="292" t="s">
        <v>1551</v>
      </c>
    </row>
    <row r="49" spans="1:6" s="204" customFormat="1">
      <c r="A49" s="285" t="str">
        <v>ME 265,ED2-AE</v>
      </c>
      <c r="B49" s="291" t="s">
        <v>508</v>
      </c>
      <c r="C49" s="292">
        <v>155</v>
      </c>
      <c r="D49" s="292" t="str">
        <f>D48</f>
        <v>ED2-AE</v>
      </c>
      <c r="E49" s="292" t="s">
        <v>42</v>
      </c>
      <c r="F49" s="292" t="s">
        <v>1552</v>
      </c>
    </row>
    <row r="50" spans="1:6" s="204" customFormat="1">
      <c r="A50" s="285" t="str">
        <v>ME 295,ED2-AE</v>
      </c>
      <c r="B50" s="291" t="s">
        <v>501</v>
      </c>
      <c r="C50" s="292">
        <v>155</v>
      </c>
      <c r="D50" s="292" t="str">
        <f>D49</f>
        <v>ED2-AE</v>
      </c>
      <c r="E50" s="292" t="s">
        <v>262</v>
      </c>
      <c r="F50" s="292" t="s">
        <v>513</v>
      </c>
    </row>
    <row r="51" spans="1:6" s="204" customFormat="1">
      <c r="A51" s="285" t="str">
        <v>AE 351,ED3-AE</v>
      </c>
      <c r="B51" s="291" t="s">
        <v>1833</v>
      </c>
      <c r="C51" s="292">
        <v>100</v>
      </c>
      <c r="D51" s="292" t="s">
        <v>50</v>
      </c>
      <c r="E51" s="292" t="s">
        <v>329</v>
      </c>
      <c r="F51" s="292" t="s">
        <v>1553</v>
      </c>
    </row>
    <row r="52" spans="1:6" s="204" customFormat="1">
      <c r="A52" s="285" t="str">
        <v>AE 353,ED3-AE</v>
      </c>
      <c r="B52" s="291" t="s">
        <v>1834</v>
      </c>
      <c r="C52" s="292">
        <v>100</v>
      </c>
      <c r="D52" s="292" t="str">
        <f>D51</f>
        <v>ED3-AE</v>
      </c>
      <c r="E52" s="292" t="s">
        <v>142</v>
      </c>
      <c r="F52" s="292" t="s">
        <v>1554</v>
      </c>
    </row>
    <row r="53" spans="1:6" s="204" customFormat="1">
      <c r="A53" s="285" t="str">
        <v>AE 373,ED3-AE</v>
      </c>
      <c r="B53" s="291" t="s">
        <v>552</v>
      </c>
      <c r="C53" s="292">
        <v>100</v>
      </c>
      <c r="D53" s="292" t="str">
        <f>D52</f>
        <v>ED3-AE</v>
      </c>
      <c r="E53" s="292" t="s">
        <v>196</v>
      </c>
      <c r="F53" s="292" t="s">
        <v>1555</v>
      </c>
    </row>
    <row r="54" spans="1:6" s="204" customFormat="1">
      <c r="A54" s="285" t="str">
        <v>AE 381,ED3-AE</v>
      </c>
      <c r="B54" s="291" t="s">
        <v>561</v>
      </c>
      <c r="C54" s="292">
        <v>100</v>
      </c>
      <c r="D54" s="292" t="str">
        <f>D53</f>
        <v>ED3-AE</v>
      </c>
      <c r="E54" s="292" t="s">
        <v>319</v>
      </c>
      <c r="F54" s="292" t="s">
        <v>1556</v>
      </c>
    </row>
    <row r="55" spans="1:6" s="204" customFormat="1">
      <c r="A55" s="285" t="str">
        <v>MATH 351,ED3-AE</v>
      </c>
      <c r="B55" s="291" t="s">
        <v>530</v>
      </c>
      <c r="C55" s="292">
        <v>100</v>
      </c>
      <c r="D55" s="292" t="str">
        <f>D54</f>
        <v>ED3-AE</v>
      </c>
      <c r="E55" s="292" t="s">
        <v>47</v>
      </c>
      <c r="F55" s="292" t="s">
        <v>463</v>
      </c>
    </row>
    <row r="56" spans="1:6" s="204" customFormat="1">
      <c r="A56" s="285" t="str">
        <v>ME 355,ED3-AE</v>
      </c>
      <c r="B56" s="291" t="s">
        <v>520</v>
      </c>
      <c r="C56" s="292">
        <v>100</v>
      </c>
      <c r="D56" s="292" t="str">
        <f>D55</f>
        <v>ED3-AE</v>
      </c>
      <c r="E56" s="292" t="s">
        <v>190</v>
      </c>
      <c r="F56" s="292" t="s">
        <v>1557</v>
      </c>
    </row>
    <row r="57" spans="1:6" s="204" customFormat="1">
      <c r="A57" s="285" t="str">
        <v>ME 365,ED3-AE</v>
      </c>
      <c r="B57" s="291" t="s">
        <v>508</v>
      </c>
      <c r="C57" s="292">
        <v>100</v>
      </c>
      <c r="D57" s="292" t="str">
        <f>D56</f>
        <v>ED3-AE</v>
      </c>
      <c r="E57" s="292" t="s">
        <v>216</v>
      </c>
      <c r="F57" s="292" t="s">
        <v>1558</v>
      </c>
    </row>
    <row r="58" spans="1:6" s="204" customFormat="1">
      <c r="A58" s="285" t="str">
        <v>AE 451,ED4-AE</v>
      </c>
      <c r="B58" s="291" t="s">
        <v>1835</v>
      </c>
      <c r="C58" s="292">
        <v>103</v>
      </c>
      <c r="D58" s="292" t="s">
        <v>41</v>
      </c>
      <c r="E58" s="292" t="s">
        <v>225</v>
      </c>
      <c r="F58" s="292" t="s">
        <v>1559</v>
      </c>
    </row>
    <row r="59" spans="1:6" s="204" customFormat="1">
      <c r="A59" s="285" t="str">
        <v>AE 453,ED4-AE</v>
      </c>
      <c r="B59" s="291" t="s">
        <v>1830</v>
      </c>
      <c r="C59" s="292">
        <v>103</v>
      </c>
      <c r="D59" s="292" t="str">
        <f>D58</f>
        <v>ED4-AE</v>
      </c>
      <c r="E59" s="292" t="s">
        <v>318</v>
      </c>
      <c r="F59" s="292" t="s">
        <v>1560</v>
      </c>
    </row>
    <row r="60" spans="1:6" s="204" customFormat="1">
      <c r="A60" s="285" t="str">
        <v>AE 457,ED4-AE</v>
      </c>
      <c r="B60" s="291" t="s">
        <v>1836</v>
      </c>
      <c r="C60" s="292">
        <v>103</v>
      </c>
      <c r="D60" s="292" t="str">
        <f>D59</f>
        <v>ED4-AE</v>
      </c>
      <c r="E60" s="292" t="s">
        <v>146</v>
      </c>
      <c r="F60" s="292" t="s">
        <v>1561</v>
      </c>
    </row>
    <row r="61" spans="1:6" s="204" customFormat="1">
      <c r="A61" s="285" t="str">
        <v>AE 459,ED4-AE</v>
      </c>
      <c r="B61" s="291" t="s">
        <v>523</v>
      </c>
      <c r="C61" s="292">
        <v>103</v>
      </c>
      <c r="D61" s="292" t="str">
        <f>D60</f>
        <v>ED4-AE</v>
      </c>
      <c r="E61" s="292" t="s">
        <v>171</v>
      </c>
      <c r="F61" s="292" t="s">
        <v>1562</v>
      </c>
    </row>
    <row r="62" spans="1:6" s="204" customFormat="1">
      <c r="A62" s="285" t="str">
        <v>AE 471,ED4-AE</v>
      </c>
      <c r="B62" s="291" t="s">
        <v>1837</v>
      </c>
      <c r="C62" s="292">
        <v>103</v>
      </c>
      <c r="D62" s="292" t="str">
        <f>D61</f>
        <v>ED4-AE</v>
      </c>
      <c r="E62" s="292" t="s">
        <v>130</v>
      </c>
      <c r="F62" s="292" t="s">
        <v>1563</v>
      </c>
    </row>
    <row r="63" spans="1:6" s="204" customFormat="1">
      <c r="A63" s="285" t="str">
        <v>AE 497,ED4-AE</v>
      </c>
      <c r="B63" s="291" t="s">
        <v>1838</v>
      </c>
      <c r="C63" s="292">
        <v>103</v>
      </c>
      <c r="D63" s="292" t="str">
        <f>D62</f>
        <v>ED4-AE</v>
      </c>
      <c r="E63" s="292" t="s">
        <v>1485</v>
      </c>
      <c r="F63" s="292" t="s">
        <v>1544</v>
      </c>
    </row>
    <row r="64" spans="1:6" s="204" customFormat="1">
      <c r="A64" s="285" t="str">
        <v>ME 491,ED4-AE</v>
      </c>
      <c r="B64" s="291" t="s">
        <v>523</v>
      </c>
      <c r="C64" s="292">
        <v>103</v>
      </c>
      <c r="D64" s="292" t="str">
        <f>D63</f>
        <v>ED4-AE</v>
      </c>
      <c r="E64" s="292" t="s">
        <v>244</v>
      </c>
      <c r="F64" s="292" t="s">
        <v>1564</v>
      </c>
    </row>
    <row r="65" spans="1:6" s="204" customFormat="1">
      <c r="A65" s="285" t="str">
        <f>_xlfn.CONCAT(E65,",",D65)</f>
        <v>AE 499,ED4-AE</v>
      </c>
      <c r="B65" s="291" t="s">
        <v>1832</v>
      </c>
      <c r="C65" s="292">
        <v>103</v>
      </c>
      <c r="D65" s="292" t="str">
        <f>D64</f>
        <v>ED4-AE</v>
      </c>
      <c r="E65" s="292" t="s">
        <v>1486</v>
      </c>
      <c r="F65" s="292" t="s">
        <v>1565</v>
      </c>
    </row>
    <row r="66" spans="1:6" s="295" customFormat="1">
      <c r="A66" s="285" t="str">
        <v>AI 150,ED1-AUTO</v>
      </c>
      <c r="B66" s="293" t="s">
        <v>1839</v>
      </c>
      <c r="C66" s="294">
        <v>85</v>
      </c>
      <c r="D66" s="294" t="s">
        <v>2</v>
      </c>
      <c r="E66" s="294" t="s">
        <v>1487</v>
      </c>
      <c r="F66" s="294" t="s">
        <v>1566</v>
      </c>
    </row>
    <row r="67" spans="1:6" s="295" customFormat="1">
      <c r="A67" s="285" t="str">
        <v>AME 167,ED1-AUTO</v>
      </c>
      <c r="B67" s="293" t="s">
        <v>1823</v>
      </c>
      <c r="C67" s="294">
        <v>85</v>
      </c>
      <c r="D67" s="294" t="str">
        <f>D66</f>
        <v>ED1-AUTO</v>
      </c>
      <c r="E67" s="294" t="s">
        <v>328</v>
      </c>
      <c r="F67" s="294" t="s">
        <v>1567</v>
      </c>
    </row>
    <row r="68" spans="1:6" s="295" customFormat="1">
      <c r="A68" s="285" t="str">
        <v>ECON 151,ED1-AUTO</v>
      </c>
      <c r="B68" s="293" t="s">
        <v>467</v>
      </c>
      <c r="C68" s="294">
        <v>85</v>
      </c>
      <c r="D68" s="294" t="str">
        <f>D67</f>
        <v>ED1-AUTO</v>
      </c>
      <c r="E68" s="294" t="s">
        <v>177</v>
      </c>
      <c r="F68" s="294" t="s">
        <v>1568</v>
      </c>
    </row>
    <row r="69" spans="1:6" s="295" customFormat="1">
      <c r="A69" s="285" t="str">
        <v>EE 151,ED1-AUTO</v>
      </c>
      <c r="B69" s="293" t="s">
        <v>464</v>
      </c>
      <c r="C69" s="294">
        <v>87</v>
      </c>
      <c r="D69" s="294" t="str">
        <f>D68</f>
        <v>ED1-AUTO</v>
      </c>
      <c r="E69" s="294" t="s">
        <v>229</v>
      </c>
      <c r="F69" s="294" t="s">
        <v>474</v>
      </c>
    </row>
    <row r="70" spans="1:6" s="295" customFormat="1">
      <c r="A70" s="285" t="str">
        <v>ENGL 157,ED1-AUTO</v>
      </c>
      <c r="B70" s="293" t="s">
        <v>1840</v>
      </c>
      <c r="C70" s="294">
        <v>85</v>
      </c>
      <c r="D70" s="294" t="str">
        <f>D69</f>
        <v>ED1-AUTO</v>
      </c>
      <c r="E70" s="294" t="s">
        <v>0</v>
      </c>
      <c r="F70" s="294" t="s">
        <v>473</v>
      </c>
    </row>
    <row r="71" spans="1:6" s="295" customFormat="1">
      <c r="A71" s="285" t="str">
        <v>MATH 151,ED1-AUTO</v>
      </c>
      <c r="B71" s="293" t="s">
        <v>1841</v>
      </c>
      <c r="C71" s="294">
        <v>85</v>
      </c>
      <c r="D71" s="294" t="str">
        <f>D70</f>
        <v>ED1-AUTO</v>
      </c>
      <c r="E71" s="294" t="s">
        <v>65</v>
      </c>
      <c r="F71" s="294" t="s">
        <v>472</v>
      </c>
    </row>
    <row r="72" spans="1:6" s="295" customFormat="1">
      <c r="A72" s="285" t="str">
        <v>ME 159,ED1-AUTO</v>
      </c>
      <c r="B72" s="293" t="s">
        <v>505</v>
      </c>
      <c r="C72" s="294">
        <v>85</v>
      </c>
      <c r="D72" s="294" t="str">
        <f>D71</f>
        <v>ED1-AUTO</v>
      </c>
      <c r="E72" s="294" t="s">
        <v>160</v>
      </c>
      <c r="F72" s="294" t="s">
        <v>471</v>
      </c>
    </row>
    <row r="73" spans="1:6" s="295" customFormat="1">
      <c r="A73" s="285" t="str">
        <v>ME 195,ED1-AUTO</v>
      </c>
      <c r="B73" s="293" t="s">
        <v>516</v>
      </c>
      <c r="C73" s="294">
        <v>85</v>
      </c>
      <c r="D73" s="294" t="str">
        <f>D72</f>
        <v>ED1-AUTO</v>
      </c>
      <c r="E73" s="294" t="s">
        <v>255</v>
      </c>
      <c r="F73" s="294" t="s">
        <v>1569</v>
      </c>
    </row>
    <row r="74" spans="1:6" s="295" customFormat="1">
      <c r="A74" s="285" t="str">
        <v>AME 295,ED2-AUTO</v>
      </c>
      <c r="B74" s="293" t="s">
        <v>1842</v>
      </c>
      <c r="C74" s="294">
        <v>82</v>
      </c>
      <c r="D74" s="294" t="s">
        <v>101</v>
      </c>
      <c r="E74" s="294" t="s">
        <v>1488</v>
      </c>
      <c r="F74" s="294" t="s">
        <v>1570</v>
      </c>
    </row>
    <row r="75" spans="1:6" s="295" customFormat="1">
      <c r="A75" s="285" t="str">
        <v>CENG 291,ED2-AUTO</v>
      </c>
      <c r="B75" s="293" t="s">
        <v>515</v>
      </c>
      <c r="C75" s="294">
        <v>82</v>
      </c>
      <c r="D75" s="294" t="str">
        <f>D74</f>
        <v>ED2-AUTO</v>
      </c>
      <c r="E75" s="294" t="s">
        <v>258</v>
      </c>
      <c r="F75" s="294" t="s">
        <v>468</v>
      </c>
    </row>
    <row r="76" spans="1:6" s="295" customFormat="1">
      <c r="A76" s="285" t="str">
        <v>MATH 251,ED2-AUTO</v>
      </c>
      <c r="B76" s="293" t="s">
        <v>487</v>
      </c>
      <c r="C76" s="294">
        <v>82</v>
      </c>
      <c r="D76" s="294" t="str">
        <f>D75</f>
        <v>ED2-AUTO</v>
      </c>
      <c r="E76" s="294" t="s">
        <v>140</v>
      </c>
      <c r="F76" s="294" t="s">
        <v>465</v>
      </c>
    </row>
    <row r="77" spans="1:6" s="295" customFormat="1">
      <c r="A77" s="285" t="str">
        <v>ME 251,ED2-AUTO</v>
      </c>
      <c r="B77" s="293" t="s">
        <v>1823</v>
      </c>
      <c r="C77" s="294">
        <v>82</v>
      </c>
      <c r="D77" s="294" t="str">
        <f>D76</f>
        <v>ED2-AUTO</v>
      </c>
      <c r="E77" s="294" t="s">
        <v>96</v>
      </c>
      <c r="F77" s="294" t="s">
        <v>517</v>
      </c>
    </row>
    <row r="78" spans="1:6" s="295" customFormat="1">
      <c r="A78" s="285" t="str">
        <v>ME 255,ED2-AUTO</v>
      </c>
      <c r="B78" s="293" t="s">
        <v>524</v>
      </c>
      <c r="C78" s="294">
        <v>85</v>
      </c>
      <c r="D78" s="294" t="str">
        <f>D77</f>
        <v>ED2-AUTO</v>
      </c>
      <c r="E78" s="294" t="s">
        <v>193</v>
      </c>
      <c r="F78" s="294" t="s">
        <v>480</v>
      </c>
    </row>
    <row r="79" spans="1:6" s="295" customFormat="1">
      <c r="A79" s="285" t="str">
        <v>ME 259,ED2-AUTO</v>
      </c>
      <c r="B79" s="293" t="s">
        <v>1842</v>
      </c>
      <c r="C79" s="294">
        <v>82</v>
      </c>
      <c r="D79" s="294" t="str">
        <f>D78</f>
        <v>ED2-AUTO</v>
      </c>
      <c r="E79" s="294" t="s">
        <v>208</v>
      </c>
      <c r="F79" s="294" t="s">
        <v>1551</v>
      </c>
    </row>
    <row r="80" spans="1:6" s="295" customFormat="1">
      <c r="A80" s="285" t="str">
        <v>ME 261,ED2-AUTO</v>
      </c>
      <c r="B80" s="293" t="s">
        <v>516</v>
      </c>
      <c r="C80" s="294">
        <v>82</v>
      </c>
      <c r="D80" s="294" t="str">
        <f>D79</f>
        <v>ED2-AUTO</v>
      </c>
      <c r="E80" s="294" t="s">
        <v>230</v>
      </c>
      <c r="F80" s="294" t="s">
        <v>1538</v>
      </c>
    </row>
    <row r="81" spans="1:6" s="295" customFormat="1">
      <c r="A81" s="285" t="str">
        <v>ME 281,ED2-AUTO</v>
      </c>
      <c r="B81" s="293" t="s">
        <v>1831</v>
      </c>
      <c r="C81" s="294">
        <v>82</v>
      </c>
      <c r="D81" s="294" t="str">
        <f>D80</f>
        <v>ED2-AUTO</v>
      </c>
      <c r="E81" s="294" t="s">
        <v>168</v>
      </c>
      <c r="F81" s="294" t="s">
        <v>514</v>
      </c>
    </row>
    <row ht="15.75" r="82" spans="1:6" s="295" customFormat="1">
      <c r="A82" s="285"/>
      <c r="B82" s="296"/>
      <c r="C82" s="294"/>
      <c r="D82" s="297"/>
      <c r="E82" s="297"/>
      <c r="F82" s="297"/>
    </row>
    <row r="83" spans="1:6" s="295" customFormat="1">
      <c r="A83" s="285" t="str">
        <v>AME 365,ED3-AUTO</v>
      </c>
      <c r="B83" s="293" t="s">
        <v>508</v>
      </c>
      <c r="C83" s="294">
        <v>40</v>
      </c>
      <c r="D83" s="294" t="s">
        <v>105</v>
      </c>
      <c r="E83" s="294" t="s">
        <v>313</v>
      </c>
      <c r="F83" s="294" t="s">
        <v>1571</v>
      </c>
    </row>
    <row r="84" spans="1:6" s="295" customFormat="1">
      <c r="A84" s="285" t="str">
        <v>AME 371,ED3-AUTO</v>
      </c>
      <c r="B84" s="293" t="s">
        <v>1842</v>
      </c>
      <c r="C84" s="294">
        <v>40</v>
      </c>
      <c r="D84" s="294" t="str">
        <f>D83</f>
        <v>ED3-AUTO</v>
      </c>
      <c r="E84" s="294" t="s">
        <v>316</v>
      </c>
      <c r="F84" s="294" t="s">
        <v>1572</v>
      </c>
    </row>
    <row r="85" spans="1:6" s="295" customFormat="1">
      <c r="A85" s="285" t="str">
        <v>AME 373,ED3-AUTO</v>
      </c>
      <c r="B85" s="293" t="s">
        <v>1843</v>
      </c>
      <c r="C85" s="294">
        <v>40</v>
      </c>
      <c r="D85" s="294" t="str">
        <f>D84</f>
        <v>ED3-AUTO</v>
      </c>
      <c r="E85" s="294" t="s">
        <v>317</v>
      </c>
      <c r="F85" s="294" t="s">
        <v>1573</v>
      </c>
    </row>
    <row r="86" spans="1:6" s="295" customFormat="1">
      <c r="A86" s="285" t="str">
        <v>AME 379,ED3-AUTO</v>
      </c>
      <c r="B86" s="293" t="s">
        <v>1842</v>
      </c>
      <c r="C86" s="294">
        <v>40</v>
      </c>
      <c r="D86" s="294" t="str">
        <f>D85</f>
        <v>ED3-AUTO</v>
      </c>
      <c r="E86" s="294" t="s">
        <v>1489</v>
      </c>
      <c r="F86" s="294" t="s">
        <v>1574</v>
      </c>
    </row>
    <row r="87" spans="1:6" s="295" customFormat="1">
      <c r="A87" s="285" t="str">
        <v>AME 381,ED3-AUTO</v>
      </c>
      <c r="B87" s="293" t="s">
        <v>1842</v>
      </c>
      <c r="C87" s="294">
        <v>40</v>
      </c>
      <c r="D87" s="294" t="str">
        <f>D86</f>
        <v>ED3-AUTO</v>
      </c>
      <c r="E87" s="294" t="s">
        <v>1490</v>
      </c>
      <c r="F87" s="294" t="s">
        <v>1575</v>
      </c>
    </row>
    <row r="88" spans="1:6" s="295" customFormat="1">
      <c r="A88" s="285" t="str">
        <v>AME 395,ED3-AUTO</v>
      </c>
      <c r="B88" s="293" t="s">
        <v>524</v>
      </c>
      <c r="C88" s="294">
        <v>40</v>
      </c>
      <c r="D88" s="294" t="str">
        <f>D87</f>
        <v>ED3-AUTO</v>
      </c>
      <c r="E88" s="294" t="s">
        <v>327</v>
      </c>
      <c r="F88" s="294" t="s">
        <v>1576</v>
      </c>
    </row>
    <row r="89" spans="1:6" s="295" customFormat="1">
      <c r="A89" s="285" t="str">
        <v>MATH 351,ED3-AUTO</v>
      </c>
      <c r="B89" s="293" t="s">
        <v>1841</v>
      </c>
      <c r="C89" s="294">
        <v>40</v>
      </c>
      <c r="D89" s="294" t="str">
        <f>D88</f>
        <v>ED3-AUTO</v>
      </c>
      <c r="E89" s="294" t="s">
        <v>47</v>
      </c>
      <c r="F89" s="294" t="s">
        <v>463</v>
      </c>
    </row>
    <row r="90" spans="1:6" s="295" customFormat="1">
      <c r="A90" s="285" t="str">
        <v>ME 361,ED3-AUTO</v>
      </c>
      <c r="B90" s="293" t="s">
        <v>516</v>
      </c>
      <c r="C90" s="294">
        <v>40</v>
      </c>
      <c r="D90" s="294" t="str">
        <f>D89</f>
        <v>ED3-AUTO</v>
      </c>
      <c r="E90" s="294" t="s">
        <v>223</v>
      </c>
      <c r="F90" s="294" t="s">
        <v>1577</v>
      </c>
    </row>
    <row r="91" spans="1:6" s="295" customFormat="1">
      <c r="A91" s="285" t="str">
        <v>STAT 253,ED3-AUTO</v>
      </c>
      <c r="B91" s="293" t="s">
        <v>1844</v>
      </c>
      <c r="C91" s="294">
        <v>40</v>
      </c>
      <c r="D91" s="294" t="str">
        <f>D90</f>
        <v>ED3-AUTO</v>
      </c>
      <c r="E91" s="294" t="s">
        <v>371</v>
      </c>
      <c r="F91" s="294" t="s">
        <v>462</v>
      </c>
    </row>
    <row r="92" spans="1:6" s="295" customFormat="1">
      <c r="A92" s="285" t="str">
        <v>AME 455,ED4-AUTO</v>
      </c>
      <c r="B92" s="293" t="s">
        <v>505</v>
      </c>
      <c r="C92" s="294">
        <v>32</v>
      </c>
      <c r="D92" s="294" t="s">
        <v>112</v>
      </c>
      <c r="E92" s="294" t="s">
        <v>348</v>
      </c>
      <c r="F92" s="294" t="s">
        <v>1578</v>
      </c>
    </row>
    <row r="93" spans="1:6" s="295" customFormat="1">
      <c r="A93" s="285" t="str">
        <v>AME 467,ED4-AUTO</v>
      </c>
      <c r="B93" s="293" t="s">
        <v>1845</v>
      </c>
      <c r="C93" s="294">
        <v>32</v>
      </c>
      <c r="D93" s="294" t="str">
        <f>D92</f>
        <v>ED4-AUTO</v>
      </c>
      <c r="E93" s="294" t="s">
        <v>351</v>
      </c>
      <c r="F93" s="294" t="s">
        <v>1579</v>
      </c>
    </row>
    <row r="94" spans="1:6" s="295" customFormat="1">
      <c r="A94" s="285" t="str">
        <v>AME 479,ED4-AUTO</v>
      </c>
      <c r="B94" s="293" t="s">
        <v>504</v>
      </c>
      <c r="C94" s="294">
        <v>32</v>
      </c>
      <c r="D94" s="294" t="str">
        <f>D93</f>
        <v>ED4-AUTO</v>
      </c>
      <c r="E94" s="294" t="s">
        <v>1491</v>
      </c>
      <c r="F94" s="294" t="s">
        <v>1580</v>
      </c>
    </row>
    <row r="95" spans="1:6" s="295" customFormat="1">
      <c r="A95" s="285" t="str">
        <v>AME 485,ED4-AUTO</v>
      </c>
      <c r="B95" s="293" t="s">
        <v>1845</v>
      </c>
      <c r="C95" s="294">
        <v>32</v>
      </c>
      <c r="D95" s="294" t="str">
        <f>D94</f>
        <v>ED4-AUTO</v>
      </c>
      <c r="E95" s="294" t="s">
        <v>352</v>
      </c>
      <c r="F95" s="294" t="s">
        <v>1581</v>
      </c>
    </row>
    <row r="96" spans="1:6" s="295" customFormat="1">
      <c r="A96" s="285" t="str">
        <v>AME 495,ED4-AUTO</v>
      </c>
      <c r="B96" s="293" t="s">
        <v>1842</v>
      </c>
      <c r="C96" s="294">
        <v>32</v>
      </c>
      <c r="D96" s="294" t="str">
        <f>D95</f>
        <v>ED4-AUTO</v>
      </c>
      <c r="E96" s="294" t="s">
        <v>1492</v>
      </c>
      <c r="F96" s="294" t="s">
        <v>1582</v>
      </c>
    </row>
    <row r="97" spans="1:6" s="295" customFormat="1">
      <c r="A97" s="285" t="str">
        <v>AME 497,ED4-AUTO</v>
      </c>
      <c r="B97" s="293" t="s">
        <v>1823</v>
      </c>
      <c r="C97" s="294">
        <v>32</v>
      </c>
      <c r="D97" s="294" t="str">
        <f>D96</f>
        <v>ED4-AUTO</v>
      </c>
      <c r="E97" s="294" t="s">
        <v>1493</v>
      </c>
      <c r="F97" s="294" t="s">
        <v>1583</v>
      </c>
    </row>
    <row r="98" spans="1:6" s="295" customFormat="1">
      <c r="A98" s="285" t="str">
        <v>ME 453,ED4-AUTO</v>
      </c>
      <c r="B98" s="293" t="s">
        <v>507</v>
      </c>
      <c r="C98" s="294">
        <v>32</v>
      </c>
      <c r="D98" s="294" t="str">
        <f>D97</f>
        <v>ED4-AUTO</v>
      </c>
      <c r="E98" s="294" t="s">
        <v>153</v>
      </c>
      <c r="F98" s="294" t="s">
        <v>1584</v>
      </c>
    </row>
    <row r="99" spans="1:6" s="295" customFormat="1">
      <c r="A99" s="285" t="str">
        <v>ME 491,ED4-AUTO</v>
      </c>
      <c r="B99" s="293" t="s">
        <v>1846</v>
      </c>
      <c r="C99" s="294">
        <v>32</v>
      </c>
      <c r="D99" s="294" t="str">
        <f>D98</f>
        <v>ED4-AUTO</v>
      </c>
      <c r="E99" s="294" t="s">
        <v>244</v>
      </c>
      <c r="F99" s="294" t="s">
        <v>1585</v>
      </c>
    </row>
    <row r="100" spans="1:6">
      <c r="A100" s="285" t="str">
        <v>BME 161,ED1-BME</v>
      </c>
      <c r="B100" s="298" t="s">
        <v>560</v>
      </c>
      <c r="C100" s="299">
        <v>136</v>
      </c>
      <c r="D100" s="299" t="s">
        <v>33</v>
      </c>
      <c r="E100" s="299" t="s">
        <v>95</v>
      </c>
      <c r="F100" s="299" t="s">
        <v>1586</v>
      </c>
    </row>
    <row r="101" spans="1:6" s="204" customFormat="1">
      <c r="A101" s="285" t="str">
        <v>CHEM 151,ED1-BME</v>
      </c>
      <c r="B101" s="298" t="s">
        <v>1847</v>
      </c>
      <c r="C101" s="299">
        <v>136</v>
      </c>
      <c r="D101" s="299" t="s">
        <v>33</v>
      </c>
      <c r="E101" s="299" t="s">
        <v>456</v>
      </c>
      <c r="F101" s="299" t="s">
        <v>1587</v>
      </c>
    </row>
    <row r="102" spans="1:6" s="204" customFormat="1">
      <c r="A102" s="285" t="str">
        <v>COE 153,ED1-BME</v>
      </c>
      <c r="B102" s="298" t="s">
        <v>559</v>
      </c>
      <c r="C102" s="299">
        <v>136</v>
      </c>
      <c r="D102" s="299" t="str">
        <f>D101</f>
        <v>ED1-BME</v>
      </c>
      <c r="E102" s="299" t="s">
        <v>546</v>
      </c>
      <c r="F102" s="299" t="s">
        <v>1588</v>
      </c>
    </row>
    <row r="103" spans="1:6" s="204" customFormat="1">
      <c r="A103" s="285" t="str">
        <v>EE 151,ED1-BME</v>
      </c>
      <c r="B103" s="298" t="s">
        <v>1134</v>
      </c>
      <c r="C103" s="299">
        <v>140</v>
      </c>
      <c r="D103" s="299" t="str">
        <f>D102</f>
        <v>ED1-BME</v>
      </c>
      <c r="E103" s="299" t="s">
        <v>229</v>
      </c>
      <c r="F103" s="299" t="s">
        <v>474</v>
      </c>
    </row>
    <row r="104" spans="1:6" s="204" customFormat="1">
      <c r="A104" s="285" t="str">
        <v>ENGL 157,ED1-BME</v>
      </c>
      <c r="B104" s="298" t="s">
        <v>1848</v>
      </c>
      <c r="C104" s="299">
        <v>136</v>
      </c>
      <c r="D104" s="299" t="str">
        <f>D103</f>
        <v>ED1-BME</v>
      </c>
      <c r="E104" s="299" t="s">
        <v>0</v>
      </c>
      <c r="F104" s="299" t="s">
        <v>473</v>
      </c>
    </row>
    <row r="105" spans="1:6" s="204" customFormat="1">
      <c r="A105" s="285" t="str">
        <v>MATH 151,ED1-BME</v>
      </c>
      <c r="B105" s="298" t="s">
        <v>1828</v>
      </c>
      <c r="C105" s="299">
        <v>136</v>
      </c>
      <c r="D105" s="299" t="str">
        <f>D104</f>
        <v>ED1-BME</v>
      </c>
      <c r="E105" s="299" t="s">
        <v>65</v>
      </c>
      <c r="F105" s="299" t="s">
        <v>472</v>
      </c>
    </row>
    <row r="106" spans="1:6">
      <c r="A106" s="285" t="str">
        <v>ME 161,ED1-BME</v>
      </c>
      <c r="B106" s="298" t="s">
        <v>515</v>
      </c>
      <c r="C106" s="299">
        <v>136</v>
      </c>
      <c r="D106" s="299" t="str">
        <f>D105</f>
        <v>ED1-BME</v>
      </c>
      <c r="E106" s="299" t="s">
        <v>154</v>
      </c>
      <c r="F106" s="299" t="s">
        <v>1589</v>
      </c>
    </row>
    <row r="107" spans="1:6">
      <c r="C107" s="299"/>
    </row>
    <row r="108" spans="1:6" s="204" customFormat="1">
      <c r="A108" s="285" t="str">
        <v>BME 291,ED2-BME</v>
      </c>
      <c r="B108" s="298" t="s">
        <v>559</v>
      </c>
      <c r="C108" s="299">
        <v>80</v>
      </c>
      <c r="D108" s="299" t="s">
        <v>86</v>
      </c>
      <c r="E108" s="299" t="s">
        <v>1494</v>
      </c>
      <c r="F108" s="299" t="s">
        <v>1590</v>
      </c>
    </row>
    <row r="109" spans="1:6" s="204" customFormat="1">
      <c r="A109" s="285" t="str">
        <v>BME 265,ED2-BME</v>
      </c>
      <c r="B109" s="298" t="s">
        <v>545</v>
      </c>
      <c r="C109" s="299">
        <v>80</v>
      </c>
      <c r="D109" s="299" t="str">
        <f>D108</f>
        <v>ED2-BME</v>
      </c>
      <c r="E109" s="299" t="s">
        <v>1495</v>
      </c>
      <c r="F109" s="299" t="s">
        <v>1591</v>
      </c>
    </row>
    <row r="110" spans="1:6" s="204" customFormat="1">
      <c r="A110" s="285" t="str">
        <v>ACF 255,ED2-BME</v>
      </c>
      <c r="B110" s="298" t="s">
        <v>1849</v>
      </c>
      <c r="C110" s="299">
        <v>18</v>
      </c>
      <c r="D110" s="299" t="str">
        <f>D109</f>
        <v>ED2-BME</v>
      </c>
      <c r="E110" s="299" t="s">
        <v>383</v>
      </c>
      <c r="F110" s="299" t="s">
        <v>1592</v>
      </c>
    </row>
    <row r="111" spans="1:6" s="204" customFormat="1">
      <c r="A111" s="285" t="str">
        <v>BME 285,ED2-BME</v>
      </c>
      <c r="B111" s="298" t="s">
        <v>557</v>
      </c>
      <c r="C111" s="299">
        <v>80</v>
      </c>
      <c r="D111" s="299" t="str">
        <f>D110</f>
        <v>ED2-BME</v>
      </c>
      <c r="E111" s="299" t="s">
        <v>162</v>
      </c>
      <c r="F111" s="299" t="s">
        <v>1593</v>
      </c>
    </row>
    <row r="112" spans="1:6" s="204" customFormat="1">
      <c r="A112" s="285" t="str">
        <v>CENG 291,ED2-BME</v>
      </c>
      <c r="B112" s="298" t="s">
        <v>545</v>
      </c>
      <c r="C112" s="299">
        <v>80</v>
      </c>
      <c r="D112" s="299" t="str">
        <f>D111</f>
        <v>ED2-BME</v>
      </c>
      <c r="E112" s="299" t="s">
        <v>258</v>
      </c>
      <c r="F112" s="299" t="s">
        <v>468</v>
      </c>
    </row>
    <row r="113" spans="1:6" s="204" customFormat="1">
      <c r="A113" s="285" t="str">
        <v>COE 271,ED2-BME</v>
      </c>
      <c r="B113" s="298" t="s">
        <v>536</v>
      </c>
      <c r="C113" s="299">
        <v>80</v>
      </c>
      <c r="D113" s="299" t="str">
        <f>D112</f>
        <v>ED2-BME</v>
      </c>
      <c r="E113" s="299" t="s">
        <v>228</v>
      </c>
      <c r="F113" s="299" t="s">
        <v>1594</v>
      </c>
    </row>
    <row r="114" spans="1:6" s="204" customFormat="1">
      <c r="A114" s="285" t="str">
        <v>COE 281,ED2-BME</v>
      </c>
      <c r="B114" s="298" t="s">
        <v>560</v>
      </c>
      <c r="C114" s="299">
        <v>80</v>
      </c>
      <c r="D114" s="299" t="str">
        <f>D113</f>
        <v>ED2-BME</v>
      </c>
      <c r="E114" s="299" t="s">
        <v>389</v>
      </c>
      <c r="F114" s="299" t="s">
        <v>1472</v>
      </c>
    </row>
    <row r="115" spans="1:6" s="204" customFormat="1">
      <c r="A115" s="285" t="str">
        <v>ECON 151,ED2-BME</v>
      </c>
      <c r="B115" s="298" t="s">
        <v>467</v>
      </c>
      <c r="C115" s="299">
        <v>80</v>
      </c>
      <c r="D115" s="299" t="str">
        <f>D114</f>
        <v>ED2-BME</v>
      </c>
      <c r="E115" s="299" t="s">
        <v>177</v>
      </c>
      <c r="F115" s="299" t="s">
        <v>1595</v>
      </c>
    </row>
    <row r="116" spans="1:6" s="204" customFormat="1">
      <c r="A116" s="285" t="str">
        <v>FC 181,ED2-BME</v>
      </c>
      <c r="B116" s="298" t="s">
        <v>1850</v>
      </c>
      <c r="C116" s="299">
        <v>42</v>
      </c>
      <c r="D116" s="299" t="str">
        <f>D115</f>
        <v>ED2-BME</v>
      </c>
      <c r="E116" s="299" t="s">
        <v>246</v>
      </c>
      <c r="F116" s="299" t="s">
        <v>1596</v>
      </c>
    </row>
    <row r="117" spans="1:6" s="204" customFormat="1">
      <c r="A117" s="285" t="str">
        <v>MATH 251,ED2-BME</v>
      </c>
      <c r="B117" s="298" t="s">
        <v>487</v>
      </c>
      <c r="C117" s="299">
        <v>80</v>
      </c>
      <c r="D117" s="299" t="str">
        <f>D116</f>
        <v>ED2-BME</v>
      </c>
      <c r="E117" s="299" t="s">
        <v>140</v>
      </c>
      <c r="F117" s="312" t="s">
        <v>465</v>
      </c>
    </row>
    <row r="118" spans="1:6" s="204" customFormat="1">
      <c r="A118" s="285" t="str">
        <v>BME 397,ED3-BME</v>
      </c>
      <c r="B118" s="298" t="s">
        <v>1851</v>
      </c>
      <c r="C118" s="299">
        <v>90</v>
      </c>
      <c r="D118" s="299" t="s">
        <v>56</v>
      </c>
      <c r="E118" s="299" t="s">
        <v>66</v>
      </c>
      <c r="F118" s="299" t="s">
        <v>1597</v>
      </c>
    </row>
    <row r="119" spans="1:6" s="204" customFormat="1">
      <c r="A119" s="285" t="str">
        <v>COE 371,ED3-BME</v>
      </c>
      <c r="B119" s="298" t="s">
        <v>542</v>
      </c>
      <c r="C119" s="299">
        <v>90</v>
      </c>
      <c r="D119" s="299" t="str">
        <f>D118</f>
        <v>ED3-BME</v>
      </c>
      <c r="E119" s="299" t="s">
        <v>179</v>
      </c>
      <c r="F119" s="299" t="s">
        <v>1598</v>
      </c>
    </row>
    <row r="120" spans="1:6" s="204" customFormat="1">
      <c r="A120" s="285" t="str">
        <v>COE 381,ED3-BME</v>
      </c>
      <c r="B120" s="298" t="s">
        <v>538</v>
      </c>
      <c r="C120" s="299">
        <v>90</v>
      </c>
      <c r="D120" s="299" t="str">
        <f>D119</f>
        <v>ED3-BME</v>
      </c>
      <c r="E120" s="299" t="s">
        <v>253</v>
      </c>
      <c r="F120" s="299" t="s">
        <v>1599</v>
      </c>
    </row>
    <row r="121" spans="1:6" s="204" customFormat="1">
      <c r="A121" s="285" t="str">
        <v>MATH 351,ED3-BME</v>
      </c>
      <c r="B121" s="298" t="s">
        <v>1841</v>
      </c>
      <c r="C121" s="299">
        <v>90</v>
      </c>
      <c r="D121" s="299" t="str">
        <f>D120</f>
        <v>ED3-BME</v>
      </c>
      <c r="E121" s="299" t="s">
        <v>47</v>
      </c>
      <c r="F121" s="299" t="s">
        <v>1600</v>
      </c>
    </row>
    <row r="122" spans="1:6" s="204" customFormat="1">
      <c r="A122" s="285" t="str">
        <v>STAT 253,ED3-BME</v>
      </c>
      <c r="B122" s="298" t="s">
        <v>1464</v>
      </c>
      <c r="C122" s="299">
        <v>90</v>
      </c>
      <c r="D122" s="299" t="str">
        <f>D121</f>
        <v>ED3-BME</v>
      </c>
      <c r="E122" s="299" t="s">
        <v>371</v>
      </c>
      <c r="F122" s="299" t="s">
        <v>462</v>
      </c>
    </row>
    <row r="123" spans="1:6" s="204" customFormat="1">
      <c r="A123" s="285" t="str">
        <v>TE 385,ED3-BME</v>
      </c>
      <c r="B123" s="298" t="s">
        <v>540</v>
      </c>
      <c r="C123" s="299">
        <v>90</v>
      </c>
      <c r="D123" s="299" t="str">
        <f>D122</f>
        <v>ED3-BME</v>
      </c>
      <c r="E123" s="299" t="s">
        <v>143</v>
      </c>
      <c r="F123" s="299" t="s">
        <v>1601</v>
      </c>
    </row>
    <row r="124" spans="1:6" s="204" customFormat="1">
      <c r="A124" s="285" t="str">
        <v>COE 387,ED3-BME</v>
      </c>
      <c r="B124" s="298" t="s">
        <v>1852</v>
      </c>
      <c r="C124" s="299">
        <v>90</v>
      </c>
      <c r="D124" s="299" t="str">
        <f>D123</f>
        <v>ED3-BME</v>
      </c>
      <c r="E124" s="299" t="s">
        <v>211</v>
      </c>
      <c r="F124" s="299" t="s">
        <v>1602</v>
      </c>
    </row>
    <row ht="15" customHeight="1" r="125" spans="1:6" s="204" customFormat="1">
      <c r="A125" s="285" t="str">
        <v>BME 451,ED4-BME</v>
      </c>
      <c r="B125" s="298" t="s">
        <v>1853</v>
      </c>
      <c r="C125" s="299">
        <v>87</v>
      </c>
      <c r="D125" s="299" t="s">
        <v>75</v>
      </c>
      <c r="E125" s="299" t="s">
        <v>74</v>
      </c>
      <c r="F125" s="299" t="s">
        <v>1603</v>
      </c>
    </row>
    <row r="126" spans="1:6" s="204" customFormat="1">
      <c r="A126" s="285" t="str">
        <v>BME 461,ED4-BME</v>
      </c>
      <c r="B126" s="298" t="s">
        <v>545</v>
      </c>
      <c r="C126" s="299">
        <v>87</v>
      </c>
      <c r="D126" s="299" t="str">
        <f>D125</f>
        <v>ED4-BME</v>
      </c>
      <c r="E126" s="299" t="s">
        <v>88</v>
      </c>
      <c r="F126" s="299" t="s">
        <v>1604</v>
      </c>
    </row>
    <row r="127" spans="1:6" s="204" customFormat="1">
      <c r="A127" s="285" t="str">
        <v>BME 463,ED4-BME</v>
      </c>
      <c r="B127" s="298" t="s">
        <v>557</v>
      </c>
      <c r="C127" s="299">
        <v>87</v>
      </c>
      <c r="D127" s="299" t="str">
        <f>D126</f>
        <v>ED4-BME</v>
      </c>
      <c r="E127" s="299" t="s">
        <v>174</v>
      </c>
      <c r="F127" s="299" t="s">
        <v>1605</v>
      </c>
    </row>
    <row r="128" spans="1:6" s="204" customFormat="1">
      <c r="A128" s="285" t="str">
        <v>BME 471,ED4-BME</v>
      </c>
      <c r="B128" s="298" t="s">
        <v>1851</v>
      </c>
      <c r="C128" s="299">
        <v>87</v>
      </c>
      <c r="D128" s="299" t="str">
        <f>D127</f>
        <v>ED4-BME</v>
      </c>
      <c r="E128" s="299" t="s">
        <v>137</v>
      </c>
      <c r="F128" s="299" t="s">
        <v>1606</v>
      </c>
    </row>
    <row r="129" spans="1:6" s="204" customFormat="1">
      <c r="A129" s="285" t="str">
        <v>BME 497,ED4-BME</v>
      </c>
      <c r="B129" s="298" t="s">
        <v>1854</v>
      </c>
      <c r="C129" s="299">
        <v>87</v>
      </c>
      <c r="D129" s="299" t="str">
        <f>D128</f>
        <v>ED4-BME</v>
      </c>
      <c r="E129" s="299" t="s">
        <v>1496</v>
      </c>
      <c r="F129" s="299" t="s">
        <v>1544</v>
      </c>
    </row>
    <row r="130" spans="1:6" s="204" customFormat="1">
      <c r="A130" s="285" t="str">
        <f>_xlfn.CONCAT(E130,",",D130)</f>
        <v>BME 499,ED4-BME</v>
      </c>
      <c r="B130" s="298" t="s">
        <v>540</v>
      </c>
      <c r="C130" s="299">
        <v>87</v>
      </c>
      <c r="D130" s="299" t="str">
        <f>D129</f>
        <v>ED4-BME</v>
      </c>
      <c r="E130" s="299" t="s">
        <v>1497</v>
      </c>
      <c r="F130" s="299" t="s">
        <v>1565</v>
      </c>
    </row>
    <row r="131" spans="1:6" s="204" customFormat="1">
      <c r="A131" s="285" t="str">
        <v>ME 491,ED4-BME</v>
      </c>
      <c r="B131" s="298" t="s">
        <v>1825</v>
      </c>
      <c r="C131" s="299">
        <v>87</v>
      </c>
      <c r="D131" s="299" t="str">
        <f>D130</f>
        <v>ED4-BME</v>
      </c>
      <c r="E131" s="299" t="s">
        <v>244</v>
      </c>
      <c r="F131" s="299" t="s">
        <v>1564</v>
      </c>
    </row>
    <row r="132" spans="1:6" s="204" customFormat="1">
      <c r="A132" s="285" t="str">
        <v>CHE 151,ED1-CHE</v>
      </c>
      <c r="B132" s="286" t="s">
        <v>1855</v>
      </c>
      <c r="C132" s="287">
        <v>120</v>
      </c>
      <c r="D132" s="287" t="s">
        <v>8</v>
      </c>
      <c r="E132" s="287" t="s">
        <v>134</v>
      </c>
      <c r="F132" s="287" t="s">
        <v>1607</v>
      </c>
    </row>
    <row r="133" spans="1:6" s="204" customFormat="1">
      <c r="A133" s="285" t="str">
        <v>CHE 153,ED1-CHE</v>
      </c>
      <c r="B133" s="286" t="s">
        <v>1856</v>
      </c>
      <c r="C133" s="287">
        <v>120</v>
      </c>
      <c r="D133" s="287" t="str">
        <f>D132</f>
        <v>ED1-CHE</v>
      </c>
      <c r="E133" s="287" t="s">
        <v>91</v>
      </c>
      <c r="F133" s="287" t="s">
        <v>1608</v>
      </c>
    </row>
    <row r="134" spans="1:6" s="204" customFormat="1">
      <c r="A134" s="285" t="str">
        <v>CHEM 169,ED1-CHE</v>
      </c>
      <c r="B134" s="286" t="s">
        <v>1855</v>
      </c>
      <c r="C134" s="287">
        <v>120</v>
      </c>
      <c r="D134" s="287" t="str">
        <f>D133</f>
        <v>ED1-CHE</v>
      </c>
      <c r="E134" s="287" t="s">
        <v>263</v>
      </c>
      <c r="F134" s="287" t="s">
        <v>1609</v>
      </c>
    </row>
    <row r="135" spans="1:6" s="204" customFormat="1">
      <c r="A135" s="285" t="str">
        <v>EE 151,ED1-CHE</v>
      </c>
      <c r="B135" s="286" t="s">
        <v>1952</v>
      </c>
      <c r="C135" s="287">
        <v>120</v>
      </c>
      <c r="D135" s="287" t="str">
        <f>D134</f>
        <v>ED1-CHE</v>
      </c>
      <c r="E135" s="287" t="s">
        <v>229</v>
      </c>
      <c r="F135" s="287" t="s">
        <v>474</v>
      </c>
    </row>
    <row r="136" spans="1:6" s="204" customFormat="1">
      <c r="A136" s="285" t="str">
        <v>ENGL 157,ED1-CHE</v>
      </c>
      <c r="B136" s="286" t="s">
        <v>1840</v>
      </c>
      <c r="C136" s="287">
        <v>120</v>
      </c>
      <c r="D136" s="287" t="str">
        <f>D135</f>
        <v>ED1-CHE</v>
      </c>
      <c r="E136" s="287" t="s">
        <v>0</v>
      </c>
      <c r="F136" s="287" t="s">
        <v>473</v>
      </c>
    </row>
    <row r="137" spans="1:6" s="204" customFormat="1">
      <c r="A137" s="285" t="str">
        <v>MATH 151,ED1-CHE</v>
      </c>
      <c r="B137" s="286" t="s">
        <v>1857</v>
      </c>
      <c r="C137" s="287">
        <v>120</v>
      </c>
      <c r="D137" s="287" t="str">
        <f>D136</f>
        <v>ED1-CHE</v>
      </c>
      <c r="E137" s="287" t="s">
        <v>65</v>
      </c>
      <c r="F137" s="287" t="s">
        <v>472</v>
      </c>
    </row>
    <row r="138" spans="1:6" s="204" customFormat="1">
      <c r="A138" s="285" t="str">
        <v>ME 159,ED1-CHE</v>
      </c>
      <c r="B138" s="286" t="s">
        <v>1832</v>
      </c>
      <c r="C138" s="287">
        <v>120</v>
      </c>
      <c r="D138" s="287" t="str">
        <f>D137</f>
        <v>ED1-CHE</v>
      </c>
      <c r="E138" s="287" t="s">
        <v>160</v>
      </c>
      <c r="F138" s="287" t="s">
        <v>471</v>
      </c>
    </row>
    <row r="139" spans="1:6" s="204" customFormat="1">
      <c r="A139" s="285" t="str">
        <v>CHE 257,ED2-CHE</v>
      </c>
      <c r="B139" s="286" t="s">
        <v>1858</v>
      </c>
      <c r="C139" s="287">
        <v>157</v>
      </c>
      <c r="D139" s="287" t="s">
        <v>39</v>
      </c>
      <c r="E139" s="287" t="s">
        <v>163</v>
      </c>
      <c r="F139" s="300" t="s">
        <v>489</v>
      </c>
    </row>
    <row r="140" spans="1:6" s="204" customFormat="1">
      <c r="A140" s="285" t="str">
        <v>CHE 259,ED2-CHE</v>
      </c>
      <c r="B140" s="286" t="s">
        <v>483</v>
      </c>
      <c r="C140" s="287">
        <v>157</v>
      </c>
      <c r="D140" s="287" t="str">
        <f>D139</f>
        <v>ED2-CHE</v>
      </c>
      <c r="E140" s="287" t="s">
        <v>125</v>
      </c>
      <c r="F140" s="300" t="s">
        <v>556</v>
      </c>
    </row>
    <row r="141" spans="1:6" s="204" customFormat="1">
      <c r="A141" s="285" t="str">
        <v>CENG 291,ED2-CHE</v>
      </c>
      <c r="B141" s="286" t="s">
        <v>1859</v>
      </c>
      <c r="C141" s="287">
        <v>157</v>
      </c>
      <c r="D141" s="287" t="str">
        <f>D140</f>
        <v>ED2-CHE</v>
      </c>
      <c r="E141" s="287" t="s">
        <v>258</v>
      </c>
      <c r="F141" s="300" t="s">
        <v>468</v>
      </c>
    </row>
    <row r="142" spans="1:6" s="204" customFormat="1">
      <c r="A142" s="285" t="str">
        <v>CHE 255,ED2-CHE</v>
      </c>
      <c r="B142" s="286" t="s">
        <v>1860</v>
      </c>
      <c r="C142" s="287">
        <v>157</v>
      </c>
      <c r="D142" s="287" t="str">
        <f>D141</f>
        <v>ED2-CHE</v>
      </c>
      <c r="E142" s="287" t="s">
        <v>38</v>
      </c>
      <c r="F142" s="300" t="s">
        <v>492</v>
      </c>
    </row>
    <row r="143" spans="1:6" s="204" customFormat="1">
      <c r="A143" s="285" t="str">
        <v>CHE 261,ED2-CHE</v>
      </c>
      <c r="B143" s="286" t="s">
        <v>1861</v>
      </c>
      <c r="C143" s="287">
        <v>157</v>
      </c>
      <c r="D143" s="287" t="str">
        <f>D142</f>
        <v>ED2-CHE</v>
      </c>
      <c r="E143" s="287" t="s">
        <v>213</v>
      </c>
      <c r="F143" s="300" t="s">
        <v>488</v>
      </c>
    </row>
    <row r="144" spans="1:6" s="204" customFormat="1">
      <c r="A144" s="285" t="str">
        <v>MATH 251,ED2-CHE</v>
      </c>
      <c r="B144" s="286" t="s">
        <v>1857</v>
      </c>
      <c r="C144" s="287">
        <v>157</v>
      </c>
      <c r="D144" s="287" t="str">
        <f>D143</f>
        <v>ED2-CHE</v>
      </c>
      <c r="E144" s="287" t="s">
        <v>140</v>
      </c>
      <c r="F144" s="300" t="s">
        <v>465</v>
      </c>
    </row>
    <row r="145" spans="1:6" s="204" customFormat="1">
      <c r="A145" s="285" t="str">
        <v>CHE 251,ED2-CHE</v>
      </c>
      <c r="B145" s="286" t="s">
        <v>1862</v>
      </c>
      <c r="C145" s="287">
        <v>157</v>
      </c>
      <c r="D145" s="287" t="str">
        <f>D144</f>
        <v>ED2-CHE</v>
      </c>
      <c r="E145" s="287" t="s">
        <v>221</v>
      </c>
      <c r="F145" s="300" t="s">
        <v>491</v>
      </c>
    </row>
    <row ht="17.25" customHeight="1" r="146" spans="1:6" s="204" customFormat="1">
      <c r="A146" s="285" t="str">
        <v>CHE 253,ED2-CHE</v>
      </c>
      <c r="B146" s="286" t="s">
        <v>1863</v>
      </c>
      <c r="C146" s="287">
        <v>160</v>
      </c>
      <c r="D146" s="287" t="str">
        <f>D145</f>
        <v>ED2-CHE</v>
      </c>
      <c r="E146" s="287" t="s">
        <v>201</v>
      </c>
      <c r="F146" s="300" t="s">
        <v>490</v>
      </c>
    </row>
    <row r="147" spans="1:6" s="204" customFormat="1">
      <c r="A147" s="285" t="str">
        <v>CHE 357,ED3-CHE</v>
      </c>
      <c r="B147" s="286" t="s">
        <v>1862</v>
      </c>
      <c r="C147" s="287">
        <v>100</v>
      </c>
      <c r="D147" s="287" t="s">
        <v>106</v>
      </c>
      <c r="E147" s="287" t="s">
        <v>141</v>
      </c>
      <c r="F147" s="287" t="s">
        <v>1610</v>
      </c>
    </row>
    <row r="148" spans="1:6" s="204" customFormat="1">
      <c r="A148" s="285" t="str">
        <v>CHE 353,ED3-CHE</v>
      </c>
      <c r="B148" s="286" t="s">
        <v>1864</v>
      </c>
      <c r="C148" s="287">
        <v>100</v>
      </c>
      <c r="D148" s="287" t="str">
        <f>D147</f>
        <v>ED3-CHE</v>
      </c>
      <c r="E148" s="287" t="s">
        <v>259</v>
      </c>
      <c r="F148" s="287" t="s">
        <v>1611</v>
      </c>
    </row>
    <row r="149" spans="1:6" s="204" customFormat="1">
      <c r="A149" s="285" t="str">
        <v>CHE 351,ED3-CHE</v>
      </c>
      <c r="B149" s="286" t="s">
        <v>554</v>
      </c>
      <c r="C149" s="287">
        <v>100</v>
      </c>
      <c r="D149" s="287" t="str">
        <f>D148</f>
        <v>ED3-CHE</v>
      </c>
      <c r="E149" s="287" t="s">
        <v>231</v>
      </c>
      <c r="F149" s="287" t="s">
        <v>1612</v>
      </c>
    </row>
    <row r="150" spans="1:6" s="204" customFormat="1">
      <c r="A150" s="285" t="str">
        <v>CHE 355,ED3-CHE</v>
      </c>
      <c r="B150" s="286" t="s">
        <v>554</v>
      </c>
      <c r="C150" s="287">
        <v>100</v>
      </c>
      <c r="D150" s="287" t="str">
        <f>D149</f>
        <v>ED3-CHE</v>
      </c>
      <c r="E150" s="287" t="s">
        <v>1498</v>
      </c>
      <c r="F150" s="287" t="s">
        <v>1613</v>
      </c>
    </row>
    <row r="151" spans="1:6" s="204" customFormat="1">
      <c r="A151" s="285" t="str">
        <v>CHE 359,ED3-CHE</v>
      </c>
      <c r="B151" s="286" t="s">
        <v>1865</v>
      </c>
      <c r="C151" s="287">
        <v>100</v>
      </c>
      <c r="D151" s="287" t="str">
        <f>D150</f>
        <v>ED3-CHE</v>
      </c>
      <c r="E151" s="287" t="s">
        <v>251</v>
      </c>
      <c r="F151" s="287" t="s">
        <v>1614</v>
      </c>
    </row>
    <row r="152" spans="1:6" s="204" customFormat="1">
      <c r="A152" s="285" t="str">
        <v>CHE 363,ED3-CHE</v>
      </c>
      <c r="B152" s="286" t="s">
        <v>1858</v>
      </c>
      <c r="C152" s="287">
        <v>38</v>
      </c>
      <c r="D152" s="287" t="str">
        <f>D151</f>
        <v>ED3-CHE</v>
      </c>
      <c r="E152" s="287" t="s">
        <v>203</v>
      </c>
      <c r="F152" s="301" t="s">
        <v>486</v>
      </c>
    </row>
    <row r="153" spans="1:6" s="204" customFormat="1">
      <c r="A153" s="285" t="str">
        <v>CHE 371,ED3-CHE</v>
      </c>
      <c r="B153" s="286" t="s">
        <v>1465</v>
      </c>
      <c r="C153" s="287">
        <v>50</v>
      </c>
      <c r="D153" s="287" t="str">
        <f>D152</f>
        <v>ED3-CHE</v>
      </c>
      <c r="E153" s="287" t="s">
        <v>195</v>
      </c>
      <c r="F153" s="301" t="s">
        <v>555</v>
      </c>
    </row>
    <row r="154" spans="1:6" s="204" customFormat="1">
      <c r="A154" s="285" t="str">
        <v>CHE 361,ED3-CHE</v>
      </c>
      <c r="B154" s="286" t="s">
        <v>1860</v>
      </c>
      <c r="C154" s="287">
        <v>15</v>
      </c>
      <c r="D154" s="287" t="str">
        <f>D151</f>
        <v>ED3-CHE</v>
      </c>
      <c r="E154" s="287" t="s">
        <v>217</v>
      </c>
      <c r="F154" s="287" t="s">
        <v>1615</v>
      </c>
    </row>
    <row r="155" spans="1:6" s="204" customFormat="1">
      <c r="A155" s="285" t="str">
        <v>ECON 151,ED3-CHE</v>
      </c>
      <c r="B155" s="286" t="s">
        <v>467</v>
      </c>
      <c r="C155" s="287">
        <v>35</v>
      </c>
      <c r="D155" s="287" t="str">
        <f>D154</f>
        <v>ED3-CHE</v>
      </c>
      <c r="E155" s="287" t="s">
        <v>177</v>
      </c>
      <c r="F155" s="287" t="s">
        <v>1595</v>
      </c>
    </row>
    <row r="156" spans="1:6" s="204" customFormat="1">
      <c r="A156" s="285" t="str">
        <v>FC 181,ED3-CHE</v>
      </c>
      <c r="B156" s="286" t="s">
        <v>1866</v>
      </c>
      <c r="C156" s="287">
        <v>65</v>
      </c>
      <c r="D156" s="287" t="str">
        <f>D155</f>
        <v>ED3-CHE</v>
      </c>
      <c r="E156" s="287" t="s">
        <v>246</v>
      </c>
      <c r="F156" s="287" t="s">
        <v>1596</v>
      </c>
    </row>
    <row r="157" spans="1:6" s="204" customFormat="1">
      <c r="A157" s="285" t="str">
        <v>AI 150,ED3-CHE</v>
      </c>
      <c r="B157" s="286">
        <v>0</v>
      </c>
      <c r="C157" s="287">
        <v>100</v>
      </c>
      <c r="D157" s="287" t="str">
        <f>D156</f>
        <v>ED3-CHE</v>
      </c>
      <c r="E157" s="287" t="s">
        <v>1487</v>
      </c>
      <c r="F157" s="287" t="s">
        <v>1566</v>
      </c>
    </row>
    <row r="158" spans="1:6" s="204" customFormat="1">
      <c r="A158" s="285" t="str">
        <v>CHE 451,ED4-CHE</v>
      </c>
      <c r="B158" s="286" t="s">
        <v>483</v>
      </c>
      <c r="C158" s="302">
        <v>114</v>
      </c>
      <c r="D158" s="287" t="s">
        <v>78</v>
      </c>
      <c r="E158" s="287" t="s">
        <v>173</v>
      </c>
      <c r="F158" s="287" t="s">
        <v>1616</v>
      </c>
    </row>
    <row r="159" spans="1:6" s="204" customFormat="1">
      <c r="A159" s="285" t="str">
        <v>CHE 453,ED4-CHE</v>
      </c>
      <c r="B159" s="286" t="s">
        <v>1860</v>
      </c>
      <c r="C159" s="302">
        <v>114</v>
      </c>
      <c r="D159" s="287" t="str">
        <f>D158</f>
        <v>ED4-CHE</v>
      </c>
      <c r="E159" s="287" t="s">
        <v>1499</v>
      </c>
      <c r="F159" s="287" t="s">
        <v>1617</v>
      </c>
    </row>
    <row r="160" spans="1:6" s="204" customFormat="1">
      <c r="A160" s="285" t="str">
        <v>CHE 455,ED4-CHE</v>
      </c>
      <c r="B160" s="286" t="s">
        <v>1859</v>
      </c>
      <c r="C160" s="302">
        <v>114</v>
      </c>
      <c r="D160" s="287" t="str">
        <f>D159</f>
        <v>ED4-CHE</v>
      </c>
      <c r="E160" s="287" t="s">
        <v>199</v>
      </c>
      <c r="F160" s="287" t="s">
        <v>1618</v>
      </c>
    </row>
    <row r="161" spans="1:6" s="204" customFormat="1">
      <c r="A161" s="285" t="str">
        <f>_xlfn.CONCAT(E161,",",D162)</f>
        <v>CHE 457,ED4-CHE</v>
      </c>
      <c r="B161" s="286" t="s">
        <v>1863</v>
      </c>
      <c r="C161" s="302">
        <v>114</v>
      </c>
      <c r="D161" s="287" t="str">
        <f>D160</f>
        <v>ED4-CHE</v>
      </c>
      <c r="E161" s="287" t="s">
        <v>261</v>
      </c>
      <c r="F161" s="287" t="s">
        <v>1619</v>
      </c>
    </row>
    <row r="162" spans="1:6" s="204" customFormat="1">
      <c r="A162" s="285" t="str">
        <f>_xlfn.CONCAT(E162,",",D164)</f>
        <v>CHE 463,ED4-CHE</v>
      </c>
      <c r="B162" s="286" t="s">
        <v>1861</v>
      </c>
      <c r="C162" s="302">
        <v>40</v>
      </c>
      <c r="D162" s="287" t="str">
        <f>D160</f>
        <v>ED4-CHE</v>
      </c>
      <c r="E162" s="287" t="s">
        <v>269</v>
      </c>
      <c r="F162" s="287" t="s">
        <v>484</v>
      </c>
    </row>
    <row r="163" spans="1:6" s="204" customFormat="1">
      <c r="A163" s="285" t="str">
        <f>_xlfn.CONCAT(E163,",",D164)</f>
        <v>CHE 459,ED4-CHE</v>
      </c>
      <c r="B163" s="286" t="s">
        <v>1867</v>
      </c>
      <c r="C163" s="302">
        <v>114</v>
      </c>
      <c r="D163" s="287" t="str">
        <f>D161</f>
        <v>ED4-CHE</v>
      </c>
      <c r="E163" s="287" t="s">
        <v>180</v>
      </c>
      <c r="F163" s="287" t="s">
        <v>1620</v>
      </c>
    </row>
    <row r="164" spans="1:6" s="204" customFormat="1">
      <c r="A164" s="285" t="str">
        <f>_xlfn.CONCAT(E164,",",D165)</f>
        <v>PCE 461,ED4-CHE</v>
      </c>
      <c r="B164" s="286" t="s">
        <v>1867</v>
      </c>
      <c r="C164" s="302">
        <v>40</v>
      </c>
      <c r="D164" s="287" t="str">
        <f>D162</f>
        <v>ED4-CHE</v>
      </c>
      <c r="E164" s="287" t="s">
        <v>321</v>
      </c>
      <c r="F164" s="287" t="s">
        <v>476</v>
      </c>
    </row>
    <row r="165" spans="1:6" s="204" customFormat="1">
      <c r="A165" s="285" t="str">
        <v>CHE 461,ED4-CHE</v>
      </c>
      <c r="B165" s="286" t="s">
        <v>1863</v>
      </c>
      <c r="C165" s="302">
        <v>8</v>
      </c>
      <c r="D165" s="287" t="str">
        <f>D164</f>
        <v>ED4-CHE</v>
      </c>
      <c r="E165" s="287" t="s">
        <v>77</v>
      </c>
      <c r="F165" s="287" t="s">
        <v>1621</v>
      </c>
    </row>
    <row r="166" spans="1:6" s="204" customFormat="1">
      <c r="A166" s="285" t="str">
        <v>CHE 467,ED4-CHE</v>
      </c>
      <c r="B166" s="286" t="s">
        <v>554</v>
      </c>
      <c r="C166" s="302">
        <v>33</v>
      </c>
      <c r="D166" s="287" t="str">
        <f>D165</f>
        <v>ED4-CHE</v>
      </c>
      <c r="E166" s="287" t="s">
        <v>138</v>
      </c>
      <c r="F166" s="287" t="s">
        <v>553</v>
      </c>
    </row>
    <row r="167" spans="1:6" s="204" customFormat="1">
      <c r="A167" s="285" t="str">
        <v>ARC 155,ED1-CE</v>
      </c>
      <c r="B167" s="298" t="s">
        <v>1868</v>
      </c>
      <c r="C167" s="303">
        <v>75</v>
      </c>
      <c r="D167" s="299" t="s">
        <v>36</v>
      </c>
      <c r="E167" s="299" t="s">
        <v>247</v>
      </c>
      <c r="F167" s="299" t="s">
        <v>1622</v>
      </c>
    </row>
    <row r="168" spans="1:6" s="204" customFormat="1">
      <c r="A168" s="285" t="str">
        <v>CE 151,ED1-CE</v>
      </c>
      <c r="B168" s="298" t="s">
        <v>1869</v>
      </c>
      <c r="C168" s="303">
        <v>245</v>
      </c>
      <c r="D168" s="299" t="str">
        <f>D167</f>
        <v>ED1-CE</v>
      </c>
      <c r="E168" s="299" t="s">
        <v>123</v>
      </c>
      <c r="F168" s="299" t="s">
        <v>1623</v>
      </c>
    </row>
    <row r="169" spans="1:6" s="204" customFormat="1">
      <c r="A169" s="285" t="str">
        <v>CE 153,ED1-CE</v>
      </c>
      <c r="B169" s="298" t="s">
        <v>549</v>
      </c>
      <c r="C169" s="303">
        <v>245</v>
      </c>
      <c r="D169" s="299" t="str">
        <f>D168</f>
        <v>ED1-CE</v>
      </c>
      <c r="E169" s="299" t="s">
        <v>192</v>
      </c>
      <c r="F169" s="299" t="s">
        <v>1624</v>
      </c>
    </row>
    <row r="170" spans="1:6" s="204" customFormat="1">
      <c r="A170" s="285" t="str">
        <v>ECON 151,ED1-CE</v>
      </c>
      <c r="B170" s="298" t="s">
        <v>467</v>
      </c>
      <c r="C170" s="303">
        <v>33</v>
      </c>
      <c r="D170" s="299" t="str">
        <f>D169</f>
        <v>ED1-CE</v>
      </c>
      <c r="E170" s="299" t="s">
        <v>177</v>
      </c>
      <c r="F170" s="299" t="s">
        <v>1595</v>
      </c>
    </row>
    <row r="171" spans="1:6" s="204" customFormat="1">
      <c r="A171" s="285" t="str">
        <v>ENGL 157,ED1-CE</v>
      </c>
      <c r="B171" s="298" t="s">
        <v>1848</v>
      </c>
      <c r="C171" s="303">
        <v>245</v>
      </c>
      <c r="D171" s="299" t="str">
        <f>D170</f>
        <v>ED1-CE</v>
      </c>
      <c r="E171" s="299" t="s">
        <v>0</v>
      </c>
      <c r="F171" s="299" t="s">
        <v>473</v>
      </c>
    </row>
    <row r="172" spans="1:6" s="204" customFormat="1">
      <c r="A172" s="285" t="str">
        <v>FC 181,ED1-CE</v>
      </c>
      <c r="B172" s="298" t="s">
        <v>1850</v>
      </c>
      <c r="C172" s="303">
        <v>140</v>
      </c>
      <c r="D172" s="299" t="str">
        <f>D171</f>
        <v>ED1-CE</v>
      </c>
      <c r="E172" s="299" t="s">
        <v>246</v>
      </c>
      <c r="F172" s="299" t="s">
        <v>1596</v>
      </c>
    </row>
    <row r="173" spans="1:6" s="204" customFormat="1">
      <c r="A173" s="285" t="str">
        <v>MATH 151,ED1-CE</v>
      </c>
      <c r="B173" s="298" t="s">
        <v>1870</v>
      </c>
      <c r="C173" s="303">
        <v>245</v>
      </c>
      <c r="D173" s="299" t="str">
        <f>D172</f>
        <v>ED1-CE</v>
      </c>
      <c r="E173" s="299" t="s">
        <v>65</v>
      </c>
      <c r="F173" s="299" t="s">
        <v>472</v>
      </c>
    </row>
    <row r="174" spans="1:6" s="204" customFormat="1">
      <c r="A174" s="285" t="str">
        <v>ME 159,ED1-CE</v>
      </c>
      <c r="B174" s="298" t="s">
        <v>552</v>
      </c>
      <c r="C174" s="303">
        <v>245</v>
      </c>
      <c r="D174" s="299" t="str">
        <f>D173</f>
        <v>ED1-CE</v>
      </c>
      <c r="E174" s="299" t="s">
        <v>160</v>
      </c>
      <c r="F174" s="299" t="s">
        <v>471</v>
      </c>
    </row>
    <row r="175" spans="1:6" s="204" customFormat="1">
      <c r="A175" s="285" t="str">
        <v>ME 161,ED1-CE</v>
      </c>
      <c r="B175" s="298" t="s">
        <v>1824</v>
      </c>
      <c r="C175" s="303">
        <v>245</v>
      </c>
      <c r="D175" s="299" t="str">
        <f>D174</f>
        <v>ED1-CE</v>
      </c>
      <c r="E175" s="299" t="s">
        <v>154</v>
      </c>
      <c r="F175" s="299" t="s">
        <v>1589</v>
      </c>
    </row>
    <row r="176" spans="1:6" s="204" customFormat="1">
      <c r="A176" s="285" t="str">
        <v>CE 251,ED2-CE</v>
      </c>
      <c r="B176" s="298" t="s">
        <v>1140</v>
      </c>
      <c r="C176" s="303">
        <v>255</v>
      </c>
      <c r="D176" s="299" t="s">
        <v>84</v>
      </c>
      <c r="E176" s="299" t="s">
        <v>323</v>
      </c>
      <c r="F176" s="299" t="s">
        <v>1625</v>
      </c>
    </row>
    <row r="177" spans="1:6" s="204" customFormat="1">
      <c r="A177" s="285" t="str">
        <v>CE 255,ED2-CE</v>
      </c>
      <c r="B177" s="298" t="s">
        <v>534</v>
      </c>
      <c r="C177" s="303">
        <v>255</v>
      </c>
      <c r="D177" s="299" t="str">
        <f>D176</f>
        <v>ED2-CE</v>
      </c>
      <c r="E177" s="299" t="s">
        <v>249</v>
      </c>
      <c r="F177" s="299" t="s">
        <v>1626</v>
      </c>
    </row>
    <row r="178" spans="1:6" s="204" customFormat="1">
      <c r="A178" s="285" t="str">
        <v>CE 257,ED2-CE</v>
      </c>
      <c r="B178" s="298" t="s">
        <v>1871</v>
      </c>
      <c r="C178" s="303">
        <v>255</v>
      </c>
      <c r="D178" s="299" t="str">
        <f>D177</f>
        <v>ED2-CE</v>
      </c>
      <c r="E178" s="299" t="s">
        <v>236</v>
      </c>
      <c r="F178" s="299" t="s">
        <v>1627</v>
      </c>
    </row>
    <row r="179" spans="1:6" s="204" customFormat="1">
      <c r="A179" s="285" t="str">
        <v>CE 259,ED2-CE</v>
      </c>
      <c r="B179" s="298" t="s">
        <v>549</v>
      </c>
      <c r="C179" s="303">
        <v>255</v>
      </c>
      <c r="D179" s="299" t="str">
        <f>D178</f>
        <v>ED2-CE</v>
      </c>
      <c r="E179" s="299" t="s">
        <v>202</v>
      </c>
      <c r="F179" s="299" t="s">
        <v>1628</v>
      </c>
    </row>
    <row r="180" spans="1:6" s="204" customFormat="1">
      <c r="A180" s="285" t="str">
        <v>CE 271,ED2-CE</v>
      </c>
      <c r="B180" s="298" t="s">
        <v>548</v>
      </c>
      <c r="C180" s="303">
        <v>255</v>
      </c>
      <c r="D180" s="299" t="str">
        <f>D179</f>
        <v>ED2-CE</v>
      </c>
      <c r="E180" s="299" t="s">
        <v>410</v>
      </c>
      <c r="F180" s="299" t="s">
        <v>1629</v>
      </c>
    </row>
    <row r="181" spans="1:6" s="204" customFormat="1">
      <c r="A181" s="285" t="str">
        <v>CENG 291,ED2-CE</v>
      </c>
      <c r="B181" s="298" t="s">
        <v>1872</v>
      </c>
      <c r="C181" s="303">
        <v>255</v>
      </c>
      <c r="D181" s="299" t="str">
        <f>D180</f>
        <v>ED2-CE</v>
      </c>
      <c r="E181" s="299" t="s">
        <v>258</v>
      </c>
      <c r="F181" s="299" t="s">
        <v>468</v>
      </c>
    </row>
    <row r="182" spans="1:6" s="204" customFormat="1">
      <c r="A182" s="285" t="str">
        <v>MATH 251,ED2-CE</v>
      </c>
      <c r="B182" s="298" t="s">
        <v>466</v>
      </c>
      <c r="C182" s="303">
        <v>255</v>
      </c>
      <c r="D182" s="299" t="str">
        <f>D181</f>
        <v>ED2-CE</v>
      </c>
      <c r="E182" s="299" t="s">
        <v>140</v>
      </c>
      <c r="F182" s="299" t="s">
        <v>465</v>
      </c>
    </row>
    <row r="183" spans="1:6" s="204" customFormat="1">
      <c r="A183" s="285" t="str">
        <v>CE 353,ED3-CE</v>
      </c>
      <c r="B183" s="298" t="s">
        <v>1873</v>
      </c>
      <c r="C183" s="303">
        <v>220</v>
      </c>
      <c r="D183" s="299" t="s">
        <v>51</v>
      </c>
      <c r="E183" s="299" t="s">
        <v>240</v>
      </c>
      <c r="F183" s="299" t="s">
        <v>1630</v>
      </c>
    </row>
    <row r="184" spans="1:6" s="204" customFormat="1">
      <c r="A184" s="285" t="str">
        <v>CE 355,ED3-CE</v>
      </c>
      <c r="B184" s="298" t="s">
        <v>1874</v>
      </c>
      <c r="C184" s="303">
        <v>220</v>
      </c>
      <c r="D184" s="299" t="str">
        <f>D183</f>
        <v>ED3-CE</v>
      </c>
      <c r="E184" s="299" t="s">
        <v>157</v>
      </c>
      <c r="F184" s="299" t="s">
        <v>1631</v>
      </c>
    </row>
    <row r="185" spans="1:6" s="204" customFormat="1">
      <c r="A185" s="285" t="str">
        <v>CE 359,ED3-CE</v>
      </c>
      <c r="B185" s="298" t="s">
        <v>1875</v>
      </c>
      <c r="C185" s="303">
        <v>220</v>
      </c>
      <c r="D185" s="299" t="str">
        <f>D184</f>
        <v>ED3-CE</v>
      </c>
      <c r="E185" s="299" t="s">
        <v>209</v>
      </c>
      <c r="F185" s="299" t="s">
        <v>1632</v>
      </c>
    </row>
    <row r="186" spans="1:6" s="204" customFormat="1">
      <c r="A186" s="285" t="str">
        <v>CE 361,ED3-CE</v>
      </c>
      <c r="B186" s="298" t="s">
        <v>1876</v>
      </c>
      <c r="C186" s="303">
        <v>220</v>
      </c>
      <c r="D186" s="299" t="str">
        <f>D185</f>
        <v>ED3-CE</v>
      </c>
      <c r="E186" s="299" t="s">
        <v>1500</v>
      </c>
      <c r="F186" s="299" t="s">
        <v>1633</v>
      </c>
    </row>
    <row r="187" spans="1:6" s="204" customFormat="1">
      <c r="A187" s="285" t="str">
        <v>CE 367,ED3-CE</v>
      </c>
      <c r="B187" s="298" t="s">
        <v>547</v>
      </c>
      <c r="C187" s="303">
        <v>220</v>
      </c>
      <c r="D187" s="299" t="str">
        <f>D186</f>
        <v>ED3-CE</v>
      </c>
      <c r="E187" s="299" t="s">
        <v>136</v>
      </c>
      <c r="F187" s="299" t="s">
        <v>1634</v>
      </c>
    </row>
    <row r="188" spans="1:6" s="204" customFormat="1">
      <c r="A188" s="285" t="str">
        <v>CE 391,ED3-CE</v>
      </c>
      <c r="B188" s="298" t="s">
        <v>547</v>
      </c>
      <c r="C188" s="303">
        <v>220</v>
      </c>
      <c r="D188" s="299" t="str">
        <f>D187</f>
        <v>ED3-CE</v>
      </c>
      <c r="E188" s="299" t="s">
        <v>1501</v>
      </c>
      <c r="F188" s="299" t="s">
        <v>1635</v>
      </c>
    </row>
    <row r="189" spans="1:6" s="204" customFormat="1">
      <c r="A189" s="285" t="str">
        <v>GE 381,ED3-CE</v>
      </c>
      <c r="B189" s="298" t="s">
        <v>1877</v>
      </c>
      <c r="C189" s="303">
        <v>220</v>
      </c>
      <c r="D189" s="299" t="str">
        <f>D188</f>
        <v>ED3-CE</v>
      </c>
      <c r="E189" s="299" t="s">
        <v>224</v>
      </c>
      <c r="F189" s="299" t="s">
        <v>1636</v>
      </c>
    </row>
    <row r="190" spans="1:6" s="204" customFormat="1">
      <c r="A190" s="285" t="str">
        <v>MATH 351,ED3-CE</v>
      </c>
      <c r="B190" s="298" t="s">
        <v>530</v>
      </c>
      <c r="C190" s="303">
        <v>220</v>
      </c>
      <c r="D190" s="299" t="str">
        <f>D189</f>
        <v>ED3-CE</v>
      </c>
      <c r="E190" s="299" t="s">
        <v>47</v>
      </c>
      <c r="F190" s="299" t="s">
        <v>463</v>
      </c>
    </row>
    <row r="191" spans="1:6" s="204" customFormat="1">
      <c r="A191" s="285" t="str">
        <v>STAT 253,ED3-CE</v>
      </c>
      <c r="B191" s="298" t="s">
        <v>1878</v>
      </c>
      <c r="C191" s="303">
        <v>220</v>
      </c>
      <c r="D191" s="299" t="str">
        <f>D190</f>
        <v>ED3-CE</v>
      </c>
      <c r="E191" s="299" t="s">
        <v>371</v>
      </c>
      <c r="F191" s="299" t="s">
        <v>462</v>
      </c>
    </row>
    <row r="192" spans="1:6" s="204" customFormat="1">
      <c r="A192" s="285" t="str">
        <v>CE 451,ED4-CE</v>
      </c>
      <c r="B192" s="298" t="s">
        <v>1871</v>
      </c>
      <c r="C192" s="303">
        <v>160</v>
      </c>
      <c r="D192" s="299" t="s">
        <v>19</v>
      </c>
      <c r="E192" s="299" t="s">
        <v>18</v>
      </c>
      <c r="F192" s="299" t="s">
        <v>1637</v>
      </c>
    </row>
    <row r="193" spans="1:6" s="204" customFormat="1">
      <c r="A193" s="285" t="str">
        <v>CE 457,ED4-CE</v>
      </c>
      <c r="B193" s="298" t="s">
        <v>1874</v>
      </c>
      <c r="C193" s="303">
        <v>230</v>
      </c>
      <c r="D193" s="299" t="str">
        <f>D192</f>
        <v>ED4-CE</v>
      </c>
      <c r="E193" s="299" t="s">
        <v>197</v>
      </c>
      <c r="F193" s="299" t="s">
        <v>1638</v>
      </c>
    </row>
    <row r="194" spans="1:6" s="204" customFormat="1">
      <c r="A194" s="285" t="str">
        <v>CE 461,ED4-CE</v>
      </c>
      <c r="B194" s="298" t="s">
        <v>1872</v>
      </c>
      <c r="C194" s="303">
        <v>230</v>
      </c>
      <c r="D194" s="299" t="str">
        <f>D193</f>
        <v>ED4-CE</v>
      </c>
      <c r="E194" s="299" t="s">
        <v>324</v>
      </c>
      <c r="F194" s="299" t="s">
        <v>1639</v>
      </c>
    </row>
    <row r="195" spans="1:6" s="204" customFormat="1">
      <c r="A195" s="285" t="str">
        <v>CE 463,ED4-CE</v>
      </c>
      <c r="B195" s="298" t="s">
        <v>1829</v>
      </c>
      <c r="C195" s="303">
        <v>10</v>
      </c>
      <c r="D195" s="299" t="str">
        <f>D194</f>
        <v>ED4-CE</v>
      </c>
      <c r="E195" s="299" t="s">
        <v>219</v>
      </c>
      <c r="F195" s="299" t="s">
        <v>1640</v>
      </c>
    </row>
    <row r="196" spans="1:6" s="204" customFormat="1">
      <c r="A196" s="285" t="str">
        <v>CE 467,ED4-CE</v>
      </c>
      <c r="B196" s="298" t="s">
        <v>548</v>
      </c>
      <c r="C196" s="303">
        <v>55</v>
      </c>
      <c r="D196" s="299" t="str">
        <f>D195</f>
        <v>ED4-CE</v>
      </c>
      <c r="E196" s="299" t="s">
        <v>131</v>
      </c>
      <c r="F196" s="299" t="s">
        <v>1641</v>
      </c>
    </row>
    <row r="197" spans="1:6" s="204" customFormat="1">
      <c r="A197" s="285" t="str">
        <v>CE 471,ED4-CE</v>
      </c>
      <c r="B197" s="298" t="s">
        <v>1143</v>
      </c>
      <c r="C197" s="303">
        <v>180</v>
      </c>
      <c r="D197" s="299" t="str">
        <f>D196</f>
        <v>ED4-CE</v>
      </c>
      <c r="E197" s="299" t="s">
        <v>59</v>
      </c>
      <c r="F197" s="299" t="s">
        <v>1642</v>
      </c>
    </row>
    <row r="198" spans="1:6" s="204" customFormat="1">
      <c r="A198" s="285" t="str">
        <v>CE 473,ED4-CE</v>
      </c>
      <c r="B198" s="298" t="s">
        <v>548</v>
      </c>
      <c r="C198" s="303">
        <v>25</v>
      </c>
      <c r="D198" s="299" t="str">
        <f>D197</f>
        <v>ED4-CE</v>
      </c>
      <c r="E198" s="299" t="s">
        <v>198</v>
      </c>
      <c r="F198" s="299" t="s">
        <v>1643</v>
      </c>
    </row>
    <row r="199" spans="1:6" s="204" customFormat="1">
      <c r="A199" s="285" t="str">
        <f>_xlfn.CONCAT(E199,",",D199)</f>
        <v>CE 475,ED4-CE</v>
      </c>
      <c r="B199" s="298" t="s">
        <v>1879</v>
      </c>
      <c r="C199" s="303">
        <v>130</v>
      </c>
      <c r="D199" s="299" t="str">
        <f>D198</f>
        <v>ED4-CE</v>
      </c>
      <c r="E199" s="299" t="s">
        <v>147</v>
      </c>
      <c r="F199" s="299" t="s">
        <v>1644</v>
      </c>
    </row>
    <row r="200" spans="1:6" s="204" customFormat="1">
      <c r="A200" s="285" t="str">
        <v>CE 477,ED4-CE</v>
      </c>
      <c r="B200" s="298" t="s">
        <v>1880</v>
      </c>
      <c r="C200" s="303">
        <v>35</v>
      </c>
      <c r="D200" s="299" t="str">
        <f>D199</f>
        <v>ED4-CE</v>
      </c>
      <c r="E200" s="299" t="s">
        <v>164</v>
      </c>
      <c r="F200" s="299" t="s">
        <v>1645</v>
      </c>
    </row>
    <row r="201" spans="1:6" s="204" customFormat="1">
      <c r="A201" s="285" t="str">
        <v>CE 479,ED4-CE</v>
      </c>
      <c r="B201" s="298" t="s">
        <v>1881</v>
      </c>
      <c r="C201" s="303">
        <v>95</v>
      </c>
      <c r="D201" s="299" t="str">
        <f>D200</f>
        <v>ED4-CE</v>
      </c>
      <c r="E201" s="299" t="s">
        <v>457</v>
      </c>
      <c r="F201" s="299" t="s">
        <v>1646</v>
      </c>
    </row>
    <row r="202" spans="1:6" s="204" customFormat="1">
      <c r="A202" s="285" t="str">
        <v>CE 481,ED4-CE</v>
      </c>
      <c r="B202" s="298" t="s">
        <v>1872</v>
      </c>
      <c r="C202" s="303">
        <v>230</v>
      </c>
      <c r="D202" s="299" t="str">
        <f>D201</f>
        <v>ED4-CE</v>
      </c>
      <c r="E202" s="299" t="s">
        <v>1502</v>
      </c>
      <c r="F202" s="299" t="s">
        <v>1565</v>
      </c>
    </row>
    <row r="203" spans="1:6" s="204" customFormat="1">
      <c r="A203" s="285" t="str">
        <v>CE 495,ED4-CE</v>
      </c>
      <c r="B203" s="298" t="s">
        <v>1829</v>
      </c>
      <c r="C203" s="303">
        <v>230</v>
      </c>
      <c r="D203" s="299" t="str">
        <f>D202</f>
        <v>ED4-CE</v>
      </c>
      <c r="E203" s="299" t="s">
        <v>1503</v>
      </c>
      <c r="F203" s="299" t="s">
        <v>1647</v>
      </c>
    </row>
    <row r="204" spans="1:6" s="204" customFormat="1">
      <c r="A204" s="285" t="str">
        <v>CE 497,ED4-CE</v>
      </c>
      <c r="B204" s="298" t="s">
        <v>1872</v>
      </c>
      <c r="C204" s="303">
        <v>230</v>
      </c>
      <c r="D204" s="299" t="str">
        <f>D203</f>
        <v>ED4-CE</v>
      </c>
      <c r="E204" s="299" t="s">
        <v>1504</v>
      </c>
      <c r="F204" s="299" t="s">
        <v>1648</v>
      </c>
    </row>
    <row r="205" spans="1:6" s="204" customFormat="1">
      <c r="A205" s="285" t="str">
        <v>CE 155,ED1-COE</v>
      </c>
      <c r="B205" s="286" t="s">
        <v>551</v>
      </c>
      <c r="C205" s="302">
        <v>262</v>
      </c>
      <c r="D205" s="287" t="s">
        <v>32</v>
      </c>
      <c r="E205" s="287" t="s">
        <v>155</v>
      </c>
      <c r="F205" s="287" t="s">
        <v>475</v>
      </c>
    </row>
    <row r="206" spans="1:6" s="204" customFormat="1">
      <c r="A206" s="285" t="str">
        <v>COE 153,ED1-COE</v>
      </c>
      <c r="B206" s="286" t="s">
        <v>559</v>
      </c>
      <c r="C206" s="302">
        <v>262</v>
      </c>
      <c r="D206" s="287" t="str">
        <f>D205</f>
        <v>ED1-COE</v>
      </c>
      <c r="E206" s="287" t="s">
        <v>546</v>
      </c>
      <c r="F206" s="287" t="s">
        <v>1588</v>
      </c>
    </row>
    <row r="207" spans="1:6" s="204" customFormat="1">
      <c r="A207" s="285" t="str">
        <v>COE 181,ED1-COE</v>
      </c>
      <c r="B207" s="286" t="s">
        <v>522</v>
      </c>
      <c r="C207" s="302">
        <v>270</v>
      </c>
      <c r="D207" s="287" t="str">
        <f>D206</f>
        <v>ED1-COE</v>
      </c>
      <c r="E207" s="287" t="s">
        <v>391</v>
      </c>
      <c r="F207" s="287" t="s">
        <v>474</v>
      </c>
    </row>
    <row r="208" spans="1:6" s="204" customFormat="1">
      <c r="A208" s="285" t="str">
        <v>ENGL 157,ED1-COE</v>
      </c>
      <c r="B208" s="286" t="s">
        <v>1848</v>
      </c>
      <c r="C208" s="302">
        <v>262</v>
      </c>
      <c r="D208" s="287" t="str">
        <f>D207</f>
        <v>ED1-COE</v>
      </c>
      <c r="E208" s="287" t="s">
        <v>0</v>
      </c>
      <c r="F208" s="287" t="s">
        <v>473</v>
      </c>
    </row>
    <row r="209" spans="1:6" s="204" customFormat="1">
      <c r="A209" s="285" t="str">
        <v>MATH 151,ED1-COE</v>
      </c>
      <c r="B209" s="286" t="s">
        <v>1870</v>
      </c>
      <c r="C209" s="302">
        <v>262</v>
      </c>
      <c r="D209" s="287" t="str">
        <f>D208</f>
        <v>ED1-COE</v>
      </c>
      <c r="E209" s="287" t="s">
        <v>65</v>
      </c>
      <c r="F209" s="287" t="s">
        <v>472</v>
      </c>
    </row>
    <row r="210" spans="1:6" s="204" customFormat="1">
      <c r="A210" s="285" t="str">
        <v>ME 159,ED1-COE</v>
      </c>
      <c r="B210" s="286" t="s">
        <v>504</v>
      </c>
      <c r="C210" s="302">
        <v>265</v>
      </c>
      <c r="D210" s="287" t="str">
        <f>D209</f>
        <v>ED1-COE</v>
      </c>
      <c r="E210" s="287" t="s">
        <v>160</v>
      </c>
      <c r="F210" s="287" t="s">
        <v>471</v>
      </c>
    </row>
    <row r="211" spans="1:6" s="204" customFormat="1">
      <c r="A211" s="285" t="str">
        <v>ME 161,ED1-COE</v>
      </c>
      <c r="B211" s="286" t="s">
        <v>1823</v>
      </c>
      <c r="C211" s="302">
        <v>262</v>
      </c>
      <c r="D211" s="287" t="str">
        <f>D210</f>
        <v>ED1-COE</v>
      </c>
      <c r="E211" s="287" t="s">
        <v>154</v>
      </c>
      <c r="F211" s="287" t="s">
        <v>1589</v>
      </c>
    </row>
    <row r="212" spans="1:6" s="204" customFormat="1">
      <c r="A212" s="285" t="str">
        <v>ACF 255,ED2-COE</v>
      </c>
      <c r="B212" s="286" t="s">
        <v>1849</v>
      </c>
      <c r="C212" s="302">
        <v>70</v>
      </c>
      <c r="D212" s="287" t="s">
        <v>87</v>
      </c>
      <c r="E212" s="287" t="s">
        <v>383</v>
      </c>
      <c r="F212" s="287" t="s">
        <v>1592</v>
      </c>
    </row>
    <row r="213" spans="1:6" s="204" customFormat="1">
      <c r="A213" s="285" t="str">
        <v>CENG 291,ED2-COE</v>
      </c>
      <c r="B213" s="304" t="s">
        <v>545</v>
      </c>
      <c r="C213" s="302">
        <v>255</v>
      </c>
      <c r="D213" s="287" t="str">
        <f>D212</f>
        <v>ED2-COE</v>
      </c>
      <c r="E213" s="287" t="s">
        <v>258</v>
      </c>
      <c r="F213" s="287" t="s">
        <v>468</v>
      </c>
    </row>
    <row r="214" spans="1:6" s="204" customFormat="1">
      <c r="A214" s="285" t="str">
        <v>COE 253,ED2-COE</v>
      </c>
      <c r="B214" s="286" t="s">
        <v>1882</v>
      </c>
      <c r="C214" s="302">
        <v>255</v>
      </c>
      <c r="D214" s="287" t="str">
        <f>D213</f>
        <v>ED2-COE</v>
      </c>
      <c r="E214" s="287" t="s">
        <v>390</v>
      </c>
      <c r="F214" s="287" t="s">
        <v>1649</v>
      </c>
    </row>
    <row r="215" spans="1:6" s="204" customFormat="1">
      <c r="A215" s="285" t="str">
        <v>COE 261,ED2-COE</v>
      </c>
      <c r="B215" s="286" t="s">
        <v>1883</v>
      </c>
      <c r="C215" s="302">
        <v>255</v>
      </c>
      <c r="D215" s="287" t="str">
        <f>D214</f>
        <v>ED2-COE</v>
      </c>
      <c r="E215" s="287" t="s">
        <v>382</v>
      </c>
      <c r="F215" s="287" t="s">
        <v>1650</v>
      </c>
    </row>
    <row r="216" spans="1:6" s="204" customFormat="1">
      <c r="A216" s="285" t="str">
        <v>COE 271,ED2-COE</v>
      </c>
      <c r="B216" s="286" t="s">
        <v>536</v>
      </c>
      <c r="C216" s="302">
        <v>255</v>
      </c>
      <c r="D216" s="287" t="str">
        <f>D215</f>
        <v>ED2-COE</v>
      </c>
      <c r="E216" s="287" t="s">
        <v>228</v>
      </c>
      <c r="F216" s="287" t="s">
        <v>1594</v>
      </c>
    </row>
    <row r="217" spans="1:6" s="204" customFormat="1">
      <c r="A217" s="285" t="str">
        <v>COE 281,ED2-COE</v>
      </c>
      <c r="B217" s="286" t="s">
        <v>1854</v>
      </c>
      <c r="C217" s="302">
        <v>255</v>
      </c>
      <c r="D217" s="287" t="str">
        <f>D216</f>
        <v>ED2-COE</v>
      </c>
      <c r="E217" s="287" t="s">
        <v>389</v>
      </c>
      <c r="F217" s="287" t="s">
        <v>1472</v>
      </c>
    </row>
    <row r="218" spans="1:6" s="204" customFormat="1">
      <c r="A218" s="285" t="str">
        <v>COE 291,ED2-COE</v>
      </c>
      <c r="B218" s="286" t="s">
        <v>536</v>
      </c>
      <c r="C218" s="302">
        <v>255</v>
      </c>
      <c r="D218" s="287" t="str">
        <f>D216</f>
        <v>ED2-COE</v>
      </c>
      <c r="E218" s="287" t="s">
        <v>1505</v>
      </c>
      <c r="F218" s="287" t="s">
        <v>1651</v>
      </c>
    </row>
    <row r="219" spans="1:6" s="204" customFormat="1">
      <c r="A219" s="285" t="str">
        <v>ECON 151,ED2-COE</v>
      </c>
      <c r="B219" s="286" t="s">
        <v>467</v>
      </c>
      <c r="C219" s="302">
        <v>40</v>
      </c>
      <c r="D219" s="287" t="str">
        <f>D218</f>
        <v>ED2-COE</v>
      </c>
      <c r="E219" s="287" t="s">
        <v>177</v>
      </c>
      <c r="F219" s="287" t="s">
        <v>1652</v>
      </c>
    </row>
    <row r="220" spans="1:6" s="204" customFormat="1">
      <c r="A220" s="285" t="str">
        <v>FC 181,ED2-COE</v>
      </c>
      <c r="B220" s="286" t="s">
        <v>1850</v>
      </c>
      <c r="C220" s="302">
        <v>155</v>
      </c>
      <c r="D220" s="287" t="str">
        <f>D219</f>
        <v>ED2-COE</v>
      </c>
      <c r="E220" s="287" t="s">
        <v>246</v>
      </c>
      <c r="F220" s="287" t="s">
        <v>1596</v>
      </c>
    </row>
    <row r="221" spans="1:6" s="204" customFormat="1">
      <c r="A221" s="285" t="str">
        <v>MATH 251,ED2-COE</v>
      </c>
      <c r="B221" s="286" t="s">
        <v>466</v>
      </c>
      <c r="C221" s="302">
        <v>255</v>
      </c>
      <c r="D221" s="287" t="str">
        <f>D220</f>
        <v>ED2-COE</v>
      </c>
      <c r="E221" s="287" t="s">
        <v>140</v>
      </c>
      <c r="F221" s="287" t="s">
        <v>465</v>
      </c>
    </row>
    <row r="222" spans="1:6" s="204" customFormat="1">
      <c r="A222" s="285" t="str">
        <v>COE 371,ED3-COE</v>
      </c>
      <c r="B222" s="286" t="s">
        <v>542</v>
      </c>
      <c r="C222" s="302">
        <v>270</v>
      </c>
      <c r="D222" s="287" t="s">
        <v>55</v>
      </c>
      <c r="E222" s="287" t="s">
        <v>179</v>
      </c>
      <c r="F222" s="287" t="s">
        <v>1598</v>
      </c>
    </row>
    <row r="223" spans="1:6" s="204" customFormat="1">
      <c r="A223" s="285" t="str">
        <v>COE 381,ED3-COE</v>
      </c>
      <c r="B223" s="286" t="s">
        <v>538</v>
      </c>
      <c r="C223" s="302">
        <v>270</v>
      </c>
      <c r="D223" s="287" t="str">
        <f>D222</f>
        <v>ED3-COE</v>
      </c>
      <c r="E223" s="287" t="s">
        <v>253</v>
      </c>
      <c r="F223" s="287" t="s">
        <v>1599</v>
      </c>
    </row>
    <row r="224" spans="1:6" s="204" customFormat="1">
      <c r="A224" s="285" t="str">
        <v>COE 363,ED3-COE</v>
      </c>
      <c r="B224" s="286" t="s">
        <v>1854</v>
      </c>
      <c r="C224" s="302">
        <v>270</v>
      </c>
      <c r="D224" s="287" t="str">
        <f>D223</f>
        <v>ED3-COE</v>
      </c>
      <c r="E224" s="287" t="s">
        <v>429</v>
      </c>
      <c r="F224" s="287" t="s">
        <v>543</v>
      </c>
    </row>
    <row r="225" spans="1:6" s="204" customFormat="1">
      <c r="A225" s="285" t="str">
        <v>COE 387,ED3-COE</v>
      </c>
      <c r="B225" s="286" t="s">
        <v>1852</v>
      </c>
      <c r="C225" s="302">
        <v>270</v>
      </c>
      <c r="D225" s="287" t="str">
        <f>D223</f>
        <v>ED3-COE</v>
      </c>
      <c r="E225" s="287" t="s">
        <v>211</v>
      </c>
      <c r="F225" s="287" t="s">
        <v>1602</v>
      </c>
    </row>
    <row r="226" spans="1:6" s="204" customFormat="1">
      <c r="A226" s="285" t="str">
        <v>MATH 351,ED3-COE</v>
      </c>
      <c r="B226" s="286" t="s">
        <v>530</v>
      </c>
      <c r="C226" s="302">
        <v>270</v>
      </c>
      <c r="D226" s="287" t="str">
        <f>D225</f>
        <v>ED3-COE</v>
      </c>
      <c r="E226" s="287" t="s">
        <v>47</v>
      </c>
      <c r="F226" s="287" t="s">
        <v>463</v>
      </c>
    </row>
    <row r="227" spans="1:6" s="204" customFormat="1">
      <c r="A227" s="285" t="str">
        <v>STAT 253,ED3-COE</v>
      </c>
      <c r="B227" s="286" t="s">
        <v>1884</v>
      </c>
      <c r="C227" s="302">
        <v>270</v>
      </c>
      <c r="D227" s="287" t="str">
        <f>D226</f>
        <v>ED3-COE</v>
      </c>
      <c r="E227" s="287" t="s">
        <v>371</v>
      </c>
      <c r="F227" s="287" t="s">
        <v>462</v>
      </c>
    </row>
    <row r="228" spans="1:6" s="204" customFormat="1">
      <c r="A228" s="285" t="str">
        <v>TE 385,ED3-COE</v>
      </c>
      <c r="B228" s="286" t="s">
        <v>540</v>
      </c>
      <c r="C228" s="302">
        <v>270</v>
      </c>
      <c r="D228" s="287" t="str">
        <f>D227</f>
        <v>ED3-COE</v>
      </c>
      <c r="E228" s="287" t="s">
        <v>143</v>
      </c>
      <c r="F228" s="287" t="s">
        <v>1601</v>
      </c>
    </row>
    <row r="229" spans="1:6" s="204" customFormat="1">
      <c r="A229" s="285" t="str">
        <v>COE 451,ED4-COE</v>
      </c>
      <c r="B229" s="286" t="s">
        <v>1852</v>
      </c>
      <c r="C229" s="302">
        <v>5</v>
      </c>
      <c r="D229" s="287" t="s">
        <v>113</v>
      </c>
      <c r="E229" s="287" t="s">
        <v>1506</v>
      </c>
      <c r="F229" s="287" t="s">
        <v>1653</v>
      </c>
    </row>
    <row r="230" spans="1:6" s="204" customFormat="1">
      <c r="A230" s="285" t="str">
        <v>COE 453,ED4-COE</v>
      </c>
      <c r="B230" s="286" t="s">
        <v>538</v>
      </c>
      <c r="C230" s="302">
        <v>140</v>
      </c>
      <c r="D230" s="287" t="str">
        <f>D229</f>
        <v>ED4-COE</v>
      </c>
      <c r="E230" s="287" t="s">
        <v>152</v>
      </c>
      <c r="F230" s="287" t="s">
        <v>1654</v>
      </c>
    </row>
    <row r="231" spans="1:6" s="204" customFormat="1">
      <c r="A231" s="285" t="str">
        <v>COE 457,ED4-COE</v>
      </c>
      <c r="B231" s="286" t="s">
        <v>1839</v>
      </c>
      <c r="C231" s="302">
        <v>45</v>
      </c>
      <c r="D231" s="287" t="str">
        <f>D230</f>
        <v>ED4-COE</v>
      </c>
      <c r="E231" s="287" t="s">
        <v>133</v>
      </c>
      <c r="F231" s="287" t="s">
        <v>1655</v>
      </c>
    </row>
    <row r="232" spans="1:6" s="204" customFormat="1">
      <c r="A232" s="285" t="str">
        <v>COE 475,ED4-COE</v>
      </c>
      <c r="B232" s="286" t="s">
        <v>1885</v>
      </c>
      <c r="C232" s="302">
        <v>160</v>
      </c>
      <c r="D232" s="287" t="str">
        <f>D231</f>
        <v>ED4-COE</v>
      </c>
      <c r="E232" s="287" t="s">
        <v>233</v>
      </c>
      <c r="F232" s="287" t="s">
        <v>1656</v>
      </c>
    </row>
    <row r="233" spans="1:6" s="204" customFormat="1">
      <c r="A233" s="285" t="str">
        <v>COE 485,ED4-COE</v>
      </c>
      <c r="B233" s="286" t="s">
        <v>541</v>
      </c>
      <c r="C233" s="302">
        <v>160</v>
      </c>
      <c r="D233" s="287" t="str">
        <f>D232</f>
        <v>ED4-COE</v>
      </c>
      <c r="E233" s="287" t="s">
        <v>165</v>
      </c>
      <c r="F233" s="287" t="s">
        <v>1657</v>
      </c>
    </row>
    <row r="234" spans="1:6" s="204" customFormat="1">
      <c r="A234" s="285" t="str">
        <v>COE 497,ED4-COE</v>
      </c>
      <c r="B234" s="286" t="s">
        <v>1854</v>
      </c>
      <c r="C234" s="302">
        <v>160</v>
      </c>
      <c r="D234" s="287" t="str">
        <f>D233</f>
        <v>ED4-COE</v>
      </c>
      <c r="E234" s="287" t="s">
        <v>1507</v>
      </c>
      <c r="F234" s="287" t="s">
        <v>1658</v>
      </c>
    </row>
    <row r="235" spans="1:6" s="204" customFormat="1">
      <c r="A235" s="285" t="str">
        <v>COE 499,ED4-COE</v>
      </c>
      <c r="B235" s="286" t="s">
        <v>540</v>
      </c>
      <c r="C235" s="302">
        <v>160</v>
      </c>
      <c r="D235" s="287" t="str">
        <f>D234</f>
        <v>ED4-COE</v>
      </c>
      <c r="E235" s="287" t="s">
        <v>1508</v>
      </c>
      <c r="F235" s="287" t="s">
        <v>1565</v>
      </c>
    </row>
    <row r="236" spans="1:6" s="204" customFormat="1">
      <c r="A236" s="285" t="str">
        <v>ME 491,ED4-COE</v>
      </c>
      <c r="B236" s="286" t="s">
        <v>1825</v>
      </c>
      <c r="C236" s="302">
        <v>160</v>
      </c>
      <c r="D236" s="287" t="str">
        <f>D235</f>
        <v>ED4-COE</v>
      </c>
      <c r="E236" s="287" t="s">
        <v>244</v>
      </c>
      <c r="F236" s="287" t="s">
        <v>1564</v>
      </c>
    </row>
    <row r="237" spans="1:6" s="204" customFormat="1">
      <c r="A237" s="285" t="str">
        <v>EE 151,ED1-EE</v>
      </c>
      <c r="B237" s="298" t="s">
        <v>1886</v>
      </c>
      <c r="C237" s="299">
        <v>305</v>
      </c>
      <c r="D237" s="299" t="s">
        <v>7</v>
      </c>
      <c r="E237" s="299" t="s">
        <v>229</v>
      </c>
      <c r="F237" s="299" t="s">
        <v>474</v>
      </c>
    </row>
    <row r="238" spans="1:6" s="204" customFormat="1">
      <c r="A238" s="285" t="str">
        <v>EE 153,ED1-EE</v>
      </c>
      <c r="B238" s="298" t="s">
        <v>1827</v>
      </c>
      <c r="C238" s="299">
        <v>295</v>
      </c>
      <c r="D238" s="299" t="str">
        <f>D237</f>
        <v>ED1-EE</v>
      </c>
      <c r="E238" s="299" t="s">
        <v>267</v>
      </c>
      <c r="F238" s="299" t="s">
        <v>1659</v>
      </c>
    </row>
    <row r="239" spans="1:6" s="204" customFormat="1">
      <c r="A239" s="285" t="str">
        <v>EE 161,ED1-EE</v>
      </c>
      <c r="B239" s="298" t="s">
        <v>1887</v>
      </c>
      <c r="C239" s="299">
        <v>305</v>
      </c>
      <c r="D239" s="299" t="str">
        <f>D238</f>
        <v>ED1-EE</v>
      </c>
      <c r="E239" s="299" t="s">
        <v>451</v>
      </c>
      <c r="F239" s="299" t="s">
        <v>1660</v>
      </c>
    </row>
    <row r="240" spans="1:6" s="204" customFormat="1">
      <c r="A240" s="285" t="str">
        <v>EE 167,ED1-EE</v>
      </c>
      <c r="B240" s="298" t="s">
        <v>1846</v>
      </c>
      <c r="C240" s="299">
        <v>295</v>
      </c>
      <c r="D240" s="299" t="str">
        <f>D239</f>
        <v>ED1-EE</v>
      </c>
      <c r="E240" s="299" t="s">
        <v>455</v>
      </c>
      <c r="F240" s="299" t="s">
        <v>1661</v>
      </c>
    </row>
    <row r="241" spans="1:6" s="204" customFormat="1">
      <c r="A241" s="285" t="str">
        <v>ENGL 157,ED1-EE</v>
      </c>
      <c r="B241" s="298" t="s">
        <v>1840</v>
      </c>
      <c r="C241" s="299">
        <v>295</v>
      </c>
      <c r="D241" s="299" t="str">
        <f>D240</f>
        <v>ED1-EE</v>
      </c>
      <c r="E241" s="299" t="s">
        <v>0</v>
      </c>
      <c r="F241" s="299" t="s">
        <v>473</v>
      </c>
    </row>
    <row r="242" spans="1:6" s="204" customFormat="1">
      <c r="A242" s="285" t="str">
        <v>MATH 151,ED1-EE</v>
      </c>
      <c r="B242" s="298" t="s">
        <v>1888</v>
      </c>
      <c r="C242" s="299">
        <v>295</v>
      </c>
      <c r="D242" s="299" t="str">
        <f>D241</f>
        <v>ED1-EE</v>
      </c>
      <c r="E242" s="299" t="s">
        <v>65</v>
      </c>
      <c r="F242" s="299" t="s">
        <v>472</v>
      </c>
    </row>
    <row r="243" spans="1:6" s="204" customFormat="1">
      <c r="A243" s="285" t="str">
        <v>ME 161,ED1-EE</v>
      </c>
      <c r="B243" s="298" t="s">
        <v>524</v>
      </c>
      <c r="C243" s="299">
        <v>297</v>
      </c>
      <c r="D243" s="299" t="str">
        <f>D242</f>
        <v>ED1-EE</v>
      </c>
      <c r="E243" s="299" t="s">
        <v>154</v>
      </c>
      <c r="F243" s="299" t="s">
        <v>1589</v>
      </c>
    </row>
    <row r="244" spans="1:6" s="204" customFormat="1">
      <c r="A244" s="285" t="str">
        <v>CENG 291,ED2-EE</v>
      </c>
      <c r="B244" s="298" t="s">
        <v>1889</v>
      </c>
      <c r="C244" s="299">
        <v>340</v>
      </c>
      <c r="D244" s="299" t="s">
        <v>98</v>
      </c>
      <c r="E244" s="299" t="s">
        <v>258</v>
      </c>
      <c r="F244" s="299" t="s">
        <v>468</v>
      </c>
    </row>
    <row r="245" spans="1:6" s="204" customFormat="1">
      <c r="A245" s="285" t="str">
        <v>COE 251,ED2-EE</v>
      </c>
      <c r="B245" s="298" t="s">
        <v>560</v>
      </c>
      <c r="C245" s="299">
        <v>340</v>
      </c>
      <c r="D245" s="299" t="str">
        <f>D244</f>
        <v>ED2-EE</v>
      </c>
      <c r="E245" s="299" t="s">
        <v>248</v>
      </c>
      <c r="F245" s="299" t="s">
        <v>1662</v>
      </c>
    </row>
    <row r="246" spans="1:6" s="204" customFormat="1">
      <c r="A246" s="285" t="str">
        <v>ECON 151,ED2-EE</v>
      </c>
      <c r="B246" s="298" t="s">
        <v>467</v>
      </c>
      <c r="C246" s="299">
        <v>150</v>
      </c>
      <c r="D246" s="299" t="str">
        <f>D245</f>
        <v>ED2-EE</v>
      </c>
      <c r="E246" s="299" t="s">
        <v>177</v>
      </c>
      <c r="F246" s="299" t="s">
        <v>1652</v>
      </c>
    </row>
    <row r="247" spans="1:6" s="204" customFormat="1">
      <c r="A247" s="285" t="str">
        <v>EE 261,ED2-EE</v>
      </c>
      <c r="B247" s="305" t="s">
        <v>1886</v>
      </c>
      <c r="C247" s="299">
        <v>345</v>
      </c>
      <c r="D247" s="299" t="str">
        <f>D246</f>
        <v>ED2-EE</v>
      </c>
      <c r="E247" s="299" t="s">
        <v>167</v>
      </c>
      <c r="F247" s="299" t="s">
        <v>1663</v>
      </c>
    </row>
    <row r="248" spans="1:6" s="204" customFormat="1">
      <c r="A248" s="285" t="str">
        <v>EE 271,ED2-EE</v>
      </c>
      <c r="B248" s="298" t="s">
        <v>1890</v>
      </c>
      <c r="C248" s="299">
        <v>340</v>
      </c>
      <c r="D248" s="299" t="str">
        <f>D247</f>
        <v>ED2-EE</v>
      </c>
      <c r="E248" s="299" t="s">
        <v>227</v>
      </c>
      <c r="F248" s="299" t="s">
        <v>1594</v>
      </c>
    </row>
    <row r="249" spans="1:6" s="204" customFormat="1">
      <c r="A249" s="285" t="str">
        <v>EE 291,ED2-EE</v>
      </c>
      <c r="B249" s="298" t="s">
        <v>1891</v>
      </c>
      <c r="C249" s="299">
        <v>340</v>
      </c>
      <c r="D249" s="299" t="str">
        <f>D248</f>
        <v>ED2-EE</v>
      </c>
      <c r="E249" s="299" t="s">
        <v>1509</v>
      </c>
      <c r="F249" s="299" t="s">
        <v>1664</v>
      </c>
    </row>
    <row r="250" spans="1:6" s="204" customFormat="1">
      <c r="A250" s="285" t="str">
        <v>FC 181,ED2-EE</v>
      </c>
      <c r="B250" s="298" t="s">
        <v>1850</v>
      </c>
      <c r="C250" s="299">
        <v>190</v>
      </c>
      <c r="D250" s="299" t="str">
        <f>D249</f>
        <v>ED2-EE</v>
      </c>
      <c r="E250" s="299" t="s">
        <v>246</v>
      </c>
      <c r="F250" s="299" t="s">
        <v>1596</v>
      </c>
    </row>
    <row r="251" spans="1:6" s="204" customFormat="1">
      <c r="A251" s="285" t="str">
        <v>MATH 251,ED2-EE</v>
      </c>
      <c r="B251" s="298" t="s">
        <v>1857</v>
      </c>
      <c r="C251" s="299">
        <v>340</v>
      </c>
      <c r="D251" s="299" t="str">
        <f>D250</f>
        <v>ED2-EE</v>
      </c>
      <c r="E251" s="299" t="s">
        <v>140</v>
      </c>
      <c r="F251" s="299" t="s">
        <v>465</v>
      </c>
    </row>
    <row r="252" spans="1:6" s="204" customFormat="1">
      <c r="A252" s="285" t="str">
        <v>EE 265,ED2-EE</v>
      </c>
      <c r="B252" s="298" t="s">
        <v>1889</v>
      </c>
      <c r="C252" s="299">
        <v>340</v>
      </c>
      <c r="D252" s="299" t="str">
        <f>D251</f>
        <v>ED2-EE</v>
      </c>
      <c r="E252" s="299" t="s">
        <v>1480</v>
      </c>
      <c r="F252" s="299" t="s">
        <v>1665</v>
      </c>
    </row>
    <row r="253" spans="1:6" s="204" customFormat="1">
      <c r="A253" s="285" t="str">
        <v>EE 371,ED3-EE</v>
      </c>
      <c r="B253" s="298" t="s">
        <v>1890</v>
      </c>
      <c r="C253" s="299">
        <v>240</v>
      </c>
      <c r="D253" s="299" t="s">
        <v>53</v>
      </c>
      <c r="E253" s="299" t="s">
        <v>178</v>
      </c>
      <c r="F253" s="299" t="s">
        <v>1598</v>
      </c>
    </row>
    <row r="254" spans="1:6" s="204" customFormat="1">
      <c r="A254" s="285" t="str">
        <v>STAT 253,ED3-EE</v>
      </c>
      <c r="B254" s="298" t="s">
        <v>1844</v>
      </c>
      <c r="C254" s="299">
        <v>240</v>
      </c>
      <c r="D254" s="299" t="str">
        <f>D253</f>
        <v>ED3-EE</v>
      </c>
      <c r="E254" s="299" t="s">
        <v>371</v>
      </c>
      <c r="F254" s="299" t="s">
        <v>462</v>
      </c>
    </row>
    <row r="255" spans="1:6" s="204" customFormat="1">
      <c r="A255" s="285" t="str">
        <v>COE 381,ED3-EE</v>
      </c>
      <c r="B255" s="298" t="s">
        <v>538</v>
      </c>
      <c r="C255" s="299">
        <v>240</v>
      </c>
      <c r="D255" s="299" t="str">
        <f>D254</f>
        <v>ED3-EE</v>
      </c>
      <c r="E255" s="299" t="s">
        <v>253</v>
      </c>
      <c r="F255" s="299" t="s">
        <v>1599</v>
      </c>
    </row>
    <row r="256" spans="1:6" s="204" customFormat="1">
      <c r="A256" s="285" t="str">
        <v>EE 365,ED3-EE</v>
      </c>
      <c r="B256" s="298" t="s">
        <v>1889</v>
      </c>
      <c r="C256" s="299">
        <v>240</v>
      </c>
      <c r="D256" s="299" t="str">
        <f>D255</f>
        <v>ED3-EE</v>
      </c>
      <c r="E256" s="299" t="s">
        <v>185</v>
      </c>
      <c r="F256" s="299" t="s">
        <v>1665</v>
      </c>
    </row>
    <row r="257" spans="1:6" s="204" customFormat="1">
      <c r="A257" s="285" t="str">
        <v>EE 367,ED3-EE</v>
      </c>
      <c r="B257" s="298" t="s">
        <v>1892</v>
      </c>
      <c r="C257" s="299">
        <v>240</v>
      </c>
      <c r="D257" s="299" t="str">
        <f>D256</f>
        <v>ED3-EE</v>
      </c>
      <c r="E257" s="299" t="s">
        <v>100</v>
      </c>
      <c r="F257" s="299" t="s">
        <v>1666</v>
      </c>
    </row>
    <row r="258" spans="1:6" s="204" customFormat="1">
      <c r="A258" s="285" t="str">
        <v>EE 387,ED3-EE</v>
      </c>
      <c r="B258" s="298" t="s">
        <v>1887</v>
      </c>
      <c r="C258" s="299">
        <v>250</v>
      </c>
      <c r="D258" s="299" t="str">
        <f>D257</f>
        <v>ED3-EE</v>
      </c>
      <c r="E258" s="299" t="s">
        <v>210</v>
      </c>
      <c r="F258" s="299" t="s">
        <v>1602</v>
      </c>
    </row>
    <row r="259" spans="1:6" s="204" customFormat="1">
      <c r="A259" s="285" t="str">
        <v>MATH 351,ED3-EE</v>
      </c>
      <c r="B259" s="298" t="s">
        <v>1893</v>
      </c>
      <c r="C259" s="299">
        <v>240</v>
      </c>
      <c r="D259" s="299" t="str">
        <f>D258</f>
        <v>ED3-EE</v>
      </c>
      <c r="E259" s="299" t="s">
        <v>47</v>
      </c>
      <c r="F259" s="299" t="s">
        <v>463</v>
      </c>
    </row>
    <row r="260" spans="1:6" s="204" customFormat="1">
      <c r="A260" s="285" t="str">
        <v>TE 271,ED3-EE</v>
      </c>
      <c r="B260" s="298" t="s">
        <v>1894</v>
      </c>
      <c r="C260" s="299">
        <v>240</v>
      </c>
      <c r="D260" s="299" t="str">
        <f>D259</f>
        <v>ED3-EE</v>
      </c>
      <c r="E260" s="299" t="s">
        <v>1510</v>
      </c>
      <c r="F260" s="299" t="s">
        <v>1667</v>
      </c>
    </row>
    <row r="261" spans="1:6" s="204" customFormat="1">
      <c r="A261" s="285" t="str">
        <f>_xlfn.CONCAT(E261,",",D261)</f>
        <v>COE 475P,ED4-EE</v>
      </c>
      <c r="B261" s="298" t="s">
        <v>1816</v>
      </c>
      <c r="C261" s="299">
        <v>215</v>
      </c>
      <c r="D261" s="299" t="s">
        <v>114</v>
      </c>
      <c r="E261" s="299" t="s">
        <v>1817</v>
      </c>
      <c r="F261" s="299" t="s">
        <v>1656</v>
      </c>
    </row>
    <row r="262" spans="1:6" s="204" customFormat="1">
      <c r="A262" s="285" t="str">
        <v>COE 475,ED4-EE</v>
      </c>
      <c r="B262" s="298" t="s">
        <v>1816</v>
      </c>
      <c r="C262" s="299">
        <v>215</v>
      </c>
      <c r="D262" s="299" t="s">
        <v>114</v>
      </c>
      <c r="E262" s="299" t="s">
        <v>233</v>
      </c>
      <c r="F262" s="299" t="s">
        <v>1656</v>
      </c>
    </row>
    <row r="263" spans="1:6" s="204" customFormat="1">
      <c r="A263" s="285" t="str">
        <v>EE 463,ED4-EE</v>
      </c>
      <c r="B263" s="298" t="s">
        <v>1889</v>
      </c>
      <c r="C263" s="299">
        <v>157</v>
      </c>
      <c r="D263" s="299" t="str">
        <f>D262</f>
        <v>ED4-EE</v>
      </c>
      <c r="E263" s="299" t="s">
        <v>322</v>
      </c>
      <c r="F263" s="299" t="s">
        <v>1668</v>
      </c>
    </row>
    <row r="264" spans="1:6" s="204" customFormat="1">
      <c r="A264" s="285" t="str">
        <v>EE 467,ED4-EE</v>
      </c>
      <c r="B264" s="298" t="s">
        <v>535</v>
      </c>
      <c r="C264" s="299">
        <v>205</v>
      </c>
      <c r="D264" s="299" t="str">
        <f>D263</f>
        <v>ED4-EE</v>
      </c>
      <c r="E264" s="299" t="s">
        <v>151</v>
      </c>
      <c r="F264" s="299" t="s">
        <v>1669</v>
      </c>
    </row>
    <row r="265" spans="1:6" s="204" customFormat="1">
      <c r="A265" s="285" t="str">
        <v>EE 489,ED4-EE</v>
      </c>
      <c r="B265" s="298" t="s">
        <v>1889</v>
      </c>
      <c r="C265" s="299">
        <v>205</v>
      </c>
      <c r="D265" s="299" t="str">
        <f>D264</f>
        <v>ED4-EE</v>
      </c>
      <c r="E265" s="299" t="s">
        <v>1511</v>
      </c>
      <c r="F265" s="299" t="s">
        <v>1670</v>
      </c>
    </row>
    <row r="266" spans="1:6" s="204" customFormat="1">
      <c r="A266" s="285" t="str">
        <f>_xlfn.CONCAT(E266,",",D266)</f>
        <v>EE 497,ED4-EE</v>
      </c>
      <c r="B266" s="298" t="s">
        <v>1890</v>
      </c>
      <c r="C266" s="299">
        <v>205</v>
      </c>
      <c r="D266" s="299" t="str">
        <f>D265</f>
        <v>ED4-EE</v>
      </c>
      <c r="E266" s="299" t="s">
        <v>1512</v>
      </c>
      <c r="F266" s="299" t="s">
        <v>1544</v>
      </c>
    </row>
    <row r="267" spans="1:6" s="204" customFormat="1">
      <c r="A267" s="285" t="str">
        <v>ME 491,ED4-EE</v>
      </c>
      <c r="B267" s="298" t="s">
        <v>1825</v>
      </c>
      <c r="C267" s="299">
        <v>205</v>
      </c>
      <c r="D267" s="299" t="str">
        <f>D266</f>
        <v>ED4-EE</v>
      </c>
      <c r="E267" s="299" t="s">
        <v>244</v>
      </c>
      <c r="F267" s="299" t="s">
        <v>1564</v>
      </c>
    </row>
    <row r="268" spans="1:6" s="204" customFormat="1">
      <c r="A268" s="285" t="str">
        <v>TE 481,ED4-EE</v>
      </c>
      <c r="B268" s="298" t="s">
        <v>1895</v>
      </c>
      <c r="C268" s="299">
        <v>43</v>
      </c>
      <c r="D268" s="299" t="str">
        <f>D267</f>
        <v>ED4-EE</v>
      </c>
      <c r="E268" s="299" t="s">
        <v>132</v>
      </c>
      <c r="F268" s="299" t="s">
        <v>1671</v>
      </c>
    </row>
    <row r="269" spans="1:6" s="204" customFormat="1">
      <c r="A269" s="285" t="str">
        <v>ACF 255,ED1-GEOL</v>
      </c>
      <c r="B269" s="286" t="s">
        <v>1849</v>
      </c>
      <c r="C269" s="287">
        <v>5</v>
      </c>
      <c r="D269" s="287" t="s">
        <v>6</v>
      </c>
      <c r="E269" s="287" t="s">
        <v>383</v>
      </c>
      <c r="F269" s="287" t="s">
        <v>1592</v>
      </c>
    </row>
    <row r="270" spans="1:6" s="204" customFormat="1">
      <c r="A270" s="285" t="str">
        <v>CE 151,ED1-GEOL</v>
      </c>
      <c r="B270" s="286" t="s">
        <v>1869</v>
      </c>
      <c r="C270" s="287">
        <v>125</v>
      </c>
      <c r="D270" s="287" t="str">
        <f>D269</f>
        <v>ED1-GEOL</v>
      </c>
      <c r="E270" s="287" t="s">
        <v>123</v>
      </c>
      <c r="F270" s="287" t="s">
        <v>1623</v>
      </c>
    </row>
    <row r="271" spans="1:6" s="204" customFormat="1">
      <c r="A271" s="285" t="str">
        <v>ECON 151,ED1-GEOL</v>
      </c>
      <c r="B271" s="286" t="s">
        <v>467</v>
      </c>
      <c r="C271" s="287">
        <v>34</v>
      </c>
      <c r="D271" s="287" t="str">
        <f>D270</f>
        <v>ED1-GEOL</v>
      </c>
      <c r="E271" s="287" t="s">
        <v>177</v>
      </c>
      <c r="F271" s="287" t="s">
        <v>1595</v>
      </c>
    </row>
    <row r="272" spans="1:6" s="204" customFormat="1">
      <c r="A272" s="285" t="str">
        <v>ENGL 157,ED1-GEOL</v>
      </c>
      <c r="B272" s="286" t="s">
        <v>519</v>
      </c>
      <c r="C272" s="287">
        <v>125</v>
      </c>
      <c r="D272" s="287" t="str">
        <f>D271</f>
        <v>ED1-GEOL</v>
      </c>
      <c r="E272" s="287" t="s">
        <v>0</v>
      </c>
      <c r="F272" s="287" t="s">
        <v>473</v>
      </c>
    </row>
    <row r="273" spans="1:6" s="204" customFormat="1">
      <c r="A273" s="285" t="str">
        <v>FC 181,ED1-GEOL</v>
      </c>
      <c r="B273" s="286" t="s">
        <v>1850</v>
      </c>
      <c r="C273" s="287">
        <v>85</v>
      </c>
      <c r="D273" s="287" t="str">
        <f>D272</f>
        <v>ED1-GEOL</v>
      </c>
      <c r="E273" s="287" t="s">
        <v>246</v>
      </c>
      <c r="F273" s="287" t="s">
        <v>1596</v>
      </c>
    </row>
    <row r="274" spans="1:6" s="204" customFormat="1">
      <c r="A274" s="285" t="str">
        <v>GED 151,ED1-GEOL</v>
      </c>
      <c r="B274" s="286" t="s">
        <v>500</v>
      </c>
      <c r="C274" s="287">
        <v>125</v>
      </c>
      <c r="D274" s="287" t="str">
        <f>D273</f>
        <v>ED1-GEOL</v>
      </c>
      <c r="E274" s="287" t="s">
        <v>166</v>
      </c>
      <c r="F274" s="287" t="s">
        <v>1672</v>
      </c>
    </row>
    <row r="275" spans="1:6" s="204" customFormat="1">
      <c r="A275" s="285" t="str">
        <v>GED 153,ED1-GEOL</v>
      </c>
      <c r="B275" s="286" t="s">
        <v>531</v>
      </c>
      <c r="C275" s="287">
        <v>125</v>
      </c>
      <c r="D275" s="287" t="str">
        <f>D274</f>
        <v>ED1-GEOL</v>
      </c>
      <c r="E275" s="287" t="s">
        <v>181</v>
      </c>
      <c r="F275" s="287" t="s">
        <v>1588</v>
      </c>
    </row>
    <row r="276" spans="1:6" s="204" customFormat="1">
      <c r="A276" s="285" t="str">
        <v>MATH 151,ED1-GEOL</v>
      </c>
      <c r="B276" s="286" t="s">
        <v>1882</v>
      </c>
      <c r="C276" s="287">
        <v>130</v>
      </c>
      <c r="D276" s="287" t="str">
        <f>D275</f>
        <v>ED1-GEOL</v>
      </c>
      <c r="E276" s="287" t="s">
        <v>65</v>
      </c>
      <c r="F276" s="287" t="s">
        <v>472</v>
      </c>
    </row>
    <row r="277" spans="1:6" s="204" customFormat="1">
      <c r="A277" s="285" t="str">
        <v>ME 159,ED1-GEOL</v>
      </c>
      <c r="B277" s="286" t="s">
        <v>1831</v>
      </c>
      <c r="C277" s="287">
        <v>125</v>
      </c>
      <c r="D277" s="287" t="str">
        <f>D276</f>
        <v>ED1-GEOL</v>
      </c>
      <c r="E277" s="287" t="s">
        <v>160</v>
      </c>
      <c r="F277" s="287" t="s">
        <v>471</v>
      </c>
    </row>
    <row r="278" spans="1:6" s="204" customFormat="1">
      <c r="A278" s="285" t="str">
        <v>ME 161,ED1-GEOL</v>
      </c>
      <c r="B278" s="286" t="s">
        <v>501</v>
      </c>
      <c r="C278" s="287">
        <v>125</v>
      </c>
      <c r="D278" s="287" t="str">
        <f>D277</f>
        <v>ED1-GEOL</v>
      </c>
      <c r="E278" s="287" t="s">
        <v>154</v>
      </c>
      <c r="F278" s="287" t="s">
        <v>1589</v>
      </c>
    </row>
    <row r="279" spans="1:6" s="204" customFormat="1">
      <c r="A279" s="285" t="str">
        <v>CENG 291,ED2-GEOL</v>
      </c>
      <c r="B279" s="286" t="s">
        <v>1899</v>
      </c>
      <c r="C279" s="287">
        <v>150</v>
      </c>
      <c r="D279" s="287" t="s">
        <v>73</v>
      </c>
      <c r="E279" s="287" t="s">
        <v>258</v>
      </c>
      <c r="F279" s="287" t="s">
        <v>468</v>
      </c>
    </row>
    <row r="280" spans="1:6" s="204" customFormat="1">
      <c r="A280" s="285" t="str">
        <v>CE 251,ED2-GEOL</v>
      </c>
      <c r="B280" s="286" t="s">
        <v>1896</v>
      </c>
      <c r="C280" s="287">
        <v>150</v>
      </c>
      <c r="D280" s="287" t="str">
        <f>D279</f>
        <v>ED2-GEOL</v>
      </c>
      <c r="E280" s="287" t="s">
        <v>323</v>
      </c>
      <c r="F280" s="287" t="s">
        <v>1625</v>
      </c>
    </row>
    <row r="281" spans="1:6" s="204" customFormat="1">
      <c r="A281" s="285" t="str">
        <v>CE 255,ED2-GEOL</v>
      </c>
      <c r="B281" s="286" t="s">
        <v>534</v>
      </c>
      <c r="C281" s="287">
        <v>150</v>
      </c>
      <c r="D281" s="287" t="str">
        <f>D280</f>
        <v>ED2-GEOL</v>
      </c>
      <c r="E281" s="287" t="s">
        <v>249</v>
      </c>
      <c r="F281" s="287" t="s">
        <v>1626</v>
      </c>
    </row>
    <row r="282" spans="1:6" s="204" customFormat="1">
      <c r="A282" s="285" t="str">
        <v>GED 251,ED2-GEOL</v>
      </c>
      <c r="B282" s="286" t="s">
        <v>1897</v>
      </c>
      <c r="C282" s="287">
        <v>150</v>
      </c>
      <c r="D282" s="287" t="str">
        <f>D281</f>
        <v>ED2-GEOL</v>
      </c>
      <c r="E282" s="287" t="s">
        <v>71</v>
      </c>
      <c r="F282" s="287" t="s">
        <v>1673</v>
      </c>
    </row>
    <row r="283" spans="1:6" s="204" customFormat="1">
      <c r="A283" s="285" t="str">
        <v>GED 253,ED2-GEOL</v>
      </c>
      <c r="B283" s="286" t="s">
        <v>1898</v>
      </c>
      <c r="C283" s="287">
        <v>150</v>
      </c>
      <c r="D283" s="287" t="str">
        <f>D282</f>
        <v>ED2-GEOL</v>
      </c>
      <c r="E283" s="287" t="s">
        <v>237</v>
      </c>
      <c r="F283" s="287" t="s">
        <v>1674</v>
      </c>
    </row>
    <row r="284" spans="1:6" s="204" customFormat="1">
      <c r="A284" s="285" t="str">
        <v>GED 267,ED2-GEOL</v>
      </c>
      <c r="B284" s="286" t="s">
        <v>1899</v>
      </c>
      <c r="C284" s="287">
        <v>150</v>
      </c>
      <c r="D284" s="287" t="str">
        <f>D283</f>
        <v>ED2-GEOL</v>
      </c>
      <c r="E284" s="287" t="s">
        <v>207</v>
      </c>
      <c r="F284" s="287" t="s">
        <v>1627</v>
      </c>
    </row>
    <row r="285" spans="1:6" s="204" customFormat="1">
      <c r="A285" s="285" t="str">
        <v>MATH 251,ED2-GEOL</v>
      </c>
      <c r="B285" s="286" t="s">
        <v>466</v>
      </c>
      <c r="C285" s="287">
        <v>150</v>
      </c>
      <c r="D285" s="287" t="str">
        <f>D284</f>
        <v>ED2-GEOL</v>
      </c>
      <c r="E285" s="287" t="s">
        <v>140</v>
      </c>
      <c r="F285" s="287" t="s">
        <v>465</v>
      </c>
    </row>
    <row r="286" spans="1:6" s="204" customFormat="1">
      <c r="A286" s="285" t="str">
        <v>GED 351,ED3-GEOL</v>
      </c>
      <c r="B286" s="286" t="s">
        <v>1900</v>
      </c>
      <c r="C286" s="287">
        <v>154</v>
      </c>
      <c r="D286" s="287" t="s">
        <v>52</v>
      </c>
      <c r="E286" s="287" t="s">
        <v>276</v>
      </c>
      <c r="F286" s="287" t="s">
        <v>1675</v>
      </c>
    </row>
    <row r="287" spans="1:6" s="204" customFormat="1">
      <c r="A287" s="285" t="str">
        <v>GED 357,ED3-GEOL</v>
      </c>
      <c r="B287" s="286" t="s">
        <v>1901</v>
      </c>
      <c r="C287" s="287">
        <v>158</v>
      </c>
      <c r="D287" s="287" t="str">
        <f>D286</f>
        <v>ED3-GEOL</v>
      </c>
      <c r="E287" s="287" t="s">
        <v>158</v>
      </c>
      <c r="F287" s="287" t="s">
        <v>1676</v>
      </c>
    </row>
    <row r="288" spans="1:6" s="204" customFormat="1">
      <c r="A288" s="285" t="str">
        <v>GED 365,ED3-GEOL</v>
      </c>
      <c r="B288" s="286" t="s">
        <v>1897</v>
      </c>
      <c r="C288" s="287">
        <v>154</v>
      </c>
      <c r="D288" s="287" t="str">
        <f>D287</f>
        <v>ED3-GEOL</v>
      </c>
      <c r="E288" s="287" t="s">
        <v>183</v>
      </c>
      <c r="F288" s="287" t="s">
        <v>1677</v>
      </c>
    </row>
    <row r="289" spans="1:6" s="204" customFormat="1">
      <c r="A289" s="285" t="str">
        <v>GED 369,ED3-GEOL</v>
      </c>
      <c r="B289" s="286" t="s">
        <v>531</v>
      </c>
      <c r="C289" s="287">
        <v>154</v>
      </c>
      <c r="D289" s="287" t="str">
        <f>D288</f>
        <v>ED3-GEOL</v>
      </c>
      <c r="E289" s="287" t="s">
        <v>614</v>
      </c>
      <c r="F289" s="287" t="s">
        <v>1678</v>
      </c>
    </row>
    <row r="290" spans="1:6" s="204" customFormat="1">
      <c r="A290" s="285" t="str">
        <v>GED 375,ED3-GEOL</v>
      </c>
      <c r="B290" s="286" t="s">
        <v>1902</v>
      </c>
      <c r="C290" s="287">
        <v>154</v>
      </c>
      <c r="D290" s="287" t="str">
        <f>D289</f>
        <v>ED3-GEOL</v>
      </c>
      <c r="E290" s="287" t="s">
        <v>191</v>
      </c>
      <c r="F290" s="287" t="s">
        <v>1679</v>
      </c>
    </row>
    <row r="291" spans="1:6" s="204" customFormat="1">
      <c r="A291" s="285" t="str">
        <v>GED 379,ED3-GEOL</v>
      </c>
      <c r="B291" s="286" t="s">
        <v>1903</v>
      </c>
      <c r="C291" s="287">
        <v>157</v>
      </c>
      <c r="D291" s="287" t="str">
        <f>D290</f>
        <v>ED3-GEOL</v>
      </c>
      <c r="E291" s="287" t="s">
        <v>532</v>
      </c>
      <c r="F291" s="287" t="s">
        <v>1632</v>
      </c>
    </row>
    <row r="292" spans="1:6" s="204" customFormat="1">
      <c r="A292" s="285" t="str">
        <v>MATH 351,ED3-GEOL</v>
      </c>
      <c r="B292" s="286" t="s">
        <v>530</v>
      </c>
      <c r="C292" s="287">
        <v>154</v>
      </c>
      <c r="D292" s="287" t="str">
        <f>D291</f>
        <v>ED3-GEOL</v>
      </c>
      <c r="E292" s="287" t="s">
        <v>47</v>
      </c>
      <c r="F292" s="287" t="s">
        <v>463</v>
      </c>
    </row>
    <row r="293" spans="1:6" s="204" customFormat="1">
      <c r="A293" s="285" t="str">
        <v>STAT 253,ED3-GEOL</v>
      </c>
      <c r="B293" s="286" t="s">
        <v>1464</v>
      </c>
      <c r="C293" s="287">
        <v>154</v>
      </c>
      <c r="D293" s="287" t="str">
        <f>D292</f>
        <v>ED3-GEOL</v>
      </c>
      <c r="E293" s="287" t="s">
        <v>371</v>
      </c>
      <c r="F293" s="287" t="s">
        <v>462</v>
      </c>
    </row>
    <row r="294" spans="1:6" s="204" customFormat="1">
      <c r="A294" s="285" t="str">
        <v>CE 477,ED4-GEOL</v>
      </c>
      <c r="B294" s="286" t="s">
        <v>1904</v>
      </c>
      <c r="C294" s="287">
        <v>95</v>
      </c>
      <c r="D294" s="287" t="s">
        <v>22</v>
      </c>
      <c r="E294" s="287" t="s">
        <v>164</v>
      </c>
      <c r="F294" s="287" t="s">
        <v>1645</v>
      </c>
    </row>
    <row r="295" spans="1:6" s="204" customFormat="1">
      <c r="A295" s="285" t="str">
        <v>GED 461,ED4-GEOL</v>
      </c>
      <c r="B295" s="286" t="s">
        <v>529</v>
      </c>
      <c r="C295" s="287">
        <v>95</v>
      </c>
      <c r="D295" s="287" t="str">
        <f>D294</f>
        <v>ED4-GEOL</v>
      </c>
      <c r="E295" s="287" t="s">
        <v>245</v>
      </c>
      <c r="F295" s="287" t="s">
        <v>1680</v>
      </c>
    </row>
    <row r="296" spans="1:6" s="204" customFormat="1">
      <c r="A296" s="285" t="str">
        <v>GED 471,ED4-GEOL</v>
      </c>
      <c r="B296" s="286">
        <v>0</v>
      </c>
      <c r="C296" s="287">
        <v>95</v>
      </c>
      <c r="D296" s="287" t="str">
        <f>D295</f>
        <v>ED4-GEOL</v>
      </c>
      <c r="E296" s="287" t="s">
        <v>1513</v>
      </c>
      <c r="F296" s="287" t="s">
        <v>1670</v>
      </c>
    </row>
    <row r="297" spans="1:6" s="204" customFormat="1">
      <c r="A297" s="285" t="str">
        <v>GED 451,ED4-GEOL</v>
      </c>
      <c r="B297" s="286" t="s">
        <v>1900</v>
      </c>
      <c r="C297" s="287">
        <v>95</v>
      </c>
      <c r="D297" s="287" t="str">
        <f>D296</f>
        <v>ED4-GEOL</v>
      </c>
      <c r="E297" s="287" t="s">
        <v>60</v>
      </c>
      <c r="F297" s="287" t="s">
        <v>1681</v>
      </c>
    </row>
    <row r="298" spans="1:6" s="204" customFormat="1">
      <c r="A298" s="285" t="str">
        <v>GED 457,ED4-GEOL</v>
      </c>
      <c r="B298" s="286" t="s">
        <v>1901</v>
      </c>
      <c r="C298" s="287">
        <v>95</v>
      </c>
      <c r="D298" s="287" t="str">
        <f>D297</f>
        <v>ED4-GEOL</v>
      </c>
      <c r="E298" s="287" t="s">
        <v>1514</v>
      </c>
      <c r="F298" s="287" t="s">
        <v>1658</v>
      </c>
    </row>
    <row r="299" spans="1:6" s="204" customFormat="1">
      <c r="A299" s="285" t="str">
        <v>GED 459,ED4-GEOL</v>
      </c>
      <c r="B299" s="286" t="s">
        <v>500</v>
      </c>
      <c r="C299" s="287">
        <v>95</v>
      </c>
      <c r="D299" s="287" t="str">
        <f>D298</f>
        <v>ED4-GEOL</v>
      </c>
      <c r="E299" s="287" t="s">
        <v>148</v>
      </c>
      <c r="F299" s="287" t="s">
        <v>1682</v>
      </c>
    </row>
    <row r="300" spans="1:6" s="204" customFormat="1">
      <c r="A300" s="285" t="str">
        <v>GED 465,ED4-GEOL</v>
      </c>
      <c r="B300" s="286" t="s">
        <v>529</v>
      </c>
      <c r="C300" s="287">
        <v>95</v>
      </c>
      <c r="D300" s="287" t="str">
        <f>D299</f>
        <v>ED4-GEOL</v>
      </c>
      <c r="E300" s="287" t="s">
        <v>384</v>
      </c>
      <c r="F300" s="287" t="s">
        <v>1683</v>
      </c>
    </row>
    <row r="301" spans="1:6" s="204" customFormat="1">
      <c r="A301" s="285" t="str">
        <v>GED 475,ED4-GEOL</v>
      </c>
      <c r="B301" s="286" t="s">
        <v>1901</v>
      </c>
      <c r="C301" s="287">
        <v>95</v>
      </c>
      <c r="D301" s="287" t="str">
        <f>D300</f>
        <v>ED4-GEOL</v>
      </c>
      <c r="E301" s="287" t="s">
        <v>21</v>
      </c>
      <c r="F301" s="287" t="s">
        <v>1684</v>
      </c>
    </row>
    <row r="302" spans="1:6" s="204" customFormat="1">
      <c r="A302" s="285" t="str">
        <v>ENGL 157,ED1-GEOM</v>
      </c>
      <c r="B302" s="298" t="s">
        <v>519</v>
      </c>
      <c r="C302" s="299">
        <v>100</v>
      </c>
      <c r="D302" s="299" t="s">
        <v>10</v>
      </c>
      <c r="E302" s="299" t="s">
        <v>0</v>
      </c>
      <c r="F302" s="299" t="s">
        <v>473</v>
      </c>
    </row>
    <row r="303" spans="1:6" s="204" customFormat="1">
      <c r="A303" s="285" t="str">
        <v>GE 151,ED1-GEOM</v>
      </c>
      <c r="B303" s="298" t="s">
        <v>1905</v>
      </c>
      <c r="C303" s="299">
        <v>100</v>
      </c>
      <c r="D303" s="299" t="str">
        <f>D302</f>
        <v>ED1-GEOM</v>
      </c>
      <c r="E303" s="299" t="s">
        <v>93</v>
      </c>
      <c r="F303" s="299" t="s">
        <v>1685</v>
      </c>
    </row>
    <row r="304" spans="1:6" s="204" customFormat="1">
      <c r="A304" s="285" t="str">
        <v>GE 161,ED1-GEOM</v>
      </c>
      <c r="B304" s="298" t="s">
        <v>528</v>
      </c>
      <c r="C304" s="299">
        <v>100</v>
      </c>
      <c r="D304" s="299" t="str">
        <f>D303</f>
        <v>ED1-GEOM</v>
      </c>
      <c r="E304" s="299" t="s">
        <v>241</v>
      </c>
      <c r="F304" s="299" t="s">
        <v>1686</v>
      </c>
    </row>
    <row r="305" spans="1:6" s="204" customFormat="1">
      <c r="A305" s="285" t="str">
        <v>GE 171,ED1-GEOM</v>
      </c>
      <c r="B305" s="298" t="s">
        <v>1906</v>
      </c>
      <c r="C305" s="299">
        <v>100</v>
      </c>
      <c r="D305" s="299" t="str">
        <f>D304</f>
        <v>ED1-GEOM</v>
      </c>
      <c r="E305" s="299" t="s">
        <v>189</v>
      </c>
      <c r="F305" s="299" t="s">
        <v>1687</v>
      </c>
    </row>
    <row r="306" spans="1:6" s="204" customFormat="1">
      <c r="A306" s="285" t="str">
        <v>MATH 151,ED1-GEOM</v>
      </c>
      <c r="B306" s="298" t="s">
        <v>1841</v>
      </c>
      <c r="C306" s="299">
        <v>100</v>
      </c>
      <c r="D306" s="299" t="str">
        <f>D305</f>
        <v>ED1-GEOM</v>
      </c>
      <c r="E306" s="299" t="s">
        <v>65</v>
      </c>
      <c r="F306" s="299" t="s">
        <v>472</v>
      </c>
    </row>
    <row ht="20.25" customHeight="1" r="307" spans="1:6" s="204" customFormat="1">
      <c r="A307" s="285" t="str">
        <v>ME 159,ED1-GEOM</v>
      </c>
      <c r="B307" s="298" t="s">
        <v>524</v>
      </c>
      <c r="C307" s="299">
        <v>100</v>
      </c>
      <c r="D307" s="299" t="str">
        <f>D306</f>
        <v>ED1-GEOM</v>
      </c>
      <c r="E307" s="299" t="s">
        <v>160</v>
      </c>
      <c r="F307" s="299" t="s">
        <v>471</v>
      </c>
    </row>
    <row r="308" spans="1:6" s="204" customFormat="1">
      <c r="A308" s="285" t="str">
        <v>ME 161,ED1-GEOM</v>
      </c>
      <c r="B308" s="298" t="s">
        <v>524</v>
      </c>
      <c r="C308" s="299">
        <v>100</v>
      </c>
      <c r="D308" s="299" t="str">
        <f>D307</f>
        <v>ED1-GEOM</v>
      </c>
      <c r="E308" s="299" t="s">
        <v>154</v>
      </c>
      <c r="F308" s="299" t="s">
        <v>1589</v>
      </c>
    </row>
    <row r="309" spans="1:6" s="204" customFormat="1">
      <c r="A309" s="285" t="str">
        <v>CENG 291,ED2-GEOM</v>
      </c>
      <c r="B309" s="298" t="s">
        <v>1907</v>
      </c>
      <c r="C309" s="299">
        <v>134</v>
      </c>
      <c r="D309" s="299" t="s">
        <v>85</v>
      </c>
      <c r="E309" s="299" t="s">
        <v>258</v>
      </c>
      <c r="F309" s="299" t="s">
        <v>468</v>
      </c>
    </row>
    <row r="310" spans="1:6" s="204" customFormat="1">
      <c r="A310" s="285" t="str">
        <v>ENGL 263,ED2-GEOM</v>
      </c>
      <c r="B310" s="298" t="s">
        <v>519</v>
      </c>
      <c r="C310" s="299">
        <v>134</v>
      </c>
      <c r="D310" s="299" t="str">
        <f>D309</f>
        <v>ED2-GEOM</v>
      </c>
      <c r="E310" s="299" t="s">
        <v>83</v>
      </c>
      <c r="F310" s="299" t="s">
        <v>518</v>
      </c>
    </row>
    <row r="311" spans="1:6" s="204" customFormat="1">
      <c r="A311" s="285" t="str">
        <v>GE 251,ED2-GEOM</v>
      </c>
      <c r="B311" s="298" t="s">
        <v>1908</v>
      </c>
      <c r="C311" s="299">
        <v>134</v>
      </c>
      <c r="D311" s="299" t="str">
        <f>D310</f>
        <v>ED2-GEOM</v>
      </c>
      <c r="E311" s="299" t="s">
        <v>169</v>
      </c>
      <c r="F311" s="299" t="s">
        <v>1688</v>
      </c>
    </row>
    <row r="312" spans="1:6" s="204" customFormat="1">
      <c r="A312" s="285" t="str">
        <v>GE 261,ED2-GEOM</v>
      </c>
      <c r="B312" s="298" t="s">
        <v>528</v>
      </c>
      <c r="C312" s="299">
        <v>134</v>
      </c>
      <c r="D312" s="299" t="str">
        <f>D311</f>
        <v>ED2-GEOM</v>
      </c>
      <c r="E312" s="299" t="s">
        <v>127</v>
      </c>
      <c r="F312" s="299" t="s">
        <v>1689</v>
      </c>
    </row>
    <row r="313" spans="1:6" s="204" customFormat="1">
      <c r="A313" s="285" t="str">
        <v>GE 263,ED2-GEOM</v>
      </c>
      <c r="B313" s="298" t="s">
        <v>1909</v>
      </c>
      <c r="C313" s="299">
        <v>134</v>
      </c>
      <c r="D313" s="299" t="str">
        <f>D312</f>
        <v>ED2-GEOM</v>
      </c>
      <c r="E313" s="299" t="s">
        <v>214</v>
      </c>
      <c r="F313" s="299" t="s">
        <v>1690</v>
      </c>
    </row>
    <row r="314" spans="1:6" s="204" customFormat="1">
      <c r="A314" s="285" t="str">
        <v>GE 271,ED2-GEOM</v>
      </c>
      <c r="B314" s="298" t="s">
        <v>1910</v>
      </c>
      <c r="C314" s="299">
        <v>134</v>
      </c>
      <c r="D314" s="299" t="str">
        <f>D313</f>
        <v>ED2-GEOM</v>
      </c>
      <c r="E314" s="299" t="s">
        <v>238</v>
      </c>
      <c r="F314" s="299" t="s">
        <v>1636</v>
      </c>
    </row>
    <row r="315" spans="1:6" s="204" customFormat="1">
      <c r="A315" s="285" t="str">
        <v>GE 281,ED2-GEOM</v>
      </c>
      <c r="B315" s="298" t="s">
        <v>1911</v>
      </c>
      <c r="C315" s="299">
        <v>134</v>
      </c>
      <c r="D315" s="299" t="str">
        <f>D314</f>
        <v>ED2-GEOM</v>
      </c>
      <c r="E315" s="299" t="s">
        <v>182</v>
      </c>
      <c r="F315" s="299" t="s">
        <v>1691</v>
      </c>
    </row>
    <row r="316" spans="1:6" s="204" customFormat="1">
      <c r="A316" s="285" t="str">
        <v>MATH 251,ED2-GEOM</v>
      </c>
      <c r="B316" s="298" t="s">
        <v>466</v>
      </c>
      <c r="C316" s="299">
        <v>134</v>
      </c>
      <c r="D316" s="299" t="str">
        <f>D315</f>
        <v>ED2-GEOM</v>
      </c>
      <c r="E316" s="299" t="s">
        <v>140</v>
      </c>
      <c r="F316" s="299" t="s">
        <v>465</v>
      </c>
    </row>
    <row r="317" spans="1:6" s="204" customFormat="1">
      <c r="A317" s="285" t="str">
        <v>ACF 255,ED3-GEOM</v>
      </c>
      <c r="B317" s="298" t="s">
        <v>1849</v>
      </c>
      <c r="C317" s="299">
        <v>38</v>
      </c>
      <c r="D317" s="299" t="s">
        <v>107</v>
      </c>
      <c r="E317" s="299" t="s">
        <v>383</v>
      </c>
      <c r="F317" s="299" t="s">
        <v>1592</v>
      </c>
    </row>
    <row r="318" spans="1:6" s="204" customFormat="1">
      <c r="A318" s="285" t="str">
        <v>CE 367,ED3-GEOM</v>
      </c>
      <c r="B318" s="298" t="s">
        <v>1912</v>
      </c>
      <c r="C318" s="299">
        <v>125</v>
      </c>
      <c r="D318" s="299" t="str">
        <f>D317</f>
        <v>ED3-GEOM</v>
      </c>
      <c r="E318" s="299" t="s">
        <v>136</v>
      </c>
      <c r="F318" s="299" t="s">
        <v>1692</v>
      </c>
    </row>
    <row r="319" spans="1:6" s="204" customFormat="1">
      <c r="A319" s="285" t="str">
        <v>CE 391,ED3-GEOM</v>
      </c>
      <c r="B319" s="298" t="s">
        <v>1912</v>
      </c>
      <c r="C319" s="299">
        <v>125</v>
      </c>
      <c r="D319" s="299" t="s">
        <v>107</v>
      </c>
      <c r="E319" s="299" t="s">
        <v>1501</v>
      </c>
      <c r="F319" s="299" t="s">
        <v>1635</v>
      </c>
    </row>
    <row r="320" spans="1:6" s="204" customFormat="1">
      <c r="A320" s="285" t="str">
        <v>ECON 151,ED3-GEOM</v>
      </c>
      <c r="B320" s="298" t="s">
        <v>467</v>
      </c>
      <c r="C320" s="299">
        <v>16</v>
      </c>
      <c r="D320" s="299" t="str">
        <f>D318</f>
        <v>ED3-GEOM</v>
      </c>
      <c r="E320" s="299" t="s">
        <v>177</v>
      </c>
      <c r="F320" s="299" t="s">
        <v>1652</v>
      </c>
    </row>
    <row r="321" spans="1:6" s="204" customFormat="1">
      <c r="A321" s="285" t="str">
        <v>FC 181,ED3-GEOM</v>
      </c>
      <c r="B321" s="298" t="s">
        <v>1913</v>
      </c>
      <c r="C321" s="299">
        <v>70</v>
      </c>
      <c r="D321" s="299" t="str">
        <f>D320</f>
        <v>ED3-GEOM</v>
      </c>
      <c r="E321" s="299" t="s">
        <v>246</v>
      </c>
      <c r="F321" s="299" t="s">
        <v>1596</v>
      </c>
    </row>
    <row r="322" spans="1:6" s="204" customFormat="1">
      <c r="A322" s="285" t="str">
        <v>GE 351,ED3-GEOM</v>
      </c>
      <c r="B322" s="298" t="s">
        <v>1909</v>
      </c>
      <c r="C322" s="299">
        <v>125</v>
      </c>
      <c r="D322" s="299" t="str">
        <f>D321</f>
        <v>ED3-GEOM</v>
      </c>
      <c r="E322" s="299" t="s">
        <v>220</v>
      </c>
      <c r="F322" s="299" t="s">
        <v>1693</v>
      </c>
    </row>
    <row r="323" spans="1:6" s="204" customFormat="1">
      <c r="A323" s="285" t="str">
        <v>GE 353,ED3-GEOM</v>
      </c>
      <c r="B323" s="298" t="s">
        <v>1911</v>
      </c>
      <c r="C323" s="299">
        <v>125</v>
      </c>
      <c r="D323" s="299" t="str">
        <f>D322</f>
        <v>ED3-GEOM</v>
      </c>
      <c r="E323" s="299" t="s">
        <v>250</v>
      </c>
      <c r="F323" s="299" t="s">
        <v>1694</v>
      </c>
    </row>
    <row r="324" spans="1:6" s="204" customFormat="1">
      <c r="A324" s="285" t="str">
        <v>GE 361,ED3-GEOM</v>
      </c>
      <c r="B324" s="298" t="s">
        <v>1914</v>
      </c>
      <c r="C324" s="299">
        <v>128</v>
      </c>
      <c r="D324" s="299" t="str">
        <f>D323</f>
        <v>ED3-GEOM</v>
      </c>
      <c r="E324" s="299" t="s">
        <v>170</v>
      </c>
      <c r="F324" s="299" t="s">
        <v>1695</v>
      </c>
    </row>
    <row r="325" spans="1:6" s="204" customFormat="1">
      <c r="A325" s="285" t="str">
        <v>GE 371,ED3-GEOM</v>
      </c>
      <c r="B325" s="298" t="s">
        <v>1915</v>
      </c>
      <c r="C325" s="299">
        <v>125</v>
      </c>
      <c r="D325" s="299" t="str">
        <f>D324</f>
        <v>ED3-GEOM</v>
      </c>
      <c r="E325" s="299" t="s">
        <v>204</v>
      </c>
      <c r="F325" s="299" t="s">
        <v>1696</v>
      </c>
    </row>
    <row r="326" spans="1:6" s="204" customFormat="1">
      <c r="A326" s="285" t="str">
        <v>STAT 253,ED3-GEOM</v>
      </c>
      <c r="B326" s="298" t="s">
        <v>1884</v>
      </c>
      <c r="C326" s="299">
        <v>93</v>
      </c>
      <c r="D326" s="299" t="str">
        <f>D325</f>
        <v>ED3-GEOM</v>
      </c>
      <c r="E326" s="299" t="s">
        <v>371</v>
      </c>
      <c r="F326" s="299" t="s">
        <v>462</v>
      </c>
    </row>
    <row r="327" spans="1:6" s="204" customFormat="1">
      <c r="A327" s="285" t="str">
        <v>CE 461,ED4-GEOM</v>
      </c>
      <c r="B327" s="298" t="s">
        <v>1872</v>
      </c>
      <c r="C327" s="299">
        <v>93</v>
      </c>
      <c r="D327" s="299" t="s">
        <v>58</v>
      </c>
      <c r="E327" s="299" t="s">
        <v>324</v>
      </c>
      <c r="F327" s="299" t="s">
        <v>1697</v>
      </c>
    </row>
    <row r="328" spans="1:6" s="204" customFormat="1">
      <c r="A328" s="285" t="str">
        <v>GE 451,ED4-GEOM</v>
      </c>
      <c r="B328" s="298" t="s">
        <v>1915</v>
      </c>
      <c r="C328" s="299">
        <v>93</v>
      </c>
      <c r="D328" s="299" t="str">
        <f>D327</f>
        <v>ED4-GEOM</v>
      </c>
      <c r="E328" s="299" t="s">
        <v>226</v>
      </c>
      <c r="F328" s="299" t="s">
        <v>1698</v>
      </c>
    </row>
    <row r="329" spans="1:6" s="204" customFormat="1">
      <c r="A329" s="285" t="str">
        <v>GE 461,ED4-GEOM</v>
      </c>
      <c r="B329" s="298" t="s">
        <v>527</v>
      </c>
      <c r="C329" s="299">
        <v>93</v>
      </c>
      <c r="D329" s="299" t="str">
        <f>D328</f>
        <v>ED4-GEOM</v>
      </c>
      <c r="E329" s="299" t="s">
        <v>57</v>
      </c>
      <c r="F329" s="299" t="s">
        <v>1699</v>
      </c>
    </row>
    <row r="330" spans="1:6" s="204" customFormat="1">
      <c r="A330" s="285" t="str">
        <f>_xlfn.CONCAT(E330,",",D330)</f>
        <v>GE 463,ED4-GEOM</v>
      </c>
      <c r="B330" s="298" t="s">
        <v>526</v>
      </c>
      <c r="C330" s="299">
        <v>93</v>
      </c>
      <c r="D330" s="299" t="str">
        <f>D329</f>
        <v>ED4-GEOM</v>
      </c>
      <c r="E330" s="299" t="s">
        <v>149</v>
      </c>
      <c r="F330" s="299" t="s">
        <v>1700</v>
      </c>
    </row>
    <row r="331" spans="1:6" s="204" customFormat="1">
      <c r="A331" s="285" t="str">
        <v>GE 475,ED4-GEOM</v>
      </c>
      <c r="B331" s="298" t="s">
        <v>1916</v>
      </c>
      <c r="C331" s="299">
        <v>93</v>
      </c>
      <c r="D331" s="299" t="str">
        <f>D330</f>
        <v>ED4-GEOM</v>
      </c>
      <c r="E331" s="299" t="s">
        <v>279</v>
      </c>
      <c r="F331" s="299" t="s">
        <v>1597</v>
      </c>
    </row>
    <row r="332" spans="1:6" s="204" customFormat="1">
      <c r="A332" s="285" t="str">
        <v>GE 491,ED4-GEOM</v>
      </c>
      <c r="B332" s="298" t="s">
        <v>526</v>
      </c>
      <c r="C332" s="299">
        <v>93</v>
      </c>
      <c r="D332" s="299" t="str">
        <f>D331</f>
        <v>ED4-GEOM</v>
      </c>
      <c r="E332" s="299" t="s">
        <v>1515</v>
      </c>
      <c r="F332" s="299" t="s">
        <v>1544</v>
      </c>
    </row>
    <row r="333" spans="1:6" s="204" customFormat="1">
      <c r="A333" s="285" t="str">
        <v>CE 155,ED1-IND</v>
      </c>
      <c r="B333" s="286" t="s">
        <v>1821</v>
      </c>
      <c r="C333" s="287">
        <v>83</v>
      </c>
      <c r="D333" s="287" t="s">
        <v>3</v>
      </c>
      <c r="E333" s="287" t="s">
        <v>155</v>
      </c>
      <c r="F333" s="287" t="s">
        <v>475</v>
      </c>
    </row>
    <row r="334" spans="1:6" s="204" customFormat="1">
      <c r="A334" s="285" t="str">
        <v>EE 151,ED1-IND</v>
      </c>
      <c r="B334" s="286" t="s">
        <v>1134</v>
      </c>
      <c r="C334" s="287">
        <v>83</v>
      </c>
      <c r="D334" s="287" t="str">
        <f>D333</f>
        <v>ED1-IND</v>
      </c>
      <c r="E334" s="287" t="s">
        <v>229</v>
      </c>
      <c r="F334" s="287" t="s">
        <v>474</v>
      </c>
    </row>
    <row r="335" spans="1:6" s="204" customFormat="1">
      <c r="A335" s="285" t="str">
        <v>ENGL 157,ED1-IND</v>
      </c>
      <c r="B335" s="286" t="s">
        <v>519</v>
      </c>
      <c r="C335" s="287">
        <v>83</v>
      </c>
      <c r="D335" s="287" t="str">
        <f>D334</f>
        <v>ED1-IND</v>
      </c>
      <c r="E335" s="287" t="s">
        <v>0</v>
      </c>
      <c r="F335" s="287" t="s">
        <v>473</v>
      </c>
    </row>
    <row r="336" spans="1:6" s="204" customFormat="1">
      <c r="A336" s="285" t="str">
        <v>MATH 151,ED1-IND</v>
      </c>
      <c r="B336" s="286" t="s">
        <v>499</v>
      </c>
      <c r="C336" s="287">
        <v>83</v>
      </c>
      <c r="D336" s="287" t="str">
        <f>D335</f>
        <v>ED1-IND</v>
      </c>
      <c r="E336" s="287" t="s">
        <v>65</v>
      </c>
      <c r="F336" s="287" t="s">
        <v>472</v>
      </c>
    </row>
    <row r="337" spans="1:6" s="204" customFormat="1">
      <c r="A337" s="285" t="str">
        <v>ME 157,ED1-IND</v>
      </c>
      <c r="B337" s="286" t="s">
        <v>505</v>
      </c>
      <c r="C337" s="287">
        <v>83</v>
      </c>
      <c r="D337" s="287" t="str">
        <f>D336</f>
        <v>ED1-IND</v>
      </c>
      <c r="E337" s="287" t="s">
        <v>242</v>
      </c>
      <c r="F337" s="287" t="s">
        <v>481</v>
      </c>
    </row>
    <row r="338" spans="1:6" s="204" customFormat="1">
      <c r="A338" s="285" t="str">
        <v>ME 159,ED1-IND</v>
      </c>
      <c r="B338" s="286" t="s">
        <v>505</v>
      </c>
      <c r="C338" s="287">
        <v>83</v>
      </c>
      <c r="D338" s="287" t="str">
        <f>D337</f>
        <v>ED1-IND</v>
      </c>
      <c r="E338" s="287" t="s">
        <v>160</v>
      </c>
      <c r="F338" s="287" t="s">
        <v>471</v>
      </c>
    </row>
    <row r="339" spans="1:6" s="204" customFormat="1">
      <c r="A339" s="285" t="str">
        <v>ME 195,ED1-IND</v>
      </c>
      <c r="B339" s="286" t="s">
        <v>470</v>
      </c>
      <c r="C339" s="287">
        <v>83</v>
      </c>
      <c r="D339" s="287" t="str">
        <f>D338</f>
        <v>ED1-IND</v>
      </c>
      <c r="E339" s="287" t="s">
        <v>255</v>
      </c>
      <c r="F339" s="287" t="s">
        <v>1569</v>
      </c>
    </row>
    <row r="340" spans="1:6" s="204" customFormat="1">
      <c r="A340" s="285" t="str">
        <v>CENG 291,ED2-IND</v>
      </c>
      <c r="B340" s="286" t="s">
        <v>504</v>
      </c>
      <c r="C340" s="287">
        <v>80</v>
      </c>
      <c r="D340" s="287" t="s">
        <v>102</v>
      </c>
      <c r="E340" s="287" t="s">
        <v>258</v>
      </c>
      <c r="F340" s="287" t="s">
        <v>468</v>
      </c>
    </row>
    <row r="341" spans="1:6" s="204" customFormat="1">
      <c r="A341" s="285" t="str">
        <v>ENGL 263,ED2-IND</v>
      </c>
      <c r="B341" s="286" t="s">
        <v>519</v>
      </c>
      <c r="C341" s="287">
        <v>80</v>
      </c>
      <c r="D341" s="287" t="str">
        <f>D340</f>
        <v>ED2-IND</v>
      </c>
      <c r="E341" s="287" t="s">
        <v>83</v>
      </c>
      <c r="F341" s="287" t="s">
        <v>518</v>
      </c>
    </row>
    <row r="342" spans="1:6" s="204" customFormat="1">
      <c r="A342" s="285" t="str">
        <v>IE 295,ED2-IND</v>
      </c>
      <c r="B342" s="286" t="s">
        <v>1823</v>
      </c>
      <c r="C342" s="287">
        <v>80</v>
      </c>
      <c r="D342" s="287" t="str">
        <f>D341</f>
        <v>ED2-IND</v>
      </c>
      <c r="E342" s="287" t="s">
        <v>271</v>
      </c>
      <c r="F342" s="287" t="s">
        <v>1701</v>
      </c>
    </row>
    <row r="343" spans="1:6" s="204" customFormat="1">
      <c r="A343" s="285" t="str">
        <v>MATH 251,ED2-IND</v>
      </c>
      <c r="B343" s="286" t="s">
        <v>466</v>
      </c>
      <c r="C343" s="287">
        <v>80</v>
      </c>
      <c r="D343" s="287" t="str">
        <f>D342</f>
        <v>ED2-IND</v>
      </c>
      <c r="E343" s="287" t="s">
        <v>140</v>
      </c>
      <c r="F343" s="287" t="s">
        <v>465</v>
      </c>
    </row>
    <row r="344" spans="1:6" s="204" customFormat="1">
      <c r="A344" s="285" t="str">
        <v>ME 251,ED2-IND</v>
      </c>
      <c r="B344" s="286" t="s">
        <v>1823</v>
      </c>
      <c r="C344" s="287">
        <v>80</v>
      </c>
      <c r="D344" s="287" t="str">
        <f>D343</f>
        <v>ED2-IND</v>
      </c>
      <c r="E344" s="287" t="s">
        <v>96</v>
      </c>
      <c r="F344" s="287" t="s">
        <v>517</v>
      </c>
    </row>
    <row r="345" spans="1:6" s="204" customFormat="1">
      <c r="A345" s="285" t="str">
        <v>ME 255,ED2-IND</v>
      </c>
      <c r="B345" s="286" t="s">
        <v>524</v>
      </c>
      <c r="C345" s="287">
        <v>80</v>
      </c>
      <c r="D345" s="287" t="str">
        <f>D344</f>
        <v>ED2-IND</v>
      </c>
      <c r="E345" s="287" t="s">
        <v>193</v>
      </c>
      <c r="F345" s="287" t="s">
        <v>480</v>
      </c>
    </row>
    <row r="346" spans="1:6" s="204" customFormat="1">
      <c r="A346" s="285" t="str">
        <v>ME 259,ED2-IND</v>
      </c>
      <c r="B346" s="286" t="s">
        <v>1842</v>
      </c>
      <c r="C346" s="287">
        <v>80</v>
      </c>
      <c r="D346" s="287" t="str">
        <f>D345</f>
        <v>ED2-IND</v>
      </c>
      <c r="E346" s="287" t="s">
        <v>208</v>
      </c>
      <c r="F346" s="287" t="s">
        <v>1551</v>
      </c>
    </row>
    <row r="347" spans="1:6" s="204" customFormat="1">
      <c r="A347" s="285" t="str">
        <v>ME 261,ED2-IND</v>
      </c>
      <c r="B347" s="286" t="s">
        <v>516</v>
      </c>
      <c r="C347" s="287">
        <v>80</v>
      </c>
      <c r="D347" s="287" t="str">
        <f>D346</f>
        <v>ED2-IND</v>
      </c>
      <c r="E347" s="287" t="s">
        <v>230</v>
      </c>
      <c r="F347" s="287" t="s">
        <v>1538</v>
      </c>
    </row>
    <row r="348" spans="1:6" s="204" customFormat="1">
      <c r="A348" s="285" t="str">
        <v>ME 281,ED2-IND</v>
      </c>
      <c r="B348" s="286" t="s">
        <v>1831</v>
      </c>
      <c r="C348" s="287">
        <v>80</v>
      </c>
      <c r="D348" s="287" t="str">
        <f>D347</f>
        <v>ED2-IND</v>
      </c>
      <c r="E348" s="287" t="s">
        <v>168</v>
      </c>
      <c r="F348" s="287" t="s">
        <v>514</v>
      </c>
    </row>
    <row r="349" spans="1:6" s="204" customFormat="1">
      <c r="A349" s="285" t="str">
        <v>IE 351,ED3-IND</v>
      </c>
      <c r="B349" s="286" t="s">
        <v>1825</v>
      </c>
      <c r="C349" s="287">
        <v>72</v>
      </c>
      <c r="D349" s="287" t="s">
        <v>108</v>
      </c>
      <c r="E349" s="287" t="s">
        <v>311</v>
      </c>
      <c r="F349" s="287" t="s">
        <v>1702</v>
      </c>
    </row>
    <row r="350" spans="1:6" s="204" customFormat="1">
      <c r="A350" s="285" t="str">
        <v>IE 355,ED3-IND</v>
      </c>
      <c r="B350" s="286" t="s">
        <v>502</v>
      </c>
      <c r="C350" s="287">
        <v>72</v>
      </c>
      <c r="D350" s="287" t="str">
        <f>D349</f>
        <v>ED3-IND</v>
      </c>
      <c r="E350" s="287" t="s">
        <v>310</v>
      </c>
      <c r="F350" s="287" t="s">
        <v>1703</v>
      </c>
    </row>
    <row r="351" spans="1:6" s="204" customFormat="1">
      <c r="A351" s="285" t="str">
        <v>IE 357,ED3-IND</v>
      </c>
      <c r="B351" s="286" t="s">
        <v>1846</v>
      </c>
      <c r="C351" s="287">
        <v>72</v>
      </c>
      <c r="D351" s="287" t="str">
        <f>D350</f>
        <v>ED3-IND</v>
      </c>
      <c r="E351" s="287" t="s">
        <v>307</v>
      </c>
      <c r="F351" s="287" t="s">
        <v>1704</v>
      </c>
    </row>
    <row r="352" spans="1:6" s="204" customFormat="1">
      <c r="A352" s="285" t="str">
        <v>IE 363,ED3-IND</v>
      </c>
      <c r="B352" s="286" t="s">
        <v>1917</v>
      </c>
      <c r="C352" s="287">
        <v>72</v>
      </c>
      <c r="D352" s="287" t="str">
        <f>D351</f>
        <v>ED3-IND</v>
      </c>
      <c r="E352" s="287" t="s">
        <v>308</v>
      </c>
      <c r="F352" s="287" t="s">
        <v>1705</v>
      </c>
    </row>
    <row r="353" spans="1:6" s="204" customFormat="1">
      <c r="A353" s="285" t="str">
        <v>IE 365,ED3-IND</v>
      </c>
      <c r="B353" s="286" t="s">
        <v>502</v>
      </c>
      <c r="C353" s="287">
        <v>72</v>
      </c>
      <c r="D353" s="287" t="str">
        <f>D352</f>
        <v>ED3-IND</v>
      </c>
      <c r="E353" s="287" t="s">
        <v>309</v>
      </c>
      <c r="F353" s="287" t="s">
        <v>1706</v>
      </c>
    </row>
    <row r="354" spans="1:6" s="204" customFormat="1">
      <c r="A354" s="285" t="str">
        <v>IE 367,ED3-IND</v>
      </c>
      <c r="B354" s="286" t="s">
        <v>1846</v>
      </c>
      <c r="C354" s="287">
        <v>72</v>
      </c>
      <c r="D354" s="287" t="str">
        <f>D353</f>
        <v>ED3-IND</v>
      </c>
      <c r="E354" s="287" t="s">
        <v>312</v>
      </c>
      <c r="F354" s="287" t="s">
        <v>1707</v>
      </c>
    </row>
    <row r="355" spans="1:6" s="204" customFormat="1">
      <c r="A355" s="285" t="str">
        <v>MATH 351,ED3-IND</v>
      </c>
      <c r="B355" s="286" t="s">
        <v>1893</v>
      </c>
      <c r="C355" s="287">
        <v>72</v>
      </c>
      <c r="D355" s="287" t="str">
        <f>D354</f>
        <v>ED3-IND</v>
      </c>
      <c r="E355" s="287" t="s">
        <v>47</v>
      </c>
      <c r="F355" s="287" t="s">
        <v>463</v>
      </c>
    </row>
    <row r="356" spans="1:6" s="204" customFormat="1">
      <c r="A356" s="285" t="str">
        <v>STAT 253,ED3-IND</v>
      </c>
      <c r="B356" s="286" t="s">
        <v>1884</v>
      </c>
      <c r="C356" s="287">
        <v>72</v>
      </c>
      <c r="D356" s="287" t="str">
        <f>D355</f>
        <v>ED3-IND</v>
      </c>
      <c r="E356" s="287" t="s">
        <v>371</v>
      </c>
      <c r="F356" s="287" t="s">
        <v>462</v>
      </c>
    </row>
    <row r="357" spans="1:6" s="204" customFormat="1">
      <c r="A357" s="285" t="str">
        <v>IE 395,ED4-IND</v>
      </c>
      <c r="B357" s="286" t="s">
        <v>1831</v>
      </c>
      <c r="C357" s="287">
        <v>67</v>
      </c>
      <c r="D357" s="287" t="s">
        <v>115</v>
      </c>
      <c r="E357" s="287" t="s">
        <v>1516</v>
      </c>
      <c r="F357" s="287" t="s">
        <v>1708</v>
      </c>
    </row>
    <row r="358" spans="1:6" s="204" customFormat="1">
      <c r="A358" s="285" t="str">
        <v>IE 451,ED4-IND</v>
      </c>
      <c r="B358" s="286" t="s">
        <v>1917</v>
      </c>
      <c r="C358" s="287">
        <v>67</v>
      </c>
      <c r="D358" s="287" t="str">
        <f>D357</f>
        <v>ED4-IND</v>
      </c>
      <c r="E358" s="287" t="s">
        <v>346</v>
      </c>
      <c r="F358" s="287" t="s">
        <v>1709</v>
      </c>
    </row>
    <row r="359" spans="1:6" s="204" customFormat="1">
      <c r="A359" s="285" t="str">
        <v>IE 453,ED4-IND</v>
      </c>
      <c r="B359" s="286" t="s">
        <v>1824</v>
      </c>
      <c r="C359" s="287">
        <v>67</v>
      </c>
      <c r="D359" s="287" t="str">
        <f>D358</f>
        <v>ED4-IND</v>
      </c>
      <c r="E359" s="287" t="s">
        <v>1517</v>
      </c>
      <c r="F359" s="287" t="s">
        <v>1710</v>
      </c>
    </row>
    <row r="360" spans="1:6" s="204" customFormat="1">
      <c r="A360" s="285" t="str">
        <v>IE 455,ED4-IND</v>
      </c>
      <c r="B360" s="286" t="s">
        <v>1825</v>
      </c>
      <c r="C360" s="287">
        <v>67</v>
      </c>
      <c r="D360" s="287" t="str">
        <f>D359</f>
        <v>ED4-IND</v>
      </c>
      <c r="E360" s="287" t="s">
        <v>343</v>
      </c>
      <c r="F360" s="287" t="s">
        <v>1711</v>
      </c>
    </row>
    <row r="361" spans="1:6" s="204" customFormat="1">
      <c r="A361" s="285" t="str">
        <v>IE 457,ED4-IND</v>
      </c>
      <c r="B361" s="286" t="s">
        <v>502</v>
      </c>
      <c r="C361" s="287">
        <v>67</v>
      </c>
      <c r="D361" s="287" t="str">
        <f>D360</f>
        <v>ED4-IND</v>
      </c>
      <c r="E361" s="287" t="s">
        <v>347</v>
      </c>
      <c r="F361" s="287" t="s">
        <v>1712</v>
      </c>
    </row>
    <row r="362" spans="1:6" s="204" customFormat="1">
      <c r="A362" s="285" t="str">
        <v>IE 459,ED4-IND</v>
      </c>
      <c r="B362" s="286" t="s">
        <v>1846</v>
      </c>
      <c r="C362" s="287">
        <v>67</v>
      </c>
      <c r="D362" s="287" t="str">
        <f>D361</f>
        <v>ED4-IND</v>
      </c>
      <c r="E362" s="287" t="s">
        <v>344</v>
      </c>
      <c r="F362" s="287" t="s">
        <v>1713</v>
      </c>
    </row>
    <row r="363" spans="1:6" s="204" customFormat="1">
      <c r="A363" s="285" t="str">
        <v>IE 461,ED4-IND</v>
      </c>
      <c r="B363" s="286" t="s">
        <v>1846</v>
      </c>
      <c r="C363" s="287">
        <v>67</v>
      </c>
      <c r="D363" s="287" t="str">
        <f>D362</f>
        <v>ED4-IND</v>
      </c>
      <c r="E363" s="287" t="s">
        <v>345</v>
      </c>
      <c r="F363" s="287" t="s">
        <v>1714</v>
      </c>
    </row>
    <row r="364" spans="1:6" s="204" customFormat="1">
      <c r="A364" s="285" t="str">
        <v>IE 463,ED4-IND</v>
      </c>
      <c r="B364" s="286" t="s">
        <v>1823</v>
      </c>
      <c r="C364" s="287">
        <v>67</v>
      </c>
      <c r="D364" s="287" t="str">
        <f>D363</f>
        <v>ED4-IND</v>
      </c>
      <c r="E364" s="287" t="s">
        <v>1518</v>
      </c>
      <c r="F364" s="287" t="s">
        <v>1583</v>
      </c>
    </row>
    <row r="365" spans="1:6" s="204" customFormat="1">
      <c r="A365" s="285" t="str">
        <v>ME 491,ED4-IND</v>
      </c>
      <c r="B365" s="286" t="s">
        <v>1825</v>
      </c>
      <c r="C365" s="287">
        <v>67</v>
      </c>
      <c r="D365" s="287" t="str">
        <f>D364</f>
        <v>ED4-IND</v>
      </c>
      <c r="E365" s="287" t="s">
        <v>244</v>
      </c>
      <c r="F365" s="287" t="s">
        <v>1585</v>
      </c>
    </row>
    <row r="366" spans="1:6" s="204" customFormat="1">
      <c r="A366" s="285" t="str">
        <v>EE 151,ED1-MARI</v>
      </c>
      <c r="B366" s="298" t="s">
        <v>464</v>
      </c>
      <c r="C366" s="299">
        <v>46</v>
      </c>
      <c r="D366" s="299" t="s">
        <v>5</v>
      </c>
      <c r="E366" s="299" t="s">
        <v>229</v>
      </c>
      <c r="F366" s="299" t="s">
        <v>474</v>
      </c>
    </row>
    <row r="367" spans="1:6" s="204" customFormat="1">
      <c r="A367" s="285" t="str">
        <v>ENGL 157,ED1-MARI</v>
      </c>
      <c r="B367" s="298" t="s">
        <v>519</v>
      </c>
      <c r="C367" s="299">
        <v>46</v>
      </c>
      <c r="D367" s="299" t="str">
        <f>D366</f>
        <v>ED1-MARI</v>
      </c>
      <c r="E367" s="299" t="s">
        <v>0</v>
      </c>
      <c r="F367" s="299" t="s">
        <v>473</v>
      </c>
    </row>
    <row r="368" spans="1:6" s="204" customFormat="1">
      <c r="A368" s="285" t="str">
        <v>FC 181,ED1-MARI</v>
      </c>
      <c r="B368" s="298" t="s">
        <v>1850</v>
      </c>
      <c r="C368" s="299">
        <v>46</v>
      </c>
      <c r="D368" s="299" t="str">
        <f>D367</f>
        <v>ED1-MARI</v>
      </c>
      <c r="E368" s="299" t="s">
        <v>246</v>
      </c>
      <c r="F368" s="299" t="s">
        <v>1596</v>
      </c>
    </row>
    <row r="369" spans="1:6" s="204" customFormat="1">
      <c r="A369" s="285" t="str">
        <v>MATH 151,ED1-MARI</v>
      </c>
      <c r="B369" s="298" t="s">
        <v>499</v>
      </c>
      <c r="C369" s="299">
        <v>46</v>
      </c>
      <c r="D369" s="299" t="str">
        <f>D368</f>
        <v>ED1-MARI</v>
      </c>
      <c r="E369" s="299" t="s">
        <v>65</v>
      </c>
      <c r="F369" s="299" t="s">
        <v>472</v>
      </c>
    </row>
    <row r="370" spans="1:6" s="204" customFormat="1">
      <c r="A370" s="285" t="str">
        <v>ME 157,ED1-MARI</v>
      </c>
      <c r="B370" s="298" t="s">
        <v>505</v>
      </c>
      <c r="C370" s="299">
        <v>46</v>
      </c>
      <c r="D370" s="299" t="str">
        <f>D369</f>
        <v>ED1-MARI</v>
      </c>
      <c r="E370" s="299" t="s">
        <v>242</v>
      </c>
      <c r="F370" s="299" t="s">
        <v>481</v>
      </c>
    </row>
    <row r="371" spans="1:6" s="204" customFormat="1">
      <c r="A371" s="285" t="str">
        <v>ME 159,ED1-MARI</v>
      </c>
      <c r="B371" s="298" t="s">
        <v>1918</v>
      </c>
      <c r="C371" s="299">
        <v>46</v>
      </c>
      <c r="D371" s="299" t="str">
        <f>D370</f>
        <v>ED1-MARI</v>
      </c>
      <c r="E371" s="299" t="s">
        <v>160</v>
      </c>
      <c r="F371" s="299" t="s">
        <v>471</v>
      </c>
    </row>
    <row r="372" spans="1:6" s="204" customFormat="1">
      <c r="A372" s="285" t="str">
        <v>MME 155,ED1-MARI</v>
      </c>
      <c r="B372" s="298" t="s">
        <v>1919</v>
      </c>
      <c r="C372" s="299">
        <v>46</v>
      </c>
      <c r="D372" s="299" t="str">
        <f>D371</f>
        <v>ED1-MARI</v>
      </c>
      <c r="E372" s="299" t="s">
        <v>156</v>
      </c>
      <c r="F372" s="299" t="s">
        <v>1715</v>
      </c>
    </row>
    <row r="373" spans="1:6" s="204" customFormat="1">
      <c r="A373" s="285" t="str">
        <v>MME 195,ED1-MARI</v>
      </c>
      <c r="B373" s="298" t="s">
        <v>515</v>
      </c>
      <c r="C373" s="299">
        <v>46</v>
      </c>
      <c r="D373" s="299" t="str">
        <f>D372</f>
        <v>ED1-MARI</v>
      </c>
      <c r="E373" s="299" t="s">
        <v>256</v>
      </c>
      <c r="F373" s="299" t="s">
        <v>1716</v>
      </c>
    </row>
    <row r="374" spans="1:6" s="204" customFormat="1">
      <c r="A374" s="285" t="str">
        <v>CENG 291,ED2-MARI</v>
      </c>
      <c r="B374" s="298" t="s">
        <v>501</v>
      </c>
      <c r="C374" s="299">
        <v>37</v>
      </c>
      <c r="D374" s="299" t="s">
        <v>103</v>
      </c>
      <c r="E374" s="299" t="s">
        <v>258</v>
      </c>
      <c r="F374" s="299" t="s">
        <v>468</v>
      </c>
    </row>
    <row r="375" spans="1:6" s="204" customFormat="1">
      <c r="A375" s="285" t="str">
        <v>MATH 251,ED2-MARI</v>
      </c>
      <c r="B375" s="298" t="s">
        <v>1920</v>
      </c>
      <c r="C375" s="299">
        <v>37</v>
      </c>
      <c r="D375" s="299" t="str">
        <f>D374</f>
        <v>ED2-MARI</v>
      </c>
      <c r="E375" s="299" t="s">
        <v>140</v>
      </c>
      <c r="F375" s="299" t="s">
        <v>465</v>
      </c>
    </row>
    <row r="376" spans="1:6" s="204" customFormat="1">
      <c r="A376" s="285" t="str">
        <v>ME 251,ED2-MARI</v>
      </c>
      <c r="B376" s="298" t="s">
        <v>1823</v>
      </c>
      <c r="C376" s="299">
        <v>37</v>
      </c>
      <c r="D376" s="299" t="str">
        <f>D375</f>
        <v>ED2-MARI</v>
      </c>
      <c r="E376" s="299" t="s">
        <v>96</v>
      </c>
      <c r="F376" s="299" t="s">
        <v>517</v>
      </c>
    </row>
    <row r="377" spans="1:6" s="204" customFormat="1">
      <c r="A377" s="285" t="str">
        <v>ME 255,ED2-MARI</v>
      </c>
      <c r="B377" s="298" t="s">
        <v>524</v>
      </c>
      <c r="C377" s="299">
        <v>37</v>
      </c>
      <c r="D377" s="299" t="str">
        <f>D376</f>
        <v>ED2-MARI</v>
      </c>
      <c r="E377" s="299" t="s">
        <v>193</v>
      </c>
      <c r="F377" s="299" t="s">
        <v>480</v>
      </c>
    </row>
    <row r="378" spans="1:6" s="204" customFormat="1">
      <c r="A378" s="285" t="str">
        <v>ME 259,ED2-MARI</v>
      </c>
      <c r="B378" s="298" t="s">
        <v>1842</v>
      </c>
      <c r="C378" s="299">
        <v>37</v>
      </c>
      <c r="D378" s="299" t="str">
        <f>D377</f>
        <v>ED2-MARI</v>
      </c>
      <c r="E378" s="299" t="s">
        <v>208</v>
      </c>
      <c r="F378" s="299" t="s">
        <v>1551</v>
      </c>
    </row>
    <row r="379" spans="1:6" s="204" customFormat="1">
      <c r="A379" s="285" t="str">
        <v>ME 261,ED2-MARI</v>
      </c>
      <c r="B379" s="298" t="s">
        <v>516</v>
      </c>
      <c r="C379" s="299">
        <v>37</v>
      </c>
      <c r="D379" s="299" t="str">
        <f>D378</f>
        <v>ED2-MARI</v>
      </c>
      <c r="E379" s="299" t="s">
        <v>230</v>
      </c>
      <c r="F379" s="299" t="s">
        <v>1538</v>
      </c>
    </row>
    <row r="380" spans="1:6" s="204" customFormat="1">
      <c r="A380" s="285" t="str">
        <v>MME 281,ED2-MARI</v>
      </c>
      <c r="B380" s="298" t="s">
        <v>1831</v>
      </c>
      <c r="C380" s="299">
        <v>37</v>
      </c>
      <c r="D380" s="299" t="str">
        <f>D379</f>
        <v>ED2-MARI</v>
      </c>
      <c r="E380" s="299" t="s">
        <v>272</v>
      </c>
      <c r="F380" s="299" t="s">
        <v>1717</v>
      </c>
    </row>
    <row r="381" spans="1:6" s="204" customFormat="1">
      <c r="A381" s="285" t="str">
        <v>MME 291,ED2-MARI</v>
      </c>
      <c r="B381" s="298" t="s">
        <v>1921</v>
      </c>
      <c r="C381" s="299">
        <v>37</v>
      </c>
      <c r="D381" s="299" t="str">
        <f>D380</f>
        <v>ED2-MARI</v>
      </c>
      <c r="E381" s="299" t="s">
        <v>270</v>
      </c>
      <c r="F381" s="299" t="s">
        <v>1718</v>
      </c>
    </row>
    <row r="382" spans="1:6" s="204" customFormat="1">
      <c r="A382" s="285" t="str">
        <v>SES 171,ED2-MARI</v>
      </c>
      <c r="B382" s="298" t="s">
        <v>1922</v>
      </c>
      <c r="C382" s="299">
        <v>37</v>
      </c>
      <c r="D382" s="299" t="str">
        <f>D381</f>
        <v>ED2-MARI</v>
      </c>
      <c r="E382" s="299" t="s">
        <v>257</v>
      </c>
      <c r="F382" s="299" t="s">
        <v>1719</v>
      </c>
    </row>
    <row r="383" spans="1:6" s="204" customFormat="1">
      <c r="A383" s="285" t="str">
        <v>MATH 351,ED3-MARI</v>
      </c>
      <c r="B383" s="298" t="s">
        <v>1893</v>
      </c>
      <c r="C383" s="299">
        <v>40</v>
      </c>
      <c r="D383" s="299" t="s">
        <v>109</v>
      </c>
      <c r="E383" s="299" t="s">
        <v>47</v>
      </c>
      <c r="F383" s="299" t="s">
        <v>463</v>
      </c>
    </row>
    <row r="384" spans="1:6" s="204" customFormat="1">
      <c r="A384" s="285" t="str">
        <v>ME 361,ED3-MARI</v>
      </c>
      <c r="B384" s="298" t="s">
        <v>516</v>
      </c>
      <c r="C384" s="299">
        <v>40</v>
      </c>
      <c r="D384" s="299" t="str">
        <f>D383</f>
        <v>ED3-MARI</v>
      </c>
      <c r="E384" s="299" t="s">
        <v>223</v>
      </c>
      <c r="F384" s="299" t="s">
        <v>1577</v>
      </c>
    </row>
    <row r="385" spans="1:6" s="204" customFormat="1">
      <c r="A385" s="285" t="str">
        <v>ME 363,ED3-MARI</v>
      </c>
      <c r="B385" s="298" t="s">
        <v>501</v>
      </c>
      <c r="C385" s="299">
        <v>40</v>
      </c>
      <c r="D385" s="299" t="str">
        <f>D384</f>
        <v>ED3-MARI</v>
      </c>
      <c r="E385" s="299" t="s">
        <v>135</v>
      </c>
      <c r="F385" s="299" t="s">
        <v>512</v>
      </c>
    </row>
    <row r="386" spans="1:6" s="204" customFormat="1">
      <c r="A386" s="285" t="str">
        <v>MME 353,ED3-MARI</v>
      </c>
      <c r="B386" s="298" t="s">
        <v>1891</v>
      </c>
      <c r="C386" s="299">
        <v>40</v>
      </c>
      <c r="D386" s="299" t="str">
        <f>D385</f>
        <v>ED3-MARI</v>
      </c>
      <c r="E386" s="299" t="s">
        <v>394</v>
      </c>
      <c r="F386" s="299" t="s">
        <v>1720</v>
      </c>
    </row>
    <row r="387" spans="1:6" s="204" customFormat="1">
      <c r="A387" s="285" t="str">
        <v>MME 355,ED3-MARI</v>
      </c>
      <c r="B387" s="298" t="s">
        <v>1843</v>
      </c>
      <c r="C387" s="299">
        <v>40</v>
      </c>
      <c r="D387" s="299" t="str">
        <f>D386</f>
        <v>ED3-MARI</v>
      </c>
      <c r="E387" s="299" t="s">
        <v>385</v>
      </c>
      <c r="F387" s="299" t="s">
        <v>1721</v>
      </c>
    </row>
    <row r="388" spans="1:6" s="204" customFormat="1">
      <c r="A388" s="285" t="str">
        <v>MME 365,ED3-MARI</v>
      </c>
      <c r="B388" s="298" t="s">
        <v>515</v>
      </c>
      <c r="C388" s="299">
        <v>40</v>
      </c>
      <c r="D388" s="299" t="str">
        <f>D387</f>
        <v>ED3-MARI</v>
      </c>
      <c r="E388" s="299" t="s">
        <v>326</v>
      </c>
      <c r="F388" s="299" t="s">
        <v>1722</v>
      </c>
    </row>
    <row r="389" spans="1:6" s="204" customFormat="1">
      <c r="A389" s="285" t="str">
        <v>MME 373,ED3-MARI</v>
      </c>
      <c r="B389" s="298" t="s">
        <v>1843</v>
      </c>
      <c r="C389" s="299">
        <v>40</v>
      </c>
      <c r="D389" s="299" t="str">
        <f>D388</f>
        <v>ED3-MARI</v>
      </c>
      <c r="E389" s="299" t="s">
        <v>314</v>
      </c>
      <c r="F389" s="299" t="s">
        <v>1723</v>
      </c>
    </row>
    <row r="390" spans="1:6" s="204" customFormat="1">
      <c r="A390" s="285" t="str">
        <v>MME 395,ED3-MARI</v>
      </c>
      <c r="B390" s="298" t="s">
        <v>506</v>
      </c>
      <c r="C390" s="299">
        <v>40</v>
      </c>
      <c r="D390" s="299" t="str">
        <f>D389</f>
        <v>ED3-MARI</v>
      </c>
      <c r="E390" s="299" t="s">
        <v>315</v>
      </c>
      <c r="F390" s="299" t="s">
        <v>1724</v>
      </c>
    </row>
    <row r="391" spans="1:6" s="204" customFormat="1">
      <c r="A391" s="285" t="str">
        <v>STAT 253,ED3-MARI</v>
      </c>
      <c r="B391" s="298" t="s">
        <v>1464</v>
      </c>
      <c r="C391" s="299">
        <v>40</v>
      </c>
      <c r="D391" s="299" t="str">
        <f>D390</f>
        <v>ED3-MARI</v>
      </c>
      <c r="E391" s="299" t="s">
        <v>371</v>
      </c>
      <c r="F391" s="299" t="s">
        <v>462</v>
      </c>
    </row>
    <row r="392" spans="1:6" s="204" customFormat="1">
      <c r="A392" s="285" t="str">
        <v>ME 453,ED4-MARI</v>
      </c>
      <c r="B392" s="298" t="s">
        <v>507</v>
      </c>
      <c r="C392" s="299">
        <v>23</v>
      </c>
      <c r="D392" s="299" t="s">
        <v>116</v>
      </c>
      <c r="E392" s="299" t="s">
        <v>153</v>
      </c>
      <c r="F392" s="299" t="s">
        <v>1584</v>
      </c>
    </row>
    <row r="393" spans="1:6" s="204" customFormat="1">
      <c r="A393" s="285" t="str">
        <v>MME 465,ED4-MARI</v>
      </c>
      <c r="B393" s="298" t="s">
        <v>505</v>
      </c>
      <c r="C393" s="299">
        <v>23</v>
      </c>
      <c r="D393" s="299" t="str">
        <f>D392</f>
        <v>ED4-MARI</v>
      </c>
      <c r="E393" s="299" t="s">
        <v>349</v>
      </c>
      <c r="F393" s="299" t="s">
        <v>1725</v>
      </c>
    </row>
    <row r="394" spans="1:6" s="204" customFormat="1">
      <c r="A394" s="285" t="str">
        <f>_xlfn.CONCAT(E394,",",D394)</f>
        <v>MME 467,ED4-MARI</v>
      </c>
      <c r="B394" s="298" t="s">
        <v>515</v>
      </c>
      <c r="C394" s="299">
        <v>23</v>
      </c>
      <c r="D394" s="299" t="str">
        <f>D393</f>
        <v>ED4-MARI</v>
      </c>
      <c r="E394" s="299" t="s">
        <v>353</v>
      </c>
      <c r="F394" s="299" t="s">
        <v>1726</v>
      </c>
    </row>
    <row r="395" spans="1:6" s="204" customFormat="1">
      <c r="A395" s="285" t="str">
        <v>MME 473,ED4-MARI</v>
      </c>
      <c r="B395" s="298" t="s">
        <v>506</v>
      </c>
      <c r="C395" s="299">
        <v>23</v>
      </c>
      <c r="D395" s="299" t="str">
        <f>D394</f>
        <v>ED4-MARI</v>
      </c>
      <c r="E395" s="299" t="s">
        <v>354</v>
      </c>
      <c r="F395" s="299" t="s">
        <v>1727</v>
      </c>
    </row>
    <row r="396" spans="1:6" s="204" customFormat="1">
      <c r="A396" s="285" t="str">
        <v>MME 491,ED4-MARI</v>
      </c>
      <c r="B396" s="298" t="s">
        <v>1825</v>
      </c>
      <c r="C396" s="299">
        <v>23</v>
      </c>
      <c r="D396" s="299" t="str">
        <f>D395</f>
        <v>ED4-MARI</v>
      </c>
      <c r="E396" s="299" t="s">
        <v>350</v>
      </c>
      <c r="F396" s="299" t="s">
        <v>1728</v>
      </c>
    </row>
    <row r="397" spans="1:6" s="204" customFormat="1">
      <c r="A397" s="285" t="str">
        <v>MME 495,ED4-MARI</v>
      </c>
      <c r="B397" s="298" t="s">
        <v>515</v>
      </c>
      <c r="C397" s="299">
        <v>23</v>
      </c>
      <c r="D397" s="299" t="str">
        <f>D396</f>
        <v>ED4-MARI</v>
      </c>
      <c r="E397" s="299" t="s">
        <v>1519</v>
      </c>
      <c r="F397" s="299" t="s">
        <v>1729</v>
      </c>
    </row>
    <row r="398" spans="1:6" s="204" customFormat="1">
      <c r="A398" s="285" t="str">
        <v>MME 497,ED4-MARI</v>
      </c>
      <c r="B398" s="298" t="s">
        <v>1823</v>
      </c>
      <c r="C398" s="299">
        <v>23</v>
      </c>
      <c r="D398" s="299" t="str">
        <f>D397</f>
        <v>ED4-MARI</v>
      </c>
      <c r="E398" s="299" t="s">
        <v>1520</v>
      </c>
      <c r="F398" s="299" t="s">
        <v>1583</v>
      </c>
    </row>
    <row r="399" spans="1:6" s="204" customFormat="1">
      <c r="A399" s="285" t="str">
        <v>EE 151,ED1-MSE</v>
      </c>
      <c r="B399" s="286" t="s">
        <v>522</v>
      </c>
      <c r="C399" s="287">
        <v>100</v>
      </c>
      <c r="D399" s="287" t="s">
        <v>35</v>
      </c>
      <c r="E399" s="287" t="s">
        <v>229</v>
      </c>
      <c r="F399" s="287" t="s">
        <v>474</v>
      </c>
    </row>
    <row r="400" spans="1:6" s="204" customFormat="1">
      <c r="A400" s="285" t="str">
        <v>ENGL 157,ED1-MSE</v>
      </c>
      <c r="B400" s="286" t="s">
        <v>1848</v>
      </c>
      <c r="C400" s="287">
        <v>100</v>
      </c>
      <c r="D400" s="287" t="str">
        <f>D399</f>
        <v>ED1-MSE</v>
      </c>
      <c r="E400" s="287" t="s">
        <v>0</v>
      </c>
      <c r="F400" s="287" t="s">
        <v>473</v>
      </c>
    </row>
    <row r="401" spans="1:6" s="204" customFormat="1">
      <c r="A401" s="285" t="str">
        <v>MATH 151,ED1-MSE</v>
      </c>
      <c r="B401" s="286" t="s">
        <v>499</v>
      </c>
      <c r="C401" s="287">
        <v>100</v>
      </c>
      <c r="D401" s="287" t="str">
        <f>D400</f>
        <v>ED1-MSE</v>
      </c>
      <c r="E401" s="287" t="s">
        <v>65</v>
      </c>
      <c r="F401" s="287" t="s">
        <v>472</v>
      </c>
    </row>
    <row r="402" spans="1:6" s="204" customFormat="1">
      <c r="A402" s="285" t="str">
        <v>ME 159,ED1-MSE</v>
      </c>
      <c r="B402" s="286" t="s">
        <v>1918</v>
      </c>
      <c r="C402" s="287">
        <v>100</v>
      </c>
      <c r="D402" s="287" t="str">
        <f>D401</f>
        <v>ED1-MSE</v>
      </c>
      <c r="E402" s="287" t="s">
        <v>160</v>
      </c>
      <c r="F402" s="287" t="s">
        <v>471</v>
      </c>
    </row>
    <row r="403" spans="1:6" s="204" customFormat="1">
      <c r="A403" s="285" t="str">
        <v>ME 195,ED1-MSE</v>
      </c>
      <c r="B403" s="286" t="s">
        <v>505</v>
      </c>
      <c r="C403" s="287">
        <v>100</v>
      </c>
      <c r="D403" s="287" t="str">
        <f>D402</f>
        <v>ED1-MSE</v>
      </c>
      <c r="E403" s="287" t="s">
        <v>255</v>
      </c>
      <c r="F403" s="287" t="s">
        <v>1549</v>
      </c>
    </row>
    <row r="404" spans="1:6" s="204" customFormat="1">
      <c r="A404" s="285" t="str">
        <v>MSE 151,ED1-MSE</v>
      </c>
      <c r="B404" s="286" t="s">
        <v>1923</v>
      </c>
      <c r="C404" s="287">
        <v>100</v>
      </c>
      <c r="D404" s="287" t="str">
        <f>D403</f>
        <v>ED1-MSE</v>
      </c>
      <c r="E404" s="287" t="s">
        <v>94</v>
      </c>
      <c r="F404" s="287" t="s">
        <v>1730</v>
      </c>
    </row>
    <row ht="15.75" r="405" spans="1:6" s="204" customFormat="1">
      <c r="A405" s="285" t="str">
        <v>MSE 153,ED1-MSE</v>
      </c>
      <c r="B405" s="286" t="s">
        <v>1924</v>
      </c>
      <c r="C405" s="287">
        <v>100</v>
      </c>
      <c r="D405" s="287" t="str">
        <f>D404</f>
        <v>ED1-MSE</v>
      </c>
      <c r="E405" s="287" t="s">
        <v>188</v>
      </c>
      <c r="F405" s="351" t="s">
        <v>481</v>
      </c>
    </row>
    <row ht="15" r="406" spans="1:6" s="204" customFormat="1">
      <c r="A406" s="285" t="str">
        <v>MSE 155,ED1-MSE</v>
      </c>
      <c r="B406" s="350" t="s">
        <v>1925</v>
      </c>
      <c r="C406" s="287">
        <v>100</v>
      </c>
      <c r="D406" s="287" t="str">
        <f>D405</f>
        <v>ED1-MSE</v>
      </c>
      <c r="E406" s="287" t="s">
        <v>453</v>
      </c>
      <c r="F406" s="287" t="s">
        <v>1731</v>
      </c>
    </row>
    <row r="407" spans="1:6" s="204" customFormat="1">
      <c r="A407" s="285" t="str">
        <v>ACF 255,ED2-MSE</v>
      </c>
      <c r="B407" s="286" t="s">
        <v>1849</v>
      </c>
      <c r="C407" s="287">
        <v>13</v>
      </c>
      <c r="D407" s="287" t="s">
        <v>104</v>
      </c>
      <c r="E407" s="287" t="s">
        <v>383</v>
      </c>
      <c r="F407" s="287" t="s">
        <v>1592</v>
      </c>
    </row>
    <row r="408" spans="1:6" s="204" customFormat="1">
      <c r="A408" s="285" t="str">
        <v>CENG 291,ED2-MSE</v>
      </c>
      <c r="B408" s="286" t="s">
        <v>496</v>
      </c>
      <c r="C408" s="287">
        <v>80</v>
      </c>
      <c r="D408" s="287" t="str">
        <f>D407</f>
        <v>ED2-MSE</v>
      </c>
      <c r="E408" s="287" t="s">
        <v>258</v>
      </c>
      <c r="F408" s="287" t="s">
        <v>468</v>
      </c>
    </row>
    <row r="409" spans="1:6" s="204" customFormat="1">
      <c r="A409" s="285" t="str">
        <v>ECON 151,ED2-MSE</v>
      </c>
      <c r="B409" s="286" t="s">
        <v>467</v>
      </c>
      <c r="C409" s="287">
        <v>13</v>
      </c>
      <c r="D409" s="287" t="str">
        <f>D408</f>
        <v>ED2-MSE</v>
      </c>
      <c r="E409" s="287" t="s">
        <v>177</v>
      </c>
      <c r="F409" s="287" t="s">
        <v>1595</v>
      </c>
    </row>
    <row r="410" spans="1:6" s="204" customFormat="1">
      <c r="A410" s="285" t="str">
        <v>FC 181,ED2-MSE</v>
      </c>
      <c r="B410" s="286" t="s">
        <v>1926</v>
      </c>
      <c r="C410" s="287">
        <v>57</v>
      </c>
      <c r="D410" s="287" t="str">
        <f>D409</f>
        <v>ED2-MSE</v>
      </c>
      <c r="E410" s="287" t="s">
        <v>246</v>
      </c>
      <c r="F410" s="287" t="s">
        <v>1596</v>
      </c>
    </row>
    <row r="411" spans="1:6" s="204" customFormat="1">
      <c r="A411" s="285" t="str">
        <v>MATH 251,ED2-MSE</v>
      </c>
      <c r="B411" s="286" t="s">
        <v>1828</v>
      </c>
      <c r="C411" s="287">
        <v>80</v>
      </c>
      <c r="D411" s="287" t="str">
        <f>D410</f>
        <v>ED2-MSE</v>
      </c>
      <c r="E411" s="287" t="s">
        <v>140</v>
      </c>
      <c r="F411" s="287" t="s">
        <v>465</v>
      </c>
    </row>
    <row r="412" spans="1:6" s="204" customFormat="1">
      <c r="A412" s="285" t="str">
        <v>MSE 251,ED2-MSE</v>
      </c>
      <c r="B412" s="286" t="s">
        <v>497</v>
      </c>
      <c r="C412" s="287">
        <v>80</v>
      </c>
      <c r="D412" s="287" t="str">
        <f>D411</f>
        <v>ED2-MSE</v>
      </c>
      <c r="E412" s="287" t="s">
        <v>124</v>
      </c>
      <c r="F412" s="287" t="s">
        <v>1732</v>
      </c>
    </row>
    <row r="413" spans="1:6" s="204" customFormat="1">
      <c r="A413" s="285" t="str">
        <v>MSE 253,ED2-MSE</v>
      </c>
      <c r="B413" s="286" t="s">
        <v>493</v>
      </c>
      <c r="C413" s="287">
        <v>80</v>
      </c>
      <c r="D413" s="287" t="str">
        <f>D412</f>
        <v>ED2-MSE</v>
      </c>
      <c r="E413" s="287" t="s">
        <v>161</v>
      </c>
      <c r="F413" s="287" t="s">
        <v>1733</v>
      </c>
    </row>
    <row ht="15" r="414" spans="1:6" s="204" customFormat="1">
      <c r="A414" s="285" t="str">
        <v>MSE 255,ED2-MSE</v>
      </c>
      <c r="B414" s="286" t="s">
        <v>1466</v>
      </c>
      <c r="C414" s="287">
        <v>80</v>
      </c>
      <c r="D414" s="287" t="str">
        <f>D413</f>
        <v>ED2-MSE</v>
      </c>
      <c r="E414" s="287" t="s">
        <v>235</v>
      </c>
      <c r="F414" s="306" t="s">
        <v>1734</v>
      </c>
    </row>
    <row ht="15.75" r="415" spans="1:6" s="204" customFormat="1">
      <c r="A415" s="285" t="str">
        <v>MSE 257,ED2-MSE</v>
      </c>
      <c r="B415" s="349" t="s">
        <v>1927</v>
      </c>
      <c r="C415" s="287">
        <v>80</v>
      </c>
      <c r="D415" s="287" t="str">
        <f>D414</f>
        <v>ED2-MSE</v>
      </c>
      <c r="E415" s="287" t="s">
        <v>498</v>
      </c>
      <c r="F415" s="287" t="s">
        <v>1735</v>
      </c>
    </row>
    <row r="416" spans="1:6" s="204" customFormat="1">
      <c r="A416" s="285" t="str">
        <v>MSE 351,ED3-MSE</v>
      </c>
      <c r="B416" s="286" t="s">
        <v>1928</v>
      </c>
      <c r="C416" s="287">
        <v>89</v>
      </c>
      <c r="D416" s="287" t="s">
        <v>111</v>
      </c>
      <c r="E416" s="287" t="s">
        <v>144</v>
      </c>
      <c r="F416" s="287" t="s">
        <v>1736</v>
      </c>
    </row>
    <row r="417" spans="1:6" s="204" customFormat="1">
      <c r="A417" s="285" t="str">
        <v>MSE 353,ED3-MSE</v>
      </c>
      <c r="B417" s="286" t="s">
        <v>1927</v>
      </c>
      <c r="C417" s="287">
        <v>89</v>
      </c>
      <c r="D417" s="287" t="str">
        <f>D416</f>
        <v>ED3-MSE</v>
      </c>
      <c r="E417" s="287" t="s">
        <v>184</v>
      </c>
      <c r="F417" s="287" t="s">
        <v>1737</v>
      </c>
    </row>
    <row r="418" spans="1:6" s="204" customFormat="1">
      <c r="A418" s="285" t="str">
        <v>MSE 355,ED3-MSE</v>
      </c>
      <c r="B418" s="286" t="s">
        <v>495</v>
      </c>
      <c r="C418" s="287">
        <v>89</v>
      </c>
      <c r="D418" s="287" t="str">
        <f>D417</f>
        <v>ED3-MSE</v>
      </c>
      <c r="E418" s="287" t="s">
        <v>232</v>
      </c>
      <c r="F418" s="287" t="s">
        <v>1738</v>
      </c>
    </row>
    <row r="419" spans="1:6" s="204" customFormat="1">
      <c r="A419" s="285" t="str">
        <v>MSE 357,ED3-MSE</v>
      </c>
      <c r="B419" s="286" t="s">
        <v>1929</v>
      </c>
      <c r="C419" s="287">
        <v>89</v>
      </c>
      <c r="D419" s="287" t="str">
        <f>D418</f>
        <v>ED3-MSE</v>
      </c>
      <c r="E419" s="287" t="s">
        <v>128</v>
      </c>
      <c r="F419" s="287" t="s">
        <v>1739</v>
      </c>
    </row>
    <row r="420" spans="1:6" s="204" customFormat="1">
      <c r="A420" s="285" t="str">
        <v>MSE 361,ED3-MSE</v>
      </c>
      <c r="B420" s="286" t="s">
        <v>1930</v>
      </c>
      <c r="C420" s="287">
        <v>89</v>
      </c>
      <c r="D420" s="287" t="str">
        <f>D419</f>
        <v>ED3-MSE</v>
      </c>
      <c r="E420" s="287" t="s">
        <v>332</v>
      </c>
      <c r="F420" s="287" t="s">
        <v>1740</v>
      </c>
    </row>
    <row r="421" spans="1:6" s="204" customFormat="1">
      <c r="A421" s="285" t="str">
        <v>STAT 253,ED3-MSE</v>
      </c>
      <c r="B421" s="286" t="s">
        <v>1931</v>
      </c>
      <c r="C421" s="287">
        <v>89</v>
      </c>
      <c r="D421" s="287" t="str">
        <f>D420</f>
        <v>ED3-MSE</v>
      </c>
      <c r="E421" s="287" t="s">
        <v>371</v>
      </c>
      <c r="F421" s="287" t="s">
        <v>462</v>
      </c>
    </row>
    <row r="422" spans="1:6" s="204" customFormat="1">
      <c r="A422" s="285" t="str">
        <v>MSE 359,ED3-MSE</v>
      </c>
      <c r="B422" s="286" t="s">
        <v>1466</v>
      </c>
      <c r="C422" s="287">
        <v>89</v>
      </c>
      <c r="D422" s="287" t="str">
        <f>D421</f>
        <v>ED3-MSE</v>
      </c>
      <c r="E422" s="287" t="s">
        <v>264</v>
      </c>
      <c r="F422" s="287" t="s">
        <v>1741</v>
      </c>
    </row>
    <row r="423" spans="1:6" s="204" customFormat="1">
      <c r="A423" s="285" t="str">
        <v>MSE 363,ED3-MSE</v>
      </c>
      <c r="B423" s="286" t="s">
        <v>494</v>
      </c>
      <c r="C423" s="287">
        <v>89</v>
      </c>
      <c r="D423" s="287" t="str">
        <f>D422</f>
        <v>ED3-MSE</v>
      </c>
      <c r="E423" s="287" t="s">
        <v>342</v>
      </c>
      <c r="F423" s="287" t="s">
        <v>1742</v>
      </c>
    </row>
    <row r="424" spans="1:6" s="204" customFormat="1">
      <c r="A424" s="285" t="str">
        <v>ME 491,ED4-MSE</v>
      </c>
      <c r="B424" s="286" t="s">
        <v>1825</v>
      </c>
      <c r="C424" s="287">
        <v>64</v>
      </c>
      <c r="D424" s="287" t="s">
        <v>64</v>
      </c>
      <c r="E424" s="287" t="s">
        <v>244</v>
      </c>
      <c r="F424" s="287" t="s">
        <v>1585</v>
      </c>
    </row>
    <row r="425" spans="1:6" s="204" customFormat="1">
      <c r="A425" s="285" t="str">
        <v>MSE 451,ED4-MSE</v>
      </c>
      <c r="B425" s="286" t="s">
        <v>495</v>
      </c>
      <c r="C425" s="287">
        <v>64</v>
      </c>
      <c r="D425" s="287" t="str">
        <f>D424</f>
        <v>ED4-MSE</v>
      </c>
      <c r="E425" s="287" t="s">
        <v>89</v>
      </c>
      <c r="F425" s="287" t="s">
        <v>1743</v>
      </c>
    </row>
    <row r="426" spans="1:6" s="204" customFormat="1">
      <c r="A426" s="285" t="str">
        <v>MSE 453,ED4-MSE</v>
      </c>
      <c r="B426" s="286" t="s">
        <v>1928</v>
      </c>
      <c r="C426" s="287">
        <v>64</v>
      </c>
      <c r="D426" s="287" t="str">
        <f>D425</f>
        <v>ED4-MSE</v>
      </c>
      <c r="E426" s="287" t="s">
        <v>63</v>
      </c>
      <c r="F426" s="287" t="s">
        <v>1744</v>
      </c>
    </row>
    <row r="427" spans="1:6" s="204" customFormat="1">
      <c r="A427" s="285" t="str">
        <v>MSE 455,ED4-MSE</v>
      </c>
      <c r="B427" s="286" t="s">
        <v>494</v>
      </c>
      <c r="C427" s="287">
        <v>64</v>
      </c>
      <c r="D427" s="287" t="str">
        <f>D426</f>
        <v>ED4-MSE</v>
      </c>
      <c r="E427" s="287" t="s">
        <v>320</v>
      </c>
      <c r="F427" s="287" t="s">
        <v>1745</v>
      </c>
    </row>
    <row r="428" spans="1:6" s="204" customFormat="1">
      <c r="A428" s="285" t="str">
        <v>MSE 457,ED4-MSE</v>
      </c>
      <c r="B428" s="286" t="s">
        <v>493</v>
      </c>
      <c r="C428" s="287">
        <v>64</v>
      </c>
      <c r="D428" s="287" t="str">
        <f>D427</f>
        <v>ED4-MSE</v>
      </c>
      <c r="E428" s="287" t="s">
        <v>206</v>
      </c>
      <c r="F428" s="287" t="s">
        <v>1746</v>
      </c>
    </row>
    <row r="429" spans="1:6" s="204" customFormat="1">
      <c r="A429" s="285" t="str">
        <v>MSE 459,ED4-MSE</v>
      </c>
      <c r="B429" s="286" t="s">
        <v>495</v>
      </c>
      <c r="C429" s="287">
        <v>64</v>
      </c>
      <c r="D429" s="287" t="str">
        <f>D428</f>
        <v>ED4-MSE</v>
      </c>
      <c r="E429" s="287" t="s">
        <v>1521</v>
      </c>
      <c r="F429" s="287" t="s">
        <v>1565</v>
      </c>
    </row>
    <row r="430" spans="1:6" s="204" customFormat="1">
      <c r="A430" s="285" t="str">
        <v>MSE 497,ED4-MSE</v>
      </c>
      <c r="B430" s="286" t="s">
        <v>495</v>
      </c>
      <c r="C430" s="287">
        <v>64</v>
      </c>
      <c r="D430" s="287" t="str">
        <f>D429</f>
        <v>ED4-MSE</v>
      </c>
      <c r="E430" s="287" t="s">
        <v>1522</v>
      </c>
      <c r="F430" s="287" t="s">
        <v>1747</v>
      </c>
    </row>
    <row r="431" spans="1:6" s="204" customFormat="1">
      <c r="A431" s="285" t="str">
        <v>CE 155,ED1-ME</v>
      </c>
      <c r="B431" s="298" t="s">
        <v>1932</v>
      </c>
      <c r="C431" s="299">
        <v>226</v>
      </c>
      <c r="D431" s="299" t="s">
        <v>9</v>
      </c>
      <c r="E431" s="299" t="s">
        <v>155</v>
      </c>
      <c r="F431" s="299" t="s">
        <v>475</v>
      </c>
    </row>
    <row r="432" spans="1:6" s="204" customFormat="1">
      <c r="A432" s="285" t="str">
        <v>EE 151,ED1-ME</v>
      </c>
      <c r="B432" s="298" t="s">
        <v>469</v>
      </c>
      <c r="C432" s="299">
        <v>226</v>
      </c>
      <c r="D432" s="299" t="str">
        <f>D431</f>
        <v>ED1-ME</v>
      </c>
      <c r="E432" s="299" t="s">
        <v>229</v>
      </c>
      <c r="F432" s="299" t="s">
        <v>474</v>
      </c>
    </row>
    <row r="433" spans="1:6" s="204" customFormat="1">
      <c r="A433" s="285" t="str">
        <v>ENGL 157,ED1-ME</v>
      </c>
      <c r="B433" s="298" t="s">
        <v>519</v>
      </c>
      <c r="C433" s="299">
        <v>226</v>
      </c>
      <c r="D433" s="299" t="str">
        <f>D432</f>
        <v>ED1-ME</v>
      </c>
      <c r="E433" s="299" t="s">
        <v>0</v>
      </c>
      <c r="F433" s="299" t="s">
        <v>473</v>
      </c>
    </row>
    <row r="434" spans="1:6" s="204" customFormat="1">
      <c r="A434" s="285" t="str">
        <v>MATH 151,ED1-ME</v>
      </c>
      <c r="B434" s="298" t="s">
        <v>1828</v>
      </c>
      <c r="C434" s="299">
        <v>226</v>
      </c>
      <c r="D434" s="299" t="str">
        <f>D433</f>
        <v>ED1-ME</v>
      </c>
      <c r="E434" s="299" t="s">
        <v>65</v>
      </c>
      <c r="F434" s="299" t="s">
        <v>472</v>
      </c>
    </row>
    <row r="435" spans="1:6" s="204" customFormat="1">
      <c r="A435" s="285" t="str">
        <v>ME 157,ED1-ME</v>
      </c>
      <c r="B435" s="298" t="s">
        <v>506</v>
      </c>
      <c r="C435" s="299">
        <v>226</v>
      </c>
      <c r="D435" s="299" t="str">
        <f>D434</f>
        <v>ED1-ME</v>
      </c>
      <c r="E435" s="299" t="s">
        <v>242</v>
      </c>
      <c r="F435" s="299" t="s">
        <v>481</v>
      </c>
    </row>
    <row ht="16.5" customHeight="1" r="436" spans="1:6" s="204" customFormat="1">
      <c r="A436" s="285" t="str">
        <v>ME 159,ED1-ME</v>
      </c>
      <c r="B436" s="298" t="s">
        <v>1918</v>
      </c>
      <c r="C436" s="299">
        <v>226</v>
      </c>
      <c r="D436" s="299" t="str">
        <f>D435</f>
        <v>ED1-ME</v>
      </c>
      <c r="E436" s="299" t="s">
        <v>160</v>
      </c>
      <c r="F436" s="299" t="s">
        <v>471</v>
      </c>
    </row>
    <row r="437" spans="1:6" s="204" customFormat="1">
      <c r="A437" s="285" t="str">
        <v>ME 195,ED1-ME</v>
      </c>
      <c r="B437" s="298" t="s">
        <v>520</v>
      </c>
      <c r="C437" s="299">
        <v>226</v>
      </c>
      <c r="D437" s="299" t="str">
        <f>D436</f>
        <v>ED1-ME</v>
      </c>
      <c r="E437" s="299" t="s">
        <v>255</v>
      </c>
      <c r="F437" s="299" t="s">
        <v>1588</v>
      </c>
    </row>
    <row r="438" spans="1:6" s="204" customFormat="1">
      <c r="A438" s="285" t="str">
        <v>CENG 291,ED2-ME</v>
      </c>
      <c r="B438" s="298" t="s">
        <v>1831</v>
      </c>
      <c r="C438" s="299">
        <v>242</v>
      </c>
      <c r="D438" s="299" t="s">
        <v>82</v>
      </c>
      <c r="E438" s="299" t="s">
        <v>258</v>
      </c>
      <c r="F438" s="299" t="s">
        <v>468</v>
      </c>
    </row>
    <row r="439" spans="1:6" s="204" customFormat="1">
      <c r="A439" s="285" t="str">
        <v>MATH 251,ED2-ME</v>
      </c>
      <c r="B439" s="298" t="s">
        <v>1920</v>
      </c>
      <c r="C439" s="299">
        <v>242</v>
      </c>
      <c r="D439" s="299" t="str">
        <f>D438</f>
        <v>ED2-ME</v>
      </c>
      <c r="E439" s="299" t="s">
        <v>140</v>
      </c>
      <c r="F439" s="299" t="s">
        <v>465</v>
      </c>
    </row>
    <row r="440" spans="1:6" s="204" customFormat="1">
      <c r="A440" s="285" t="str">
        <v>ME 251,ED2-ME</v>
      </c>
      <c r="B440" s="298" t="s">
        <v>507</v>
      </c>
      <c r="C440" s="299">
        <v>242</v>
      </c>
      <c r="D440" s="299" t="str">
        <f>D439</f>
        <v>ED2-ME</v>
      </c>
      <c r="E440" s="299" t="s">
        <v>96</v>
      </c>
      <c r="F440" s="299" t="s">
        <v>517</v>
      </c>
    </row>
    <row r="441" spans="1:6" s="204" customFormat="1">
      <c r="A441" s="285" t="str">
        <v>ME 255,ED2-ME</v>
      </c>
      <c r="B441" s="298" t="s">
        <v>1843</v>
      </c>
      <c r="C441" s="299">
        <v>242</v>
      </c>
      <c r="D441" s="299" t="str">
        <f>D440</f>
        <v>ED2-ME</v>
      </c>
      <c r="E441" s="299" t="s">
        <v>193</v>
      </c>
      <c r="F441" s="299" t="s">
        <v>480</v>
      </c>
    </row>
    <row r="442" spans="1:6" s="204" customFormat="1">
      <c r="A442" s="285" t="str">
        <v>ME 259,ED2-ME</v>
      </c>
      <c r="B442" s="298" t="s">
        <v>506</v>
      </c>
      <c r="C442" s="299">
        <v>242</v>
      </c>
      <c r="D442" s="299" t="str">
        <f>D441</f>
        <v>ED2-ME</v>
      </c>
      <c r="E442" s="299" t="s">
        <v>208</v>
      </c>
      <c r="F442" s="299" t="s">
        <v>1551</v>
      </c>
    </row>
    <row r="443" spans="1:6" s="204" customFormat="1">
      <c r="A443" s="285" t="str">
        <v>ME 261,ED2-ME</v>
      </c>
      <c r="B443" s="298" t="s">
        <v>516</v>
      </c>
      <c r="C443" s="299">
        <v>245</v>
      </c>
      <c r="D443" s="299" t="str">
        <f>D442</f>
        <v>ED2-ME</v>
      </c>
      <c r="E443" s="299" t="s">
        <v>230</v>
      </c>
      <c r="F443" s="299" t="s">
        <v>1748</v>
      </c>
    </row>
    <row r="444" spans="1:6" s="204" customFormat="1">
      <c r="A444" s="285" t="str">
        <v>ME 281,ED2-ME</v>
      </c>
      <c r="B444" s="298" t="s">
        <v>515</v>
      </c>
      <c r="C444" s="299">
        <v>242</v>
      </c>
      <c r="D444" s="299" t="str">
        <f>D443</f>
        <v>ED2-ME</v>
      </c>
      <c r="E444" s="299" t="s">
        <v>168</v>
      </c>
      <c r="F444" s="299" t="s">
        <v>514</v>
      </c>
    </row>
    <row r="445" spans="1:6">
      <c r="A445" s="285" t="str">
        <v>ME 295,ED2-ME</v>
      </c>
      <c r="B445" s="298" t="s">
        <v>1933</v>
      </c>
      <c r="C445" s="299">
        <v>242</v>
      </c>
      <c r="D445" s="299" t="str">
        <f>D444</f>
        <v>ED2-ME</v>
      </c>
      <c r="E445" s="299" t="s">
        <v>262</v>
      </c>
      <c r="F445" s="299" t="s">
        <v>513</v>
      </c>
    </row>
    <row r="446" spans="1:6" s="204" customFormat="1">
      <c r="A446" s="285" t="str">
        <v>ECON 151,ED3-ME</v>
      </c>
      <c r="B446" s="298" t="s">
        <v>467</v>
      </c>
      <c r="C446" s="299">
        <v>225</v>
      </c>
      <c r="D446" s="299" t="s">
        <v>49</v>
      </c>
      <c r="E446" s="299" t="s">
        <v>177</v>
      </c>
      <c r="F446" s="299" t="s">
        <v>510</v>
      </c>
    </row>
    <row r="447" spans="1:6" s="204" customFormat="1">
      <c r="A447" s="285" t="str">
        <v>MATH 351,ED3-ME</v>
      </c>
      <c r="B447" s="298" t="s">
        <v>1841</v>
      </c>
      <c r="C447" s="299">
        <v>225</v>
      </c>
      <c r="D447" s="299" t="str">
        <f>D446</f>
        <v>ED3-ME</v>
      </c>
      <c r="E447" s="299" t="s">
        <v>47</v>
      </c>
      <c r="F447" s="299" t="s">
        <v>463</v>
      </c>
    </row>
    <row r="448" spans="1:6" s="204" customFormat="1">
      <c r="A448" s="285" t="str">
        <v>ME 361,ED3-ME</v>
      </c>
      <c r="B448" s="298" t="s">
        <v>1917</v>
      </c>
      <c r="C448" s="299">
        <v>225</v>
      </c>
      <c r="D448" s="299" t="str">
        <f>D447</f>
        <v>ED3-ME</v>
      </c>
      <c r="E448" s="299" t="s">
        <v>223</v>
      </c>
      <c r="F448" s="299" t="s">
        <v>1577</v>
      </c>
    </row>
    <row r="449" spans="1:6" s="204" customFormat="1">
      <c r="A449" s="285" t="str">
        <v>ME 363,ED3-ME</v>
      </c>
      <c r="B449" s="298" t="s">
        <v>501</v>
      </c>
      <c r="C449" s="299">
        <v>225</v>
      </c>
      <c r="D449" s="299" t="str">
        <f>D448</f>
        <v>ED3-ME</v>
      </c>
      <c r="E449" s="299" t="s">
        <v>135</v>
      </c>
      <c r="F449" s="299" t="s">
        <v>1749</v>
      </c>
    </row>
    <row r="450" spans="1:6" s="204" customFormat="1">
      <c r="A450" s="285" t="str">
        <v>ME 365,ED3-ME</v>
      </c>
      <c r="B450" s="298" t="s">
        <v>508</v>
      </c>
      <c r="C450" s="299">
        <v>225</v>
      </c>
      <c r="D450" s="299" t="str">
        <f>D449</f>
        <v>ED3-ME</v>
      </c>
      <c r="E450" s="299" t="s">
        <v>216</v>
      </c>
      <c r="F450" s="299" t="s">
        <v>1558</v>
      </c>
    </row>
    <row r="451" spans="1:6" s="204" customFormat="1">
      <c r="A451" s="285" t="str">
        <v>ME 373,ED3-ME</v>
      </c>
      <c r="B451" s="298" t="s">
        <v>1934</v>
      </c>
      <c r="C451" s="299">
        <v>225</v>
      </c>
      <c r="D451" s="299" t="str">
        <f>D450</f>
        <v>ED3-ME</v>
      </c>
      <c r="E451" s="299" t="s">
        <v>239</v>
      </c>
      <c r="F451" s="299" t="s">
        <v>1750</v>
      </c>
    </row>
    <row r="452" spans="1:6" s="204" customFormat="1">
      <c r="A452" s="285" t="str">
        <v>ME 395,ED3-ME</v>
      </c>
      <c r="B452" s="298" t="s">
        <v>1831</v>
      </c>
      <c r="C452" s="299">
        <v>225</v>
      </c>
      <c r="D452" s="299" t="str">
        <f>D451</f>
        <v>ED3-ME</v>
      </c>
      <c r="E452" s="299" t="s">
        <v>1523</v>
      </c>
      <c r="F452" s="299" t="s">
        <v>1751</v>
      </c>
    </row>
    <row r="453" spans="1:6">
      <c r="A453" s="285" t="str">
        <v>STAT 253,ED3-ME</v>
      </c>
      <c r="B453" s="298" t="s">
        <v>1884</v>
      </c>
      <c r="C453" s="299">
        <v>230</v>
      </c>
      <c r="D453" s="299" t="str">
        <f>D452</f>
        <v>ED3-ME</v>
      </c>
      <c r="E453" s="299" t="s">
        <v>371</v>
      </c>
      <c r="F453" s="299" t="s">
        <v>462</v>
      </c>
    </row>
    <row r="454" spans="1:6" s="204" customFormat="1">
      <c r="A454" s="285" t="str">
        <v>ME 465,ED4-ME</v>
      </c>
      <c r="B454" s="298" t="s">
        <v>505</v>
      </c>
      <c r="C454" s="299">
        <v>140</v>
      </c>
      <c r="D454" s="299" t="s">
        <v>15</v>
      </c>
      <c r="E454" s="299" t="s">
        <v>76</v>
      </c>
      <c r="F454" s="299" t="s">
        <v>1752</v>
      </c>
    </row>
    <row r="455" spans="1:6" s="204" customFormat="1">
      <c r="A455" s="285" t="str">
        <v>ME 467,ED4-ME</v>
      </c>
      <c r="B455" s="298" t="s">
        <v>1933</v>
      </c>
      <c r="C455" s="299">
        <v>25</v>
      </c>
      <c r="D455" s="299" t="s">
        <v>15</v>
      </c>
      <c r="E455" s="299" t="s">
        <v>212</v>
      </c>
      <c r="F455" s="299" t="s">
        <v>1753</v>
      </c>
    </row>
    <row r="456" spans="1:6" s="204" customFormat="1">
      <c r="A456" s="285" t="str">
        <v>ME 453,ED4-ME</v>
      </c>
      <c r="B456" s="298" t="s">
        <v>507</v>
      </c>
      <c r="C456" s="299">
        <v>140</v>
      </c>
      <c r="D456" s="299" t="str">
        <f>D454</f>
        <v>ED4-ME</v>
      </c>
      <c r="E456" s="299" t="s">
        <v>153</v>
      </c>
      <c r="F456" s="299" t="s">
        <v>1584</v>
      </c>
    </row>
    <row r="457" spans="1:6" s="204" customFormat="1">
      <c r="A457" s="285" t="str">
        <v>ME 455,ED4-ME</v>
      </c>
      <c r="B457" s="298" t="s">
        <v>1843</v>
      </c>
      <c r="C457" s="299">
        <v>140</v>
      </c>
      <c r="D457" s="299" t="str">
        <f>D456</f>
        <v>ED4-ME</v>
      </c>
      <c r="E457" s="299" t="s">
        <v>395</v>
      </c>
      <c r="F457" s="299" t="s">
        <v>1754</v>
      </c>
    </row>
    <row r="458" spans="1:6" s="204" customFormat="1">
      <c r="A458" s="285" t="str">
        <f>_xlfn.CONCAT(E458,",",D458)</f>
        <v>ME 471,ED4-ME</v>
      </c>
      <c r="B458" s="298" t="s">
        <v>503</v>
      </c>
      <c r="C458" s="299">
        <v>140</v>
      </c>
      <c r="D458" s="299" t="str">
        <f>D457</f>
        <v>ED4-ME</v>
      </c>
      <c r="E458" s="299" t="s">
        <v>1524</v>
      </c>
      <c r="F458" s="299" t="s">
        <v>1755</v>
      </c>
    </row>
    <row r="459" spans="1:6" s="204" customFormat="1">
      <c r="A459" s="285" t="str">
        <v>ME 473,ED4-ME</v>
      </c>
      <c r="B459" s="298" t="s">
        <v>504</v>
      </c>
      <c r="C459" s="299">
        <v>35</v>
      </c>
      <c r="D459" s="299" t="str">
        <f>D458</f>
        <v>ED4-ME</v>
      </c>
      <c r="E459" s="299" t="s">
        <v>14</v>
      </c>
      <c r="F459" s="299" t="s">
        <v>1546</v>
      </c>
    </row>
    <row r="460" spans="1:6" s="204" customFormat="1">
      <c r="A460" s="285" t="str">
        <v>ME 477,ED4-ME</v>
      </c>
      <c r="B460" s="298" t="s">
        <v>503</v>
      </c>
      <c r="C460" s="299">
        <v>35</v>
      </c>
      <c r="D460" s="299" t="str">
        <f>D459</f>
        <v>ED4-ME</v>
      </c>
      <c r="E460" s="299" t="s">
        <v>159</v>
      </c>
      <c r="F460" s="299" t="s">
        <v>1756</v>
      </c>
    </row>
    <row r="461" spans="1:6" s="204" customFormat="1">
      <c r="A461" s="285" t="str">
        <v>ME 483,ED4-ME</v>
      </c>
      <c r="B461" s="298" t="s">
        <v>1917</v>
      </c>
      <c r="C461" s="299">
        <v>140</v>
      </c>
      <c r="D461" s="299" t="str">
        <f>D460</f>
        <v>ED4-ME</v>
      </c>
      <c r="E461" s="299" t="s">
        <v>200</v>
      </c>
      <c r="F461" s="299" t="s">
        <v>1757</v>
      </c>
    </row>
    <row r="462" spans="1:6" s="204" customFormat="1">
      <c r="A462" s="285" t="str">
        <v>ME 491,ED4-ME</v>
      </c>
      <c r="B462" s="298" t="s">
        <v>1825</v>
      </c>
      <c r="C462" s="299">
        <v>140</v>
      </c>
      <c r="D462" s="299" t="str">
        <f>D461</f>
        <v>ED4-ME</v>
      </c>
      <c r="E462" s="299" t="s">
        <v>244</v>
      </c>
      <c r="F462" s="299" t="s">
        <v>1585</v>
      </c>
    </row>
    <row r="463" spans="1:6" s="204" customFormat="1">
      <c r="A463" s="285" t="str">
        <v>ME 497,ED4-ME</v>
      </c>
      <c r="B463" s="298" t="s">
        <v>1823</v>
      </c>
      <c r="C463" s="299">
        <v>140</v>
      </c>
      <c r="D463" s="299" t="str">
        <f>D462</f>
        <v>ED4-ME</v>
      </c>
      <c r="E463" s="299" t="s">
        <v>1525</v>
      </c>
      <c r="F463" s="299" t="s">
        <v>1583</v>
      </c>
    </row>
    <row r="464" spans="1:6" s="204" customFormat="1">
      <c r="A464" s="285" t="str">
        <v>MECH 493,ED4-ME</v>
      </c>
      <c r="B464" s="298" t="s">
        <v>1831</v>
      </c>
      <c r="C464" s="299">
        <v>140</v>
      </c>
      <c r="D464" s="299" t="str">
        <f>D463</f>
        <v>ED4-ME</v>
      </c>
      <c r="E464" s="299" t="s">
        <v>1526</v>
      </c>
      <c r="F464" s="299" t="s">
        <v>1758</v>
      </c>
    </row>
    <row r="465" spans="1:8" s="204" customFormat="1">
      <c r="A465" s="285" t="str">
        <v>ME 451,ED4-ME</v>
      </c>
      <c r="B465" s="298" t="s">
        <v>1824</v>
      </c>
      <c r="C465" s="299">
        <v>58</v>
      </c>
      <c r="D465" s="299" t="str">
        <f>D464</f>
        <v>ED4-ME</v>
      </c>
      <c r="E465" s="299" t="s">
        <v>16</v>
      </c>
      <c r="F465" s="299" t="s">
        <v>1545</v>
      </c>
    </row>
    <row ht="15" r="466" spans="1:8" s="204" customFormat="1">
      <c r="A466" s="92" t="str">
        <v>EE 151,ED1-METE</v>
      </c>
      <c r="B466" s="307" t="s">
        <v>1952</v>
      </c>
      <c r="C466" s="300">
        <v>75</v>
      </c>
      <c r="D466" s="287" t="s">
        <v>11</v>
      </c>
      <c r="E466" s="300" t="s">
        <v>229</v>
      </c>
      <c r="F466" s="300" t="s">
        <v>474</v>
      </c>
      <c r="H466" s="308"/>
    </row>
    <row ht="15" r="467" spans="1:8" s="204" customFormat="1">
      <c r="A467" s="92" t="str">
        <v>ENGL 157,ED1-METE</v>
      </c>
      <c r="B467" s="307" t="s">
        <v>1848</v>
      </c>
      <c r="C467" s="300">
        <v>75</v>
      </c>
      <c r="D467" s="287" t="str">
        <f>D466</f>
        <v>ED1-METE</v>
      </c>
      <c r="E467" s="300" t="s">
        <v>0</v>
      </c>
      <c r="F467" s="300" t="s">
        <v>473</v>
      </c>
      <c r="H467" s="308"/>
    </row>
    <row ht="15" r="468" spans="1:8" s="204" customFormat="1">
      <c r="A468" s="92" t="str">
        <v>MATH 151,ED1-METE</v>
      </c>
      <c r="B468" s="307" t="s">
        <v>499</v>
      </c>
      <c r="C468" s="300">
        <v>75</v>
      </c>
      <c r="D468" s="287" t="str">
        <f>D467</f>
        <v>ED1-METE</v>
      </c>
      <c r="E468" s="300" t="s">
        <v>65</v>
      </c>
      <c r="F468" s="300" t="s">
        <v>472</v>
      </c>
      <c r="H468" s="308"/>
    </row>
    <row ht="15" customHeight="1" r="469" spans="1:8" s="204" customFormat="1">
      <c r="A469" s="92" t="str">
        <v>ME 159,ED1-METE</v>
      </c>
      <c r="B469" s="307" t="s">
        <v>470</v>
      </c>
      <c r="C469" s="300">
        <v>75</v>
      </c>
      <c r="D469" s="287" t="str">
        <f>D468</f>
        <v>ED1-METE</v>
      </c>
      <c r="E469" s="300" t="s">
        <v>160</v>
      </c>
      <c r="F469" s="300" t="s">
        <v>471</v>
      </c>
      <c r="H469" s="308"/>
    </row>
    <row ht="15" r="470" spans="1:8" s="204" customFormat="1">
      <c r="A470" s="92" t="str">
        <v>ME 195,ED1-METE</v>
      </c>
      <c r="B470" s="307" t="s">
        <v>505</v>
      </c>
      <c r="C470" s="300">
        <v>75</v>
      </c>
      <c r="D470" s="287" t="str">
        <f>D469</f>
        <v>ED1-METE</v>
      </c>
      <c r="E470" s="300" t="s">
        <v>255</v>
      </c>
      <c r="F470" s="300" t="s">
        <v>1549</v>
      </c>
      <c r="H470" s="308"/>
    </row>
    <row ht="15" r="471" spans="1:8" s="204" customFormat="1">
      <c r="A471" s="92" t="str">
        <v>METE 151,ED1-METE</v>
      </c>
      <c r="B471" s="307" t="s">
        <v>496</v>
      </c>
      <c r="C471" s="300">
        <v>75</v>
      </c>
      <c r="D471" s="287" t="str">
        <f>D470</f>
        <v>ED1-METE</v>
      </c>
      <c r="E471" s="300" t="s">
        <v>325</v>
      </c>
      <c r="F471" s="300" t="s">
        <v>1759</v>
      </c>
      <c r="H471" s="308"/>
    </row>
    <row ht="15" r="472" spans="1:8" s="204" customFormat="1">
      <c r="A472" s="92" t="str">
        <v>MSE 153,ED1-METE</v>
      </c>
      <c r="B472" s="307" t="s">
        <v>1924</v>
      </c>
      <c r="C472" s="300">
        <v>75</v>
      </c>
      <c r="D472" s="287" t="str">
        <f>D471</f>
        <v>ED1-METE</v>
      </c>
      <c r="E472" s="300" t="s">
        <v>188</v>
      </c>
      <c r="F472" s="300" t="s">
        <v>481</v>
      </c>
      <c r="H472" s="308"/>
    </row>
    <row ht="15" r="473" spans="1:8" s="204" customFormat="1">
      <c r="A473" s="92" t="str">
        <v>MSE 155,ED1-METE</v>
      </c>
      <c r="B473" s="307" t="s">
        <v>1925</v>
      </c>
      <c r="C473" s="300">
        <v>76</v>
      </c>
      <c r="D473" s="287" t="str">
        <f>D472</f>
        <v>ED1-METE</v>
      </c>
      <c r="E473" s="300" t="s">
        <v>453</v>
      </c>
      <c r="F473" s="300" t="s">
        <v>1731</v>
      </c>
      <c r="H473" s="308"/>
    </row>
    <row ht="15" r="474" spans="1:8" s="204" customFormat="1">
      <c r="A474" s="92" t="str">
        <v>CENG 291,ED2-METE</v>
      </c>
      <c r="B474" s="307" t="s">
        <v>496</v>
      </c>
      <c r="C474" s="300">
        <v>59</v>
      </c>
      <c r="D474" s="287" t="s">
        <v>72</v>
      </c>
      <c r="E474" s="300" t="s">
        <v>258</v>
      </c>
      <c r="F474" s="300" t="s">
        <v>468</v>
      </c>
      <c r="H474" s="308"/>
    </row>
    <row ht="15" r="475" spans="1:8" s="204" customFormat="1">
      <c r="A475" s="92" t="str">
        <v>GED 251,ED2-METE</v>
      </c>
      <c r="B475" s="307" t="s">
        <v>1897</v>
      </c>
      <c r="C475" s="300">
        <v>59</v>
      </c>
      <c r="D475" s="287" t="str">
        <f>D474</f>
        <v>ED2-METE</v>
      </c>
      <c r="E475" s="300" t="s">
        <v>71</v>
      </c>
      <c r="F475" s="300" t="s">
        <v>1673</v>
      </c>
      <c r="H475" s="308"/>
    </row>
    <row ht="15" r="476" spans="1:8" s="204" customFormat="1">
      <c r="A476" s="92" t="str">
        <v>MATH 251,ED2-METE</v>
      </c>
      <c r="B476" s="307" t="s">
        <v>1828</v>
      </c>
      <c r="C476" s="300">
        <v>59</v>
      </c>
      <c r="D476" s="287" t="str">
        <f>D475</f>
        <v>ED2-METE</v>
      </c>
      <c r="E476" s="300" t="s">
        <v>140</v>
      </c>
      <c r="F476" s="300" t="s">
        <v>465</v>
      </c>
      <c r="H476" s="308"/>
    </row>
    <row ht="15" r="477" spans="1:8" s="204" customFormat="1">
      <c r="A477" s="92" t="str">
        <v>METE 251,ED2-METE</v>
      </c>
      <c r="B477" s="307" t="s">
        <v>1923</v>
      </c>
      <c r="C477" s="300">
        <v>59</v>
      </c>
      <c r="D477" s="287" t="str">
        <f>D476</f>
        <v>ED2-METE</v>
      </c>
      <c r="E477" s="300" t="s">
        <v>215</v>
      </c>
      <c r="F477" s="300" t="s">
        <v>1760</v>
      </c>
      <c r="H477" s="308"/>
    </row>
    <row ht="15" r="478" spans="1:8" s="204" customFormat="1">
      <c r="A478" s="92" t="str">
        <v>MSE 251,ED2-METE</v>
      </c>
      <c r="B478" s="307" t="s">
        <v>497</v>
      </c>
      <c r="C478" s="300">
        <v>59</v>
      </c>
      <c r="D478" s="287" t="str">
        <f>D477</f>
        <v>ED2-METE</v>
      </c>
      <c r="E478" s="300" t="s">
        <v>124</v>
      </c>
      <c r="F478" s="300" t="s">
        <v>1732</v>
      </c>
      <c r="H478" s="308"/>
    </row>
    <row ht="15" r="479" spans="1:8" s="204" customFormat="1">
      <c r="A479" s="92" t="str">
        <v>MSE 253,ED2-METE</v>
      </c>
      <c r="B479" s="307" t="s">
        <v>493</v>
      </c>
      <c r="C479" s="300">
        <v>59</v>
      </c>
      <c r="D479" s="287" t="str">
        <f>D478</f>
        <v>ED2-METE</v>
      </c>
      <c r="E479" s="300" t="s">
        <v>161</v>
      </c>
      <c r="F479" s="300" t="s">
        <v>1733</v>
      </c>
      <c r="H479" s="308"/>
    </row>
    <row ht="15" r="480" spans="1:8" s="204" customFormat="1">
      <c r="A480" s="92" t="str">
        <v>MSE 255,ED2-METE</v>
      </c>
      <c r="B480" s="307" t="s">
        <v>1466</v>
      </c>
      <c r="C480" s="300">
        <v>59</v>
      </c>
      <c r="D480" s="287" t="str">
        <f>D479</f>
        <v>ED2-METE</v>
      </c>
      <c r="E480" s="300" t="s">
        <v>235</v>
      </c>
      <c r="F480" s="300" t="s">
        <v>1734</v>
      </c>
      <c r="H480" s="308"/>
    </row>
    <row ht="15" r="481" spans="1:8" s="204" customFormat="1">
      <c r="A481" s="92" t="str">
        <v>SOC 255,ED2-METE</v>
      </c>
      <c r="B481" s="307" t="s">
        <v>1935</v>
      </c>
      <c r="C481" s="300">
        <v>59</v>
      </c>
      <c r="D481" s="287" t="str">
        <f>D480</f>
        <v>ED2-METE</v>
      </c>
      <c r="E481" s="300" t="s">
        <v>450</v>
      </c>
      <c r="F481" s="300" t="s">
        <v>1481</v>
      </c>
      <c r="H481" s="308"/>
    </row>
    <row ht="15" r="482" spans="1:8" s="204" customFormat="1">
      <c r="A482" s="92" t="str">
        <v>METE 355,ED3-METE</v>
      </c>
      <c r="B482" s="307" t="s">
        <v>1466</v>
      </c>
      <c r="C482" s="300">
        <v>87</v>
      </c>
      <c r="D482" s="287" t="s">
        <v>110</v>
      </c>
      <c r="E482" s="300" t="s">
        <v>370</v>
      </c>
      <c r="F482" s="300" t="s">
        <v>1761</v>
      </c>
      <c r="H482" s="308"/>
    </row>
    <row ht="15" r="483" spans="1:8" s="204" customFormat="1">
      <c r="A483" s="92" t="str">
        <v>MSE 363,ED3-METE</v>
      </c>
      <c r="B483" s="307" t="s">
        <v>494</v>
      </c>
      <c r="C483" s="300">
        <v>87</v>
      </c>
      <c r="D483" s="287" t="str">
        <f>D482</f>
        <v>ED3-METE</v>
      </c>
      <c r="E483" s="300" t="s">
        <v>342</v>
      </c>
      <c r="F483" s="300" t="s">
        <v>1742</v>
      </c>
      <c r="H483" s="308"/>
    </row>
    <row ht="15" r="484" spans="1:8" s="204" customFormat="1">
      <c r="A484" s="92" t="str">
        <v>METE 351,ED3-METE</v>
      </c>
      <c r="B484" s="307" t="s">
        <v>496</v>
      </c>
      <c r="C484" s="300">
        <v>87</v>
      </c>
      <c r="D484" s="287" t="str">
        <f>D483</f>
        <v>ED3-METE</v>
      </c>
      <c r="E484" s="300" t="s">
        <v>194</v>
      </c>
      <c r="F484" s="306" t="s">
        <v>1762</v>
      </c>
    </row>
    <row ht="15.75" r="485" spans="1:8" s="204" customFormat="1">
      <c r="A485" s="92" t="str">
        <v>METE 353,ED3-METE</v>
      </c>
      <c r="B485" s="309" t="s">
        <v>1930</v>
      </c>
      <c r="C485" s="300">
        <v>87</v>
      </c>
      <c r="D485" s="287" t="str">
        <f>D484</f>
        <v>ED3-METE</v>
      </c>
      <c r="E485" s="287" t="s">
        <v>341</v>
      </c>
      <c r="F485" s="300" t="s">
        <v>1625</v>
      </c>
      <c r="H485" s="308"/>
    </row>
    <row ht="15" r="486" spans="1:8" s="204" customFormat="1">
      <c r="A486" s="92" t="str">
        <v>MSE 353,ED3-METE</v>
      </c>
      <c r="B486" s="307" t="s">
        <v>1927</v>
      </c>
      <c r="C486" s="300">
        <v>87</v>
      </c>
      <c r="D486" s="287" t="str">
        <f>D484</f>
        <v>ED3-METE</v>
      </c>
      <c r="E486" s="300" t="s">
        <v>184</v>
      </c>
      <c r="F486" s="300" t="s">
        <v>1737</v>
      </c>
      <c r="H486" s="308"/>
    </row>
    <row ht="15" r="487" spans="1:8" s="204" customFormat="1">
      <c r="A487" s="92" t="str">
        <v>MSE 357,ED3-METE</v>
      </c>
      <c r="B487" s="307" t="s">
        <v>1929</v>
      </c>
      <c r="C487" s="300">
        <v>87</v>
      </c>
      <c r="D487" s="287" t="str">
        <f>D486</f>
        <v>ED3-METE</v>
      </c>
      <c r="E487" s="300" t="s">
        <v>128</v>
      </c>
      <c r="F487" s="300" t="s">
        <v>1739</v>
      </c>
      <c r="H487" s="308"/>
    </row>
    <row ht="15" r="488" spans="1:8" s="204" customFormat="1">
      <c r="A488" s="92" t="str">
        <v>SOC 255,ED3-METE</v>
      </c>
      <c r="B488" s="307" t="s">
        <v>1935</v>
      </c>
      <c r="C488" s="300">
        <v>87</v>
      </c>
      <c r="D488" s="287" t="str">
        <f>D487</f>
        <v>ED3-METE</v>
      </c>
      <c r="E488" s="300" t="s">
        <v>450</v>
      </c>
      <c r="F488" s="300" t="s">
        <v>1481</v>
      </c>
      <c r="H488" s="308"/>
    </row>
    <row ht="15" r="489" spans="1:8" s="204" customFormat="1">
      <c r="A489" s="92" t="str">
        <v>STAT 253,ED3-METE</v>
      </c>
      <c r="B489" s="307" t="s">
        <v>1931</v>
      </c>
      <c r="C489" s="300">
        <v>87</v>
      </c>
      <c r="D489" s="287" t="str">
        <f>D488</f>
        <v>ED3-METE</v>
      </c>
      <c r="E489" s="300" t="s">
        <v>371</v>
      </c>
      <c r="F489" s="300" t="s">
        <v>462</v>
      </c>
      <c r="H489" s="308"/>
    </row>
    <row ht="15" r="490" spans="1:8" s="204" customFormat="1">
      <c r="A490" s="92" t="str">
        <v>ME 491,ED4-METE</v>
      </c>
      <c r="B490" s="307" t="s">
        <v>1825</v>
      </c>
      <c r="C490" s="300">
        <v>53</v>
      </c>
      <c r="D490" s="287" t="s">
        <v>62</v>
      </c>
      <c r="E490" s="300" t="s">
        <v>244</v>
      </c>
      <c r="F490" s="300" t="s">
        <v>1585</v>
      </c>
      <c r="H490" s="308"/>
    </row>
    <row ht="15" r="491" spans="1:8" s="204" customFormat="1">
      <c r="A491" s="92" t="str">
        <v>METE 451,ED4-METE</v>
      </c>
      <c r="B491" s="307" t="s">
        <v>496</v>
      </c>
      <c r="C491" s="300">
        <v>53</v>
      </c>
      <c r="D491" s="287" t="str">
        <f>D490</f>
        <v>ED4-METE</v>
      </c>
      <c r="E491" s="300" t="s">
        <v>150</v>
      </c>
      <c r="F491" s="300" t="s">
        <v>1763</v>
      </c>
      <c r="H491" s="308"/>
    </row>
    <row ht="15" r="492" spans="1:8" s="204" customFormat="1">
      <c r="A492" s="92" t="str">
        <v>METE 453,ED4-METE</v>
      </c>
      <c r="B492" s="307" t="s">
        <v>494</v>
      </c>
      <c r="C492" s="300">
        <v>53</v>
      </c>
      <c r="D492" s="287" t="str">
        <f>D491</f>
        <v>ED4-METE</v>
      </c>
      <c r="E492" s="300" t="s">
        <v>90</v>
      </c>
      <c r="F492" s="300" t="s">
        <v>1764</v>
      </c>
      <c r="H492" s="308"/>
    </row>
    <row ht="15" r="493" spans="1:8" s="204" customFormat="1">
      <c r="A493" s="92" t="str">
        <v>METE 455,ED4-METE</v>
      </c>
      <c r="B493" s="307" t="s">
        <v>495</v>
      </c>
      <c r="C493" s="300">
        <v>53</v>
      </c>
      <c r="D493" s="287" t="str">
        <f>D492</f>
        <v>ED4-METE</v>
      </c>
      <c r="E493" s="300" t="s">
        <v>1527</v>
      </c>
      <c r="F493" s="300" t="s">
        <v>1765</v>
      </c>
      <c r="H493" s="308"/>
    </row>
    <row ht="15" r="494" spans="1:8" s="204" customFormat="1">
      <c r="A494" s="92" t="str">
        <v>METE 457,ED4-METE</v>
      </c>
      <c r="B494" s="307" t="s">
        <v>1928</v>
      </c>
      <c r="C494" s="300">
        <v>53</v>
      </c>
      <c r="D494" s="287" t="str">
        <f>D493</f>
        <v>ED4-METE</v>
      </c>
      <c r="E494" s="300" t="s">
        <v>61</v>
      </c>
      <c r="F494" s="300" t="s">
        <v>1744</v>
      </c>
      <c r="H494" s="308"/>
    </row>
    <row ht="15" r="495" spans="1:8" s="204" customFormat="1">
      <c r="A495" s="92" t="str">
        <v>METE 497,ED4-METE</v>
      </c>
      <c r="B495" s="307" t="s">
        <v>495</v>
      </c>
      <c r="C495" s="300">
        <v>53</v>
      </c>
      <c r="D495" s="287" t="str">
        <f>D494</f>
        <v>ED4-METE</v>
      </c>
      <c r="E495" s="300" t="s">
        <v>1528</v>
      </c>
      <c r="F495" s="300" t="s">
        <v>1747</v>
      </c>
      <c r="H495" s="308"/>
    </row>
    <row r="496" spans="1:8" s="204" customFormat="1">
      <c r="A496" s="92" t="str">
        <v>MSE 457,ED4-METE</v>
      </c>
      <c r="B496" s="307" t="s">
        <v>493</v>
      </c>
      <c r="C496" s="300">
        <v>53</v>
      </c>
      <c r="D496" s="287" t="str">
        <f>D495</f>
        <v>ED4-METE</v>
      </c>
      <c r="E496" s="300" t="s">
        <v>206</v>
      </c>
      <c r="F496" s="287" t="s">
        <v>1766</v>
      </c>
    </row>
    <row ht="15" customHeight="1" r="497" spans="1:6" s="204" customFormat="1">
      <c r="A497" s="285" t="str">
        <v>CHE 151,ED1-PCE</v>
      </c>
      <c r="B497" s="298" t="s">
        <v>1855</v>
      </c>
      <c r="C497" s="299">
        <v>56</v>
      </c>
      <c r="D497" s="299" t="s">
        <v>30</v>
      </c>
      <c r="E497" s="299" t="s">
        <v>134</v>
      </c>
      <c r="F497" s="299" t="s">
        <v>1607</v>
      </c>
    </row>
    <row r="498" spans="1:6" s="204" customFormat="1">
      <c r="A498" s="285" t="str">
        <v>CHE 153,ED1-PCE</v>
      </c>
      <c r="B498" s="298" t="s">
        <v>1856</v>
      </c>
      <c r="C498" s="299">
        <v>58</v>
      </c>
      <c r="D498" s="299" t="str">
        <f>D497</f>
        <v>ED1-PCE</v>
      </c>
      <c r="E498" s="299" t="s">
        <v>91</v>
      </c>
      <c r="F498" s="299" t="s">
        <v>1608</v>
      </c>
    </row>
    <row r="499" spans="1:6" s="204" customFormat="1">
      <c r="A499" s="285" t="str">
        <v>CHEM 169,ED1-PCE</v>
      </c>
      <c r="B499" s="298" t="s">
        <v>1855</v>
      </c>
      <c r="C499" s="299">
        <v>56</v>
      </c>
      <c r="D499" s="299" t="str">
        <f>D498</f>
        <v>ED1-PCE</v>
      </c>
      <c r="E499" s="299" t="s">
        <v>263</v>
      </c>
      <c r="F499" s="299" t="s">
        <v>1609</v>
      </c>
    </row>
    <row r="500" spans="1:6" s="204" customFormat="1">
      <c r="A500" s="285" t="str">
        <v>EE 151,ED1-PCE</v>
      </c>
      <c r="B500" s="298" t="s">
        <v>1952</v>
      </c>
      <c r="C500" s="299">
        <v>58</v>
      </c>
      <c r="D500" s="299" t="str">
        <f>D499</f>
        <v>ED1-PCE</v>
      </c>
      <c r="E500" s="299" t="s">
        <v>229</v>
      </c>
      <c r="F500" s="299" t="s">
        <v>474</v>
      </c>
    </row>
    <row r="501" spans="1:6" s="204" customFormat="1">
      <c r="A501" s="285" t="str">
        <v>ENGL 157,ED1-PCE</v>
      </c>
      <c r="B501" s="298" t="s">
        <v>519</v>
      </c>
      <c r="C501" s="299">
        <v>56</v>
      </c>
      <c r="D501" s="299" t="str">
        <f>D500</f>
        <v>ED1-PCE</v>
      </c>
      <c r="E501" s="299" t="s">
        <v>0</v>
      </c>
      <c r="F501" s="299" t="s">
        <v>473</v>
      </c>
    </row>
    <row r="502" spans="1:6" s="204" customFormat="1">
      <c r="A502" s="285" t="str">
        <v>MATH 151,ED1-PCE</v>
      </c>
      <c r="B502" s="298" t="s">
        <v>509</v>
      </c>
      <c r="C502" s="299">
        <v>56</v>
      </c>
      <c r="D502" s="299" t="str">
        <f>D501</f>
        <v>ED1-PCE</v>
      </c>
      <c r="E502" s="299" t="s">
        <v>65</v>
      </c>
      <c r="F502" s="299" t="s">
        <v>472</v>
      </c>
    </row>
    <row r="503" spans="1:6" s="204" customFormat="1">
      <c r="A503" s="285" t="str">
        <v>ME 159,ED1-PCE</v>
      </c>
      <c r="B503" s="298" t="s">
        <v>1831</v>
      </c>
      <c r="C503" s="299">
        <v>56</v>
      </c>
      <c r="D503" s="299" t="str">
        <f>D502</f>
        <v>ED1-PCE</v>
      </c>
      <c r="E503" s="299" t="s">
        <v>160</v>
      </c>
      <c r="F503" s="299" t="s">
        <v>471</v>
      </c>
    </row>
    <row r="504" spans="1:6" s="204" customFormat="1">
      <c r="A504" s="285" t="str">
        <v>CENG 291,ED2-PCE</v>
      </c>
      <c r="B504" s="298" t="s">
        <v>1936</v>
      </c>
      <c r="C504" s="299">
        <v>65</v>
      </c>
      <c r="D504" s="299" t="s">
        <v>40</v>
      </c>
      <c r="E504" s="299" t="s">
        <v>258</v>
      </c>
      <c r="F504" s="299" t="s">
        <v>468</v>
      </c>
    </row>
    <row r="505" spans="1:6" s="204" customFormat="1">
      <c r="A505" s="285" t="str">
        <v>CHE 257,ED2-PCE</v>
      </c>
      <c r="B505" s="298" t="s">
        <v>1858</v>
      </c>
      <c r="C505" s="299">
        <v>65</v>
      </c>
      <c r="D505" s="299" t="str">
        <f>D504</f>
        <v>ED2-PCE</v>
      </c>
      <c r="E505" s="299" t="s">
        <v>163</v>
      </c>
      <c r="F505" s="299" t="s">
        <v>489</v>
      </c>
    </row>
    <row r="506" spans="1:6" s="204" customFormat="1">
      <c r="A506" s="285" t="str">
        <v>CHE 251,ED2-PCE</v>
      </c>
      <c r="B506" s="298" t="s">
        <v>1867</v>
      </c>
      <c r="C506" s="299">
        <v>65</v>
      </c>
      <c r="D506" s="299" t="str">
        <f>D505</f>
        <v>ED2-PCE</v>
      </c>
      <c r="E506" s="299" t="s">
        <v>221</v>
      </c>
      <c r="F506" s="299" t="s">
        <v>491</v>
      </c>
    </row>
    <row r="507" spans="1:6" s="204" customFormat="1">
      <c r="A507" s="285" t="str">
        <v>CHE 253,ED2-PCE</v>
      </c>
      <c r="B507" s="298" t="s">
        <v>1937</v>
      </c>
      <c r="C507" s="299">
        <v>65</v>
      </c>
      <c r="D507" s="299" t="str">
        <f>D506</f>
        <v>ED2-PCE</v>
      </c>
      <c r="E507" s="299" t="s">
        <v>201</v>
      </c>
      <c r="F507" s="299" t="s">
        <v>490</v>
      </c>
    </row>
    <row r="508" spans="1:6" s="204" customFormat="1">
      <c r="A508" s="285" t="str">
        <v>PCE 253,ED2-PCE</v>
      </c>
      <c r="B508" s="298" t="s">
        <v>482</v>
      </c>
      <c r="C508" s="299">
        <v>65</v>
      </c>
      <c r="D508" s="299" t="str">
        <f>D507</f>
        <v>ED2-PCE</v>
      </c>
      <c r="E508" s="299" t="s">
        <v>126</v>
      </c>
      <c r="F508" s="299" t="s">
        <v>1767</v>
      </c>
    </row>
    <row r="509" spans="1:6" s="204" customFormat="1">
      <c r="A509" s="285" t="str">
        <v>CHE 255,ED2-PCE</v>
      </c>
      <c r="B509" s="298" t="s">
        <v>1937</v>
      </c>
      <c r="C509" s="299">
        <v>67</v>
      </c>
      <c r="D509" s="299" t="str">
        <f>D508</f>
        <v>ED2-PCE</v>
      </c>
      <c r="E509" s="299" t="s">
        <v>38</v>
      </c>
      <c r="F509" s="299" t="s">
        <v>492</v>
      </c>
    </row>
    <row r="510" spans="1:6" s="204" customFormat="1">
      <c r="A510" s="285" t="str">
        <v>CHE 261,ED2-PCE</v>
      </c>
      <c r="B510" s="298" t="s">
        <v>1863</v>
      </c>
      <c r="C510" s="299">
        <v>65</v>
      </c>
      <c r="D510" s="299" t="str">
        <f>D509</f>
        <v>ED2-PCE</v>
      </c>
      <c r="E510" s="299" t="s">
        <v>213</v>
      </c>
      <c r="F510" s="299" t="s">
        <v>488</v>
      </c>
    </row>
    <row r="511" spans="1:6" s="204" customFormat="1">
      <c r="A511" s="285" t="str">
        <v>MATH 251,ED2-PCE</v>
      </c>
      <c r="B511" s="298" t="s">
        <v>487</v>
      </c>
      <c r="C511" s="299">
        <v>65</v>
      </c>
      <c r="D511" s="299" t="str">
        <f>D510</f>
        <v>ED2-PCE</v>
      </c>
      <c r="E511" s="299" t="s">
        <v>140</v>
      </c>
      <c r="F511" s="299" t="s">
        <v>465</v>
      </c>
    </row>
    <row r="512" spans="1:6" s="204" customFormat="1">
      <c r="A512" s="285" t="str">
        <v>CHE 365,ED3-PCE</v>
      </c>
      <c r="B512" s="298" t="s">
        <v>1865</v>
      </c>
      <c r="C512" s="299">
        <v>51</v>
      </c>
      <c r="D512" s="299" t="s">
        <v>46</v>
      </c>
      <c r="E512" s="299" t="s">
        <v>268</v>
      </c>
      <c r="F512" s="299" t="s">
        <v>1768</v>
      </c>
    </row>
    <row r="513" spans="1:6" s="204" customFormat="1">
      <c r="A513" s="285" t="str">
        <v>ECON 151,ED3-PCE</v>
      </c>
      <c r="B513" s="298" t="s">
        <v>467</v>
      </c>
      <c r="C513" s="299">
        <v>28</v>
      </c>
      <c r="D513" s="299" t="str">
        <f>D512</f>
        <v>ED3-PCE</v>
      </c>
      <c r="E513" s="299" t="s">
        <v>177</v>
      </c>
      <c r="F513" s="299" t="s">
        <v>1595</v>
      </c>
    </row>
    <row r="514" spans="1:6" s="204" customFormat="1">
      <c r="A514" s="285" t="str">
        <v>FC 181,ED3-PCE</v>
      </c>
      <c r="B514" s="298" t="s">
        <v>1866</v>
      </c>
      <c r="C514" s="299">
        <v>23</v>
      </c>
      <c r="D514" s="299" t="str">
        <f>D513</f>
        <v>ED3-PCE</v>
      </c>
      <c r="E514" s="299" t="s">
        <v>246</v>
      </c>
      <c r="F514" s="299" t="s">
        <v>1596</v>
      </c>
    </row>
    <row r="515" spans="1:6" s="208" customFormat="1">
      <c r="A515" s="310" t="str">
        <v>PCE 355,ED3-PCE</v>
      </c>
      <c r="B515" s="311" t="s">
        <v>1860</v>
      </c>
      <c r="C515" s="303">
        <v>51</v>
      </c>
      <c r="D515" s="303" t="str">
        <f>D514</f>
        <v>ED3-PCE</v>
      </c>
      <c r="E515" s="303" t="s">
        <v>218</v>
      </c>
      <c r="F515" s="303" t="s">
        <v>1769</v>
      </c>
    </row>
    <row r="516" spans="1:6" s="204" customFormat="1">
      <c r="A516" s="285" t="str">
        <v>PCE 359,ED3-PCE</v>
      </c>
      <c r="B516" s="298" t="s">
        <v>1938</v>
      </c>
      <c r="C516" s="299">
        <v>51</v>
      </c>
      <c r="D516" s="299" t="str">
        <f>D515</f>
        <v>ED3-PCE</v>
      </c>
      <c r="E516" s="299" t="s">
        <v>175</v>
      </c>
      <c r="F516" s="299" t="s">
        <v>1770</v>
      </c>
    </row>
    <row r="517" spans="1:6" s="204" customFormat="1">
      <c r="A517" s="285" t="str">
        <v>CHE 357,ED3-PCE</v>
      </c>
      <c r="B517" s="298" t="s">
        <v>1936</v>
      </c>
      <c r="C517" s="299">
        <v>51</v>
      </c>
      <c r="D517" s="299" t="str">
        <f>D516</f>
        <v>ED3-PCE</v>
      </c>
      <c r="E517" s="299" t="s">
        <v>141</v>
      </c>
      <c r="F517" s="299" t="s">
        <v>1610</v>
      </c>
    </row>
    <row r="518" spans="1:6" s="204" customFormat="1">
      <c r="A518" s="285" t="str">
        <v>PCE 351,ED3-PCE</v>
      </c>
      <c r="B518" s="298" t="s">
        <v>1937</v>
      </c>
      <c r="C518" s="299">
        <v>51</v>
      </c>
      <c r="D518" s="299" t="str">
        <f>D517</f>
        <v>ED3-PCE</v>
      </c>
      <c r="E518" s="299" t="s">
        <v>45</v>
      </c>
      <c r="F518" s="299" t="s">
        <v>1771</v>
      </c>
    </row>
    <row r="519" spans="1:6" s="204" customFormat="1">
      <c r="A519" s="285" t="str">
        <v>CHE 363,ED3-PCE</v>
      </c>
      <c r="B519" s="298" t="s">
        <v>1858</v>
      </c>
      <c r="C519" s="299">
        <v>51</v>
      </c>
      <c r="D519" s="299" t="str">
        <f>D518</f>
        <v>ED3-PCE</v>
      </c>
      <c r="E519" s="299" t="s">
        <v>203</v>
      </c>
      <c r="F519" s="299" t="s">
        <v>486</v>
      </c>
    </row>
    <row r="520" spans="1:6" s="204" customFormat="1">
      <c r="A520" s="285" t="str">
        <v>PCE 353,ED3-PCE</v>
      </c>
      <c r="B520" s="298" t="s">
        <v>1864</v>
      </c>
      <c r="C520" s="299">
        <v>51</v>
      </c>
      <c r="D520" s="299" t="str">
        <f>D519</f>
        <v>ED3-PCE</v>
      </c>
      <c r="E520" s="299" t="s">
        <v>260</v>
      </c>
      <c r="F520" s="299" t="s">
        <v>1772</v>
      </c>
    </row>
    <row r="521" spans="1:6" s="204" customFormat="1">
      <c r="A521" s="285" t="str">
        <v>PCE 357,ED3-PCE</v>
      </c>
      <c r="B521" s="298" t="s">
        <v>1864</v>
      </c>
      <c r="C521" s="299">
        <v>51</v>
      </c>
      <c r="D521" s="299" t="str">
        <f>D520</f>
        <v>ED3-PCE</v>
      </c>
      <c r="E521" s="299" t="s">
        <v>252</v>
      </c>
      <c r="F521" s="299" t="s">
        <v>1773</v>
      </c>
    </row>
    <row r="522" spans="1:6" s="204" customFormat="1">
      <c r="A522" s="285" t="str">
        <f>_xlfn.CONCAT(E522,",",D522)</f>
        <v>CHE 451,ED4-PCE</v>
      </c>
      <c r="B522" s="298" t="s">
        <v>483</v>
      </c>
      <c r="C522" s="299">
        <v>55</v>
      </c>
      <c r="D522" s="299" t="s">
        <v>79</v>
      </c>
      <c r="E522" s="299" t="s">
        <v>173</v>
      </c>
      <c r="F522" s="299" t="s">
        <v>1616</v>
      </c>
    </row>
    <row r="523" spans="1:6" s="204" customFormat="1">
      <c r="A523" s="285" t="str">
        <v>CHE 455,ED4-PCE</v>
      </c>
      <c r="B523" s="298" t="s">
        <v>482</v>
      </c>
      <c r="C523" s="299">
        <v>55</v>
      </c>
      <c r="D523" s="299" t="str">
        <f>D522</f>
        <v>ED4-PCE</v>
      </c>
      <c r="E523" s="299" t="s">
        <v>199</v>
      </c>
      <c r="F523" s="299" t="s">
        <v>1618</v>
      </c>
    </row>
    <row r="524" spans="1:6" s="204" customFormat="1">
      <c r="A524" s="285" t="str">
        <v>CHE 461,ED4-PCE</v>
      </c>
      <c r="B524" s="298" t="s">
        <v>1863</v>
      </c>
      <c r="C524" s="299">
        <v>8</v>
      </c>
      <c r="D524" s="299" t="str">
        <f>D523</f>
        <v>ED4-PCE</v>
      </c>
      <c r="E524" s="299" t="s">
        <v>77</v>
      </c>
      <c r="F524" s="299" t="s">
        <v>1621</v>
      </c>
    </row>
    <row r="525" spans="1:6" s="204" customFormat="1">
      <c r="A525" s="285" t="str">
        <v>CHE 463,ED4-PCE</v>
      </c>
      <c r="B525" s="298" t="s">
        <v>1861</v>
      </c>
      <c r="C525" s="299">
        <v>18</v>
      </c>
      <c r="D525" s="299" t="str">
        <f>D524</f>
        <v>ED4-PCE</v>
      </c>
      <c r="E525" s="299" t="s">
        <v>269</v>
      </c>
      <c r="F525" s="299" t="s">
        <v>484</v>
      </c>
    </row>
    <row r="526" spans="1:6" s="204" customFormat="1">
      <c r="A526" s="285" t="str">
        <v>CHE 471,ED4-PCE</v>
      </c>
      <c r="B526" s="298" t="s">
        <v>1939</v>
      </c>
      <c r="C526" s="299">
        <v>36</v>
      </c>
      <c r="D526" s="299" t="str">
        <f>D525</f>
        <v>ED4-PCE</v>
      </c>
      <c r="E526" s="299" t="s">
        <v>186</v>
      </c>
      <c r="F526" s="299" t="s">
        <v>1774</v>
      </c>
    </row>
    <row r="527" spans="1:6" s="204" customFormat="1">
      <c r="A527" s="285" t="str">
        <v>PCE 451,ED4-PCE</v>
      </c>
      <c r="B527" s="298" t="s">
        <v>482</v>
      </c>
      <c r="C527" s="299">
        <v>55</v>
      </c>
      <c r="D527" s="299" t="str">
        <f>D526</f>
        <v>ED4-PCE</v>
      </c>
      <c r="E527" s="299" t="s">
        <v>234</v>
      </c>
      <c r="F527" s="299" t="s">
        <v>1775</v>
      </c>
    </row>
    <row r="528" spans="1:6" s="204" customFormat="1">
      <c r="A528" s="285" t="str">
        <v>PCE 453,ED4-PCE</v>
      </c>
      <c r="B528" s="298" t="s">
        <v>483</v>
      </c>
      <c r="C528" s="299">
        <v>55</v>
      </c>
      <c r="D528" s="299" t="str">
        <f>D527</f>
        <v>ED4-PCE</v>
      </c>
      <c r="E528" s="299" t="s">
        <v>1529</v>
      </c>
      <c r="F528" s="299" t="s">
        <v>1544</v>
      </c>
    </row>
    <row r="529" spans="1:6" s="204" customFormat="1">
      <c r="A529" s="285" t="str">
        <v>PCE 455,ED4-PCE</v>
      </c>
      <c r="B529" s="298" t="s">
        <v>1936</v>
      </c>
      <c r="C529" s="299">
        <v>55</v>
      </c>
      <c r="D529" s="299" t="str">
        <f>D528</f>
        <v>ED4-PCE</v>
      </c>
      <c r="E529" s="299" t="s">
        <v>139</v>
      </c>
      <c r="F529" s="299" t="s">
        <v>1776</v>
      </c>
    </row>
    <row r="530" spans="1:6" s="204" customFormat="1">
      <c r="A530" s="285" t="str">
        <v>PCE 457,ED4-PCE</v>
      </c>
      <c r="B530" s="298" t="s">
        <v>1861</v>
      </c>
      <c r="C530" s="299">
        <v>55</v>
      </c>
      <c r="D530" s="299" t="str">
        <f>D529</f>
        <v>ED4-PCE</v>
      </c>
      <c r="E530" s="299" t="s">
        <v>176</v>
      </c>
      <c r="F530" s="299" t="s">
        <v>1777</v>
      </c>
    </row>
    <row r="531" spans="1:6">
      <c r="A531" s="285" t="str">
        <v>PCE 461,ED4-PCE</v>
      </c>
      <c r="B531" s="298" t="s">
        <v>1867</v>
      </c>
      <c r="C531" s="299">
        <v>45</v>
      </c>
      <c r="D531" s="299" t="str">
        <f>D530</f>
        <v>ED4-PCE</v>
      </c>
      <c r="E531" s="299" t="s">
        <v>321</v>
      </c>
      <c r="F531" s="299" t="s">
        <v>476</v>
      </c>
    </row>
    <row r="532" spans="1:6" s="204" customFormat="1">
      <c r="A532" s="285" t="str">
        <v>CHEM 169,ED1-PE</v>
      </c>
      <c r="B532" s="286" t="s">
        <v>1855</v>
      </c>
      <c r="C532" s="287">
        <v>130</v>
      </c>
      <c r="D532" s="287" t="s">
        <v>1467</v>
      </c>
      <c r="E532" s="287" t="s">
        <v>263</v>
      </c>
      <c r="F532" s="287" t="s">
        <v>1609</v>
      </c>
    </row>
    <row r="533" spans="1:6" s="204" customFormat="1">
      <c r="A533" s="285" t="str">
        <v>EE 151,ED1-PE</v>
      </c>
      <c r="B533" s="286" t="s">
        <v>1894</v>
      </c>
      <c r="C533" s="287">
        <v>130</v>
      </c>
      <c r="D533" s="287" t="str">
        <f>D532</f>
        <v>ED1-PE</v>
      </c>
      <c r="E533" s="287" t="s">
        <v>229</v>
      </c>
      <c r="F533" s="287" t="s">
        <v>474</v>
      </c>
    </row>
    <row r="534" spans="1:6" s="204" customFormat="1">
      <c r="A534" s="285" t="str">
        <v>ENGL 157,ED1-PE</v>
      </c>
      <c r="B534" s="286" t="s">
        <v>1848</v>
      </c>
      <c r="C534" s="287">
        <v>130</v>
      </c>
      <c r="D534" s="287" t="str">
        <f>D533</f>
        <v>ED1-PE</v>
      </c>
      <c r="E534" s="287" t="s">
        <v>0</v>
      </c>
      <c r="F534" s="287" t="s">
        <v>473</v>
      </c>
    </row>
    <row r="535" spans="1:6" s="204" customFormat="1">
      <c r="A535" s="285" t="str">
        <v>MATH 151,ED1-PE</v>
      </c>
      <c r="B535" s="286" t="s">
        <v>1882</v>
      </c>
      <c r="C535" s="287">
        <v>130</v>
      </c>
      <c r="D535" s="287" t="str">
        <f>D534</f>
        <v>ED1-PE</v>
      </c>
      <c r="E535" s="287" t="s">
        <v>65</v>
      </c>
      <c r="F535" s="287" t="s">
        <v>472</v>
      </c>
    </row>
    <row r="536" spans="1:6" s="204" customFormat="1">
      <c r="A536" s="285" t="str">
        <v>ME 159,ED1-PE</v>
      </c>
      <c r="B536" s="286" t="s">
        <v>470</v>
      </c>
      <c r="C536" s="287">
        <v>130</v>
      </c>
      <c r="D536" s="287" t="str">
        <f>D535</f>
        <v>ED1-PE</v>
      </c>
      <c r="E536" s="287" t="s">
        <v>160</v>
      </c>
      <c r="F536" s="287" t="s">
        <v>471</v>
      </c>
    </row>
    <row r="537" spans="1:6" s="204" customFormat="1">
      <c r="A537" s="285" t="str">
        <v>PE 151,ED1-PE</v>
      </c>
      <c r="B537" s="286" t="s">
        <v>1855</v>
      </c>
      <c r="C537" s="287">
        <v>130</v>
      </c>
      <c r="D537" s="287" t="str">
        <f>D536</f>
        <v>ED1-PE</v>
      </c>
      <c r="E537" s="287" t="s">
        <v>304</v>
      </c>
      <c r="F537" s="287" t="s">
        <v>1607</v>
      </c>
    </row>
    <row r="538" spans="1:6" s="204" customFormat="1">
      <c r="A538" s="285" t="str">
        <v>PE 153,ED1-PE</v>
      </c>
      <c r="B538" s="286" t="s">
        <v>1856</v>
      </c>
      <c r="C538" s="287">
        <v>130</v>
      </c>
      <c r="D538" s="287" t="str">
        <f>D537</f>
        <v>ED1-PE</v>
      </c>
      <c r="E538" s="287" t="s">
        <v>305</v>
      </c>
      <c r="F538" s="287" t="s">
        <v>1608</v>
      </c>
    </row>
    <row r="539" spans="1:6" s="204" customFormat="1">
      <c r="A539" s="285" t="str">
        <v>PE 155,ED1-PE</v>
      </c>
      <c r="B539" s="286" t="s">
        <v>1940</v>
      </c>
      <c r="C539" s="287">
        <v>130</v>
      </c>
      <c r="D539" s="287" t="str">
        <f>D538</f>
        <v>ED1-PE</v>
      </c>
      <c r="E539" s="287" t="s">
        <v>306</v>
      </c>
      <c r="F539" s="287" t="s">
        <v>481</v>
      </c>
    </row>
    <row r="540" spans="1:6" s="204" customFormat="1">
      <c r="A540" s="285" t="str">
        <v>CENG 291,ED2-PE</v>
      </c>
      <c r="B540" s="286" t="s">
        <v>1941</v>
      </c>
      <c r="C540" s="287">
        <v>95</v>
      </c>
      <c r="D540" s="287" t="s">
        <v>1468</v>
      </c>
      <c r="E540" s="287" t="s">
        <v>258</v>
      </c>
      <c r="F540" s="287" t="s">
        <v>468</v>
      </c>
    </row>
    <row r="541" spans="1:6" s="204" customFormat="1">
      <c r="A541" s="285" t="str">
        <v>MATH 251,ED2-PE</v>
      </c>
      <c r="B541" s="286" t="s">
        <v>487</v>
      </c>
      <c r="C541" s="287">
        <v>95</v>
      </c>
      <c r="D541" s="287" t="str">
        <f>D540</f>
        <v>ED2-PE</v>
      </c>
      <c r="E541" s="287" t="s">
        <v>140</v>
      </c>
      <c r="F541" s="287" t="s">
        <v>465</v>
      </c>
    </row>
    <row r="542" spans="1:6" s="204" customFormat="1">
      <c r="A542" s="285" t="str">
        <v>ME 255,ED2-PE</v>
      </c>
      <c r="B542" s="286" t="s">
        <v>1843</v>
      </c>
      <c r="C542" s="287">
        <v>95</v>
      </c>
      <c r="D542" s="287" t="str">
        <f>D541</f>
        <v>ED2-PE</v>
      </c>
      <c r="E542" s="287" t="s">
        <v>193</v>
      </c>
      <c r="F542" s="287" t="s">
        <v>480</v>
      </c>
    </row>
    <row r="543" spans="1:6" s="204" customFormat="1">
      <c r="A543" s="285" t="str">
        <v>PE 251,ED2-PE</v>
      </c>
      <c r="B543" s="286" t="s">
        <v>1938</v>
      </c>
      <c r="C543" s="287">
        <v>95</v>
      </c>
      <c r="D543" s="287" t="str">
        <f>D542</f>
        <v>ED2-PE</v>
      </c>
      <c r="E543" s="287" t="s">
        <v>303</v>
      </c>
      <c r="F543" s="287" t="s">
        <v>1778</v>
      </c>
    </row>
    <row r="544" spans="1:6" s="204" customFormat="1">
      <c r="A544" s="285" t="str">
        <v>PE 253,ED2-PE</v>
      </c>
      <c r="B544" s="286" t="s">
        <v>477</v>
      </c>
      <c r="C544" s="287">
        <v>95</v>
      </c>
      <c r="D544" s="287" t="str">
        <f>D543</f>
        <v>ED2-PE</v>
      </c>
      <c r="E544" s="287" t="s">
        <v>300</v>
      </c>
      <c r="F544" s="287" t="s">
        <v>1672</v>
      </c>
    </row>
    <row r="545" spans="1:6" s="204" customFormat="1">
      <c r="A545" s="285" t="str">
        <v>PE 255,ED2-PE</v>
      </c>
      <c r="B545" s="286" t="s">
        <v>1942</v>
      </c>
      <c r="C545" s="287">
        <v>95</v>
      </c>
      <c r="D545" s="287" t="str">
        <f>D544</f>
        <v>ED2-PE</v>
      </c>
      <c r="E545" s="287" t="s">
        <v>299</v>
      </c>
      <c r="F545" s="287" t="s">
        <v>1779</v>
      </c>
    </row>
    <row r="546" spans="1:6" s="204" customFormat="1">
      <c r="A546" s="285" t="str">
        <v>PE 257,ED2-PE</v>
      </c>
      <c r="B546" s="286" t="s">
        <v>1940</v>
      </c>
      <c r="C546" s="287">
        <v>95</v>
      </c>
      <c r="D546" s="287" t="str">
        <f>D545</f>
        <v>ED2-PE</v>
      </c>
      <c r="E546" s="287" t="s">
        <v>302</v>
      </c>
      <c r="F546" s="287" t="s">
        <v>1780</v>
      </c>
    </row>
    <row r="547" spans="1:6" s="204" customFormat="1">
      <c r="A547" s="285" t="str">
        <v>PE 259,ED2-PE</v>
      </c>
      <c r="B547" s="286" t="s">
        <v>1943</v>
      </c>
      <c r="C547" s="287">
        <v>95</v>
      </c>
      <c r="D547" s="287" t="str">
        <f>D546</f>
        <v>ED2-PE</v>
      </c>
      <c r="E547" s="287" t="s">
        <v>301</v>
      </c>
      <c r="F547" s="287" t="s">
        <v>1781</v>
      </c>
    </row>
    <row r="548" spans="1:6" s="204" customFormat="1">
      <c r="A548" s="285" t="str">
        <v>PE 351,ED3-PE</v>
      </c>
      <c r="B548" s="286" t="s">
        <v>1941</v>
      </c>
      <c r="C548" s="287">
        <v>80</v>
      </c>
      <c r="D548" s="287" t="s">
        <v>1469</v>
      </c>
      <c r="E548" s="287" t="s">
        <v>339</v>
      </c>
      <c r="F548" s="287" t="s">
        <v>1782</v>
      </c>
    </row>
    <row r="549" spans="1:6" s="204" customFormat="1">
      <c r="A549" s="285" t="str">
        <v>PE 353,ED3-PE</v>
      </c>
      <c r="B549" s="286" t="s">
        <v>1942</v>
      </c>
      <c r="C549" s="287">
        <v>80</v>
      </c>
      <c r="D549" s="287" t="str">
        <f>D548</f>
        <v>ED3-PE</v>
      </c>
      <c r="E549" s="287" t="s">
        <v>338</v>
      </c>
      <c r="F549" s="287" t="s">
        <v>1783</v>
      </c>
    </row>
    <row r="550" spans="1:6" s="204" customFormat="1">
      <c r="A550" s="285" t="str">
        <v>PE 355,ED3-PE</v>
      </c>
      <c r="B550" s="286" t="s">
        <v>1938</v>
      </c>
      <c r="C550" s="287">
        <v>80</v>
      </c>
      <c r="D550" s="287" t="str">
        <f>D549</f>
        <v>ED3-PE</v>
      </c>
      <c r="E550" s="287" t="s">
        <v>335</v>
      </c>
      <c r="F550" s="287" t="s">
        <v>1784</v>
      </c>
    </row>
    <row r="551" spans="1:6" s="204" customFormat="1">
      <c r="A551" s="285" t="str">
        <v>PE 357,ED3-PE</v>
      </c>
      <c r="B551" s="286" t="s">
        <v>1944</v>
      </c>
      <c r="C551" s="287">
        <v>80</v>
      </c>
      <c r="D551" s="287" t="str">
        <f>D550</f>
        <v>ED3-PE</v>
      </c>
      <c r="E551" s="287" t="s">
        <v>340</v>
      </c>
      <c r="F551" s="287" t="s">
        <v>1785</v>
      </c>
    </row>
    <row r="552" spans="1:6" s="204" customFormat="1">
      <c r="A552" s="285" t="str">
        <v>PE 359,ED3-PE</v>
      </c>
      <c r="B552" s="286" t="s">
        <v>1941</v>
      </c>
      <c r="C552" s="287">
        <v>80</v>
      </c>
      <c r="D552" s="287" t="str">
        <f>D551</f>
        <v>ED3-PE</v>
      </c>
      <c r="E552" s="287" t="s">
        <v>334</v>
      </c>
      <c r="F552" s="287" t="s">
        <v>1786</v>
      </c>
    </row>
    <row r="553" spans="1:6" s="204" customFormat="1">
      <c r="A553" s="285" t="str">
        <v>PE 361,ED3-PE</v>
      </c>
      <c r="B553" s="286" t="s">
        <v>1938</v>
      </c>
      <c r="C553" s="287">
        <v>80</v>
      </c>
      <c r="D553" s="287" t="str">
        <f>D552</f>
        <v>ED3-PE</v>
      </c>
      <c r="E553" s="287" t="s">
        <v>336</v>
      </c>
      <c r="F553" s="287" t="s">
        <v>1787</v>
      </c>
    </row>
    <row r="554" spans="1:6" s="204" customFormat="1">
      <c r="A554" s="285" t="str">
        <v>PE 363,ED3-PE</v>
      </c>
      <c r="B554" s="286" t="s">
        <v>1945</v>
      </c>
      <c r="C554" s="287">
        <v>80</v>
      </c>
      <c r="D554" s="287" t="str">
        <f>D553</f>
        <v>ED3-PE</v>
      </c>
      <c r="E554" s="287" t="s">
        <v>333</v>
      </c>
      <c r="F554" s="287" t="s">
        <v>1788</v>
      </c>
    </row>
    <row r="555" spans="1:6" s="204" customFormat="1">
      <c r="A555" s="285" t="str">
        <v>PE 367,ED3-PE</v>
      </c>
      <c r="B555" s="286" t="s">
        <v>1942</v>
      </c>
      <c r="C555" s="287">
        <v>80</v>
      </c>
      <c r="D555" s="287" t="str">
        <f>D554</f>
        <v>ED3-PE</v>
      </c>
      <c r="E555" s="287" t="s">
        <v>337</v>
      </c>
      <c r="F555" s="287" t="s">
        <v>1789</v>
      </c>
    </row>
    <row r="556" spans="1:6" s="204" customFormat="1">
      <c r="A556" s="285" t="str">
        <v>PCE 461,ED4-PE</v>
      </c>
      <c r="B556" s="286" t="s">
        <v>1867</v>
      </c>
      <c r="C556" s="287">
        <v>3</v>
      </c>
      <c r="D556" s="287" t="s">
        <v>1470</v>
      </c>
      <c r="E556" s="287" t="s">
        <v>321</v>
      </c>
      <c r="F556" s="287" t="s">
        <v>476</v>
      </c>
    </row>
    <row r="557" spans="1:6" s="204" customFormat="1">
      <c r="A557" s="285" t="str">
        <v>PE 451,ED4-PE</v>
      </c>
      <c r="B557" s="286" t="s">
        <v>477</v>
      </c>
      <c r="C557" s="287">
        <v>103</v>
      </c>
      <c r="D557" s="287" t="str">
        <f>D556</f>
        <v>ED4-PE</v>
      </c>
      <c r="E557" s="287" t="s">
        <v>392</v>
      </c>
      <c r="F557" s="287" t="s">
        <v>1790</v>
      </c>
    </row>
    <row r="558" spans="1:6" s="204" customFormat="1">
      <c r="A558" s="285" t="str">
        <v>PE 453,ED4-PE</v>
      </c>
      <c r="B558" s="286" t="s">
        <v>1938</v>
      </c>
      <c r="C558" s="287">
        <v>103</v>
      </c>
      <c r="D558" s="287" t="str">
        <f>D557</f>
        <v>ED4-PE</v>
      </c>
      <c r="E558" s="287" t="s">
        <v>1530</v>
      </c>
      <c r="F558" s="287" t="s">
        <v>1791</v>
      </c>
    </row>
    <row r="559" spans="1:6" s="204" customFormat="1">
      <c r="A559" s="285" t="str">
        <v>PE 455,ED4-PE</v>
      </c>
      <c r="B559" s="286" t="s">
        <v>1946</v>
      </c>
      <c r="C559" s="287">
        <v>103</v>
      </c>
      <c r="D559" s="287" t="str">
        <f>D558</f>
        <v>ED4-PE</v>
      </c>
      <c r="E559" s="287" t="s">
        <v>387</v>
      </c>
      <c r="F559" s="287" t="s">
        <v>1792</v>
      </c>
    </row>
    <row r="560" spans="1:6" s="204" customFormat="1">
      <c r="A560" s="285" t="str">
        <v>PE 457,ED4-PE</v>
      </c>
      <c r="B560" s="286" t="s">
        <v>1941</v>
      </c>
      <c r="C560" s="287">
        <v>103</v>
      </c>
      <c r="D560" s="287" t="str">
        <f>D559</f>
        <v>ED4-PE</v>
      </c>
      <c r="E560" s="287" t="s">
        <v>1531</v>
      </c>
      <c r="F560" s="287" t="s">
        <v>1793</v>
      </c>
    </row>
    <row r="561" spans="1:6" s="204" customFormat="1">
      <c r="A561" s="285" t="str">
        <v>PE 459,ED4-PE</v>
      </c>
      <c r="B561" s="286" t="s">
        <v>1944</v>
      </c>
      <c r="C561" s="287">
        <v>103</v>
      </c>
      <c r="D561" s="287" t="str">
        <f>D560</f>
        <v>ED4-PE</v>
      </c>
      <c r="E561" s="287" t="s">
        <v>386</v>
      </c>
      <c r="F561" s="287" t="s">
        <v>1794</v>
      </c>
    </row>
    <row r="562" spans="1:6" s="204" customFormat="1">
      <c r="A562" s="285" t="str">
        <v>PE 465,ED4-PE</v>
      </c>
      <c r="B562" s="286" t="s">
        <v>1944</v>
      </c>
      <c r="C562" s="287">
        <v>103</v>
      </c>
      <c r="D562" s="287" t="str">
        <f>D561</f>
        <v>ED4-PE</v>
      </c>
      <c r="E562" s="287" t="s">
        <v>1532</v>
      </c>
      <c r="F562" s="287" t="s">
        <v>1795</v>
      </c>
    </row>
    <row r="563" spans="1:6" s="204" customFormat="1">
      <c r="A563" s="285" t="str">
        <v>PE 471,ED4-PE</v>
      </c>
      <c r="B563" s="286" t="s">
        <v>1942</v>
      </c>
      <c r="C563" s="287">
        <v>103</v>
      </c>
      <c r="D563" s="287" t="str">
        <f>D562</f>
        <v>ED4-PE</v>
      </c>
      <c r="E563" s="287" t="s">
        <v>1533</v>
      </c>
      <c r="F563" s="287" t="s">
        <v>1796</v>
      </c>
    </row>
    <row r="564" spans="1:6" s="204" customFormat="1">
      <c r="A564" s="285" t="str">
        <v>PE 473,ED4-PE</v>
      </c>
      <c r="B564" s="286" t="s">
        <v>477</v>
      </c>
      <c r="C564" s="287">
        <v>97</v>
      </c>
      <c r="D564" s="287" t="str">
        <f>D563</f>
        <v>ED4-PE</v>
      </c>
      <c r="E564" s="287" t="s">
        <v>393</v>
      </c>
      <c r="F564" s="287" t="s">
        <v>1797</v>
      </c>
    </row>
    <row r="565" spans="1:6" s="204" customFormat="1">
      <c r="A565" s="285" t="str">
        <v>CE 155,ED1-TEL</v>
      </c>
      <c r="B565" s="298" t="s">
        <v>1829</v>
      </c>
      <c r="C565" s="299">
        <v>130</v>
      </c>
      <c r="D565" s="299" t="s">
        <v>31</v>
      </c>
      <c r="E565" s="299" t="s">
        <v>155</v>
      </c>
      <c r="F565" s="299" t="s">
        <v>475</v>
      </c>
    </row>
    <row r="566" spans="1:6" s="204" customFormat="1">
      <c r="A566" s="285" t="str">
        <v>EE 151,ED1-TEL</v>
      </c>
      <c r="B566" s="298" t="s">
        <v>1947</v>
      </c>
      <c r="C566" s="299">
        <v>130</v>
      </c>
      <c r="D566" s="299" t="str">
        <f>D565</f>
        <v>ED1-TEL</v>
      </c>
      <c r="E566" s="299" t="s">
        <v>229</v>
      </c>
      <c r="F566" s="299" t="s">
        <v>474</v>
      </c>
    </row>
    <row r="567" spans="1:6" s="204" customFormat="1">
      <c r="A567" s="285" t="str">
        <v>EE 153,ED1-TEL</v>
      </c>
      <c r="B567" s="298" t="s">
        <v>522</v>
      </c>
      <c r="C567" s="299">
        <v>130</v>
      </c>
      <c r="D567" s="299" t="str">
        <f>D566</f>
        <v>ED1-TEL</v>
      </c>
      <c r="E567" s="299" t="s">
        <v>267</v>
      </c>
      <c r="F567" s="299" t="s">
        <v>1588</v>
      </c>
    </row>
    <row r="568" spans="1:6" s="204" customFormat="1">
      <c r="A568" s="285" t="str">
        <v>ENGL 157,ED1-TEL</v>
      </c>
      <c r="B568" s="298" t="s">
        <v>1848</v>
      </c>
      <c r="C568" s="299">
        <v>130</v>
      </c>
      <c r="D568" s="299" t="str">
        <f>D567</f>
        <v>ED1-TEL</v>
      </c>
      <c r="E568" s="299" t="s">
        <v>0</v>
      </c>
      <c r="F568" s="299" t="s">
        <v>473</v>
      </c>
    </row>
    <row r="569" spans="1:6" s="204" customFormat="1">
      <c r="A569" s="285" t="str">
        <v>ME 159,ED1-TEL</v>
      </c>
      <c r="B569" s="298" t="s">
        <v>1918</v>
      </c>
      <c r="C569" s="299">
        <v>130</v>
      </c>
      <c r="D569" s="299" t="str">
        <f>D568</f>
        <v>ED1-TEL</v>
      </c>
      <c r="E569" s="299" t="s">
        <v>160</v>
      </c>
      <c r="F569" s="299" t="s">
        <v>471</v>
      </c>
    </row>
    <row r="570" spans="1:6" s="204" customFormat="1">
      <c r="A570" s="285" t="str">
        <v>ME 161,ED1-TEL</v>
      </c>
      <c r="B570" s="298" t="s">
        <v>470</v>
      </c>
      <c r="C570" s="299">
        <v>130</v>
      </c>
      <c r="D570" s="299" t="str">
        <f>D569</f>
        <v>ED1-TEL</v>
      </c>
      <c r="E570" s="299" t="s">
        <v>154</v>
      </c>
      <c r="F570" s="299" t="s">
        <v>1589</v>
      </c>
    </row>
    <row r="571" spans="1:6" s="204" customFormat="1">
      <c r="A571" s="285" t="str">
        <v>MATH 151,ED1-TEL</v>
      </c>
      <c r="B571" s="298" t="s">
        <v>1948</v>
      </c>
      <c r="C571" s="299">
        <v>130</v>
      </c>
      <c r="D571" s="299" t="str">
        <f>D570</f>
        <v>ED1-TEL</v>
      </c>
      <c r="E571" s="299" t="s">
        <v>65</v>
      </c>
      <c r="F571" s="299" t="s">
        <v>472</v>
      </c>
    </row>
    <row r="572" spans="1:6" s="204" customFormat="1">
      <c r="A572" s="285" t="str">
        <v>ACF 255,ED2-TEL</v>
      </c>
      <c r="B572" s="298" t="s">
        <v>1849</v>
      </c>
      <c r="C572" s="299">
        <v>38</v>
      </c>
      <c r="D572" s="299" t="s">
        <v>99</v>
      </c>
      <c r="E572" s="299" t="s">
        <v>383</v>
      </c>
      <c r="F572" s="299" t="s">
        <v>1592</v>
      </c>
    </row>
    <row r="573" spans="1:6" s="204" customFormat="1">
      <c r="A573" s="285" t="str">
        <v>CENG 291,ED2-TEL</v>
      </c>
      <c r="B573" s="298" t="s">
        <v>1949</v>
      </c>
      <c r="C573" s="299">
        <v>175</v>
      </c>
      <c r="D573" s="299" t="str">
        <f>D572</f>
        <v>ED2-TEL</v>
      </c>
      <c r="E573" s="299" t="s">
        <v>258</v>
      </c>
      <c r="F573" s="299" t="s">
        <v>468</v>
      </c>
    </row>
    <row r="574" spans="1:6" s="204" customFormat="1">
      <c r="A574" s="285" t="str">
        <v>ECON 151,ED2-TEL</v>
      </c>
      <c r="B574" s="298" t="s">
        <v>467</v>
      </c>
      <c r="C574" s="299">
        <v>30</v>
      </c>
      <c r="D574" s="299" t="str">
        <f>D573</f>
        <v>ED2-TEL</v>
      </c>
      <c r="E574" s="299" t="s">
        <v>177</v>
      </c>
      <c r="F574" s="299" t="s">
        <v>1595</v>
      </c>
    </row>
    <row r="575" spans="1:6" s="204" customFormat="1">
      <c r="A575" s="285" t="str">
        <v>EE 287,ED2-TEL</v>
      </c>
      <c r="B575" s="298" t="s">
        <v>461</v>
      </c>
      <c r="C575" s="299">
        <v>175</v>
      </c>
      <c r="D575" s="299" t="str">
        <f>D574</f>
        <v>ED2-TEL</v>
      </c>
      <c r="E575" s="299" t="s">
        <v>97</v>
      </c>
      <c r="F575" s="299" t="s">
        <v>1798</v>
      </c>
    </row>
    <row r="576" spans="1:6" s="204" customFormat="1">
      <c r="A576" s="285" t="str">
        <v>MATH 251,ED2-TEL</v>
      </c>
      <c r="B576" s="298" t="s">
        <v>466</v>
      </c>
      <c r="C576" s="299">
        <v>175</v>
      </c>
      <c r="D576" s="299" t="str">
        <f>D575</f>
        <v>ED2-TEL</v>
      </c>
      <c r="E576" s="299" t="s">
        <v>140</v>
      </c>
      <c r="F576" s="299" t="s">
        <v>465</v>
      </c>
    </row>
    <row r="577" spans="1:6" s="204" customFormat="1">
      <c r="A577" s="285" t="str">
        <v>TE 251,ED2-TEL</v>
      </c>
      <c r="B577" s="298" t="s">
        <v>469</v>
      </c>
      <c r="C577" s="299">
        <v>175</v>
      </c>
      <c r="D577" s="299" t="str">
        <f>D576</f>
        <v>ED2-TEL</v>
      </c>
      <c r="E577" s="299" t="s">
        <v>430</v>
      </c>
      <c r="F577" s="299" t="s">
        <v>1667</v>
      </c>
    </row>
    <row r="578" spans="1:6" s="204" customFormat="1">
      <c r="A578" s="285" t="str">
        <v>TE 253,ED2-TEL</v>
      </c>
      <c r="B578" s="298" t="s">
        <v>1950</v>
      </c>
      <c r="C578" s="299">
        <v>175</v>
      </c>
      <c r="D578" s="299" t="str">
        <f>D577</f>
        <v>ED2-TEL</v>
      </c>
      <c r="E578" s="299" t="s">
        <v>432</v>
      </c>
      <c r="F578" s="299" t="s">
        <v>1799</v>
      </c>
    </row>
    <row r="579" spans="1:6" s="204" customFormat="1">
      <c r="A579" s="285" t="str">
        <v>TE 255,ED2-TEL</v>
      </c>
      <c r="B579" s="298" t="s">
        <v>1949</v>
      </c>
      <c r="C579" s="299">
        <v>175</v>
      </c>
      <c r="D579" s="299" t="str">
        <f>D578</f>
        <v>ED2-TEL</v>
      </c>
      <c r="E579" s="299" t="s">
        <v>433</v>
      </c>
      <c r="F579" s="299" t="s">
        <v>1800</v>
      </c>
    </row>
    <row r="580" spans="1:6" s="204" customFormat="1">
      <c r="A580" s="285" t="str">
        <v>TE 291,ED2-TEL</v>
      </c>
      <c r="B580" s="298" t="s">
        <v>469</v>
      </c>
      <c r="C580" s="299">
        <v>175</v>
      </c>
      <c r="D580" s="299" t="str">
        <f>D579</f>
        <v>ED2-TEL</v>
      </c>
      <c r="E580" s="299" t="s">
        <v>1534</v>
      </c>
      <c r="F580" s="299" t="s">
        <v>1801</v>
      </c>
    </row>
    <row r="581" spans="1:6">
      <c r="A581" s="285" t="str">
        <v>FC 181,ED2-TEL</v>
      </c>
      <c r="B581" s="298" t="s">
        <v>1926</v>
      </c>
      <c r="C581" s="299">
        <v>105</v>
      </c>
      <c r="D581" s="299" t="str">
        <f>D580</f>
        <v>ED2-TEL</v>
      </c>
      <c r="E581" s="299" t="s">
        <v>246</v>
      </c>
      <c r="F581" s="299" t="s">
        <v>1596</v>
      </c>
    </row>
    <row r="582" spans="1:6">
      <c r="A582" s="285" t="str">
        <v>EE 371,ED3-TEL</v>
      </c>
      <c r="B582" s="298" t="s">
        <v>464</v>
      </c>
      <c r="C582" s="299">
        <v>140</v>
      </c>
      <c r="D582" s="299" t="s">
        <v>54</v>
      </c>
      <c r="E582" s="299" t="s">
        <v>178</v>
      </c>
      <c r="F582" s="299" t="s">
        <v>1802</v>
      </c>
    </row>
    <row r="583" spans="1:6">
      <c r="A583" s="285" t="str">
        <v>MATH 351,ED3-TEL</v>
      </c>
      <c r="B583" s="298" t="s">
        <v>1893</v>
      </c>
      <c r="C583" s="299">
        <v>140</v>
      </c>
      <c r="D583" s="299" t="str">
        <f>D582</f>
        <v>ED3-TEL</v>
      </c>
      <c r="E583" s="299" t="s">
        <v>47</v>
      </c>
      <c r="F583" s="299" t="s">
        <v>463</v>
      </c>
    </row>
    <row r="584" spans="1:6">
      <c r="A584" s="285" t="str">
        <v>TE 351,ED3-TEL</v>
      </c>
      <c r="B584" s="298" t="s">
        <v>1950</v>
      </c>
      <c r="C584" s="299">
        <v>140</v>
      </c>
      <c r="D584" s="299" t="str">
        <f>D583</f>
        <v>ED3-TEL</v>
      </c>
      <c r="E584" s="299" t="s">
        <v>452</v>
      </c>
      <c r="F584" s="299" t="s">
        <v>1803</v>
      </c>
    </row>
    <row r="585" spans="1:6">
      <c r="A585" s="285" t="str">
        <v>TE 353,ED3-TEL</v>
      </c>
      <c r="B585" s="298" t="s">
        <v>1950</v>
      </c>
      <c r="C585" s="299">
        <v>140</v>
      </c>
      <c r="D585" s="299" t="str">
        <f>D584</f>
        <v>ED3-TEL</v>
      </c>
      <c r="E585" s="299" t="s">
        <v>454</v>
      </c>
      <c r="F585" s="299" t="s">
        <v>1804</v>
      </c>
    </row>
    <row r="586" spans="1:6">
      <c r="A586" s="285" t="str">
        <f>_xlfn.CONCAT(E586,",",D586)</f>
        <v>TE 355,ED3-TEL</v>
      </c>
      <c r="B586" s="298" t="s">
        <v>459</v>
      </c>
      <c r="C586" s="299">
        <v>140</v>
      </c>
      <c r="D586" s="299" t="str">
        <f>D585</f>
        <v>ED3-TEL</v>
      </c>
      <c r="E586" s="299" t="s">
        <v>460</v>
      </c>
      <c r="F586" s="299" t="s">
        <v>1601</v>
      </c>
    </row>
    <row r="587" spans="1:6">
      <c r="A587" s="285" t="str">
        <v>TE 357,ED3-TEL</v>
      </c>
      <c r="B587" s="298" t="s">
        <v>461</v>
      </c>
      <c r="C587" s="299">
        <v>140</v>
      </c>
      <c r="D587" s="299" t="str">
        <f>D586</f>
        <v>ED3-TEL</v>
      </c>
      <c r="E587" s="299" t="s">
        <v>458</v>
      </c>
      <c r="F587" s="299" t="s">
        <v>1805</v>
      </c>
    </row>
    <row r="588" spans="1:6">
      <c r="A588" s="285" t="str">
        <v>TE 391,ED3-TEL</v>
      </c>
      <c r="B588" s="298" t="s">
        <v>464</v>
      </c>
      <c r="C588" s="299">
        <v>140</v>
      </c>
      <c r="D588" s="299" t="str">
        <f>D587</f>
        <v>ED3-TEL</v>
      </c>
      <c r="E588" s="299" t="s">
        <v>1535</v>
      </c>
      <c r="F588" s="299" t="s">
        <v>1806</v>
      </c>
    </row>
    <row r="589" spans="1:6">
      <c r="A589" s="285" t="str">
        <v>TE 451,ED4-TEL</v>
      </c>
      <c r="B589" s="298" t="s">
        <v>1949</v>
      </c>
      <c r="C589" s="299">
        <v>140</v>
      </c>
      <c r="D589" s="299" t="s">
        <v>117</v>
      </c>
      <c r="E589" s="299" t="s">
        <v>1475</v>
      </c>
      <c r="F589" s="299" t="s">
        <v>1807</v>
      </c>
    </row>
    <row r="590" spans="1:6">
      <c r="A590" s="285" t="str">
        <v>TE 457,ED4-TEL</v>
      </c>
      <c r="B590" s="298" t="s">
        <v>1951</v>
      </c>
      <c r="C590" s="299">
        <v>140</v>
      </c>
      <c r="D590" s="299" t="str">
        <f>D589</f>
        <v>ED4-TEL</v>
      </c>
      <c r="E590" s="299" t="s">
        <v>1476</v>
      </c>
      <c r="F590" s="299" t="s">
        <v>1808</v>
      </c>
    </row>
    <row r="591" spans="1:6">
      <c r="A591" s="285" t="str">
        <v>TE 455,ED4-TEL</v>
      </c>
      <c r="B591" s="298" t="s">
        <v>1947</v>
      </c>
      <c r="C591" s="299">
        <v>140</v>
      </c>
      <c r="D591" s="299" t="str">
        <f>D590</f>
        <v>ED4-TEL</v>
      </c>
      <c r="E591" s="299" t="s">
        <v>1478</v>
      </c>
      <c r="F591" s="299" t="s">
        <v>1809</v>
      </c>
    </row>
    <row r="592" spans="1:6">
      <c r="A592" s="285" t="str">
        <v>TE 453,ED4-TEL</v>
      </c>
      <c r="B592" s="298" t="s">
        <v>459</v>
      </c>
      <c r="C592" s="299">
        <v>140</v>
      </c>
      <c r="D592" s="299" t="str">
        <f>D591</f>
        <v>ED4-TEL</v>
      </c>
      <c r="E592" s="299" t="s">
        <v>1479</v>
      </c>
      <c r="F592" s="299" t="s">
        <v>1810</v>
      </c>
    </row>
    <row r="593" spans="1:6">
      <c r="A593" s="285" t="str">
        <v>TE 459,ED4-TEL</v>
      </c>
      <c r="B593" s="298" t="s">
        <v>1895</v>
      </c>
      <c r="C593" s="299">
        <v>140</v>
      </c>
      <c r="D593" s="299" t="str">
        <f>D592</f>
        <v>ED4-TEL</v>
      </c>
      <c r="E593" s="299" t="s">
        <v>1536</v>
      </c>
      <c r="F593" s="299" t="s">
        <v>1811</v>
      </c>
    </row>
    <row r="594" spans="1:6">
      <c r="A594" s="285" t="str">
        <v>TE 497,ED4-TEL</v>
      </c>
      <c r="B594" s="298"/>
      <c r="C594" s="299">
        <v>140</v>
      </c>
      <c r="D594" s="299" t="str">
        <f>D593</f>
        <v>ED4-TEL</v>
      </c>
      <c r="E594" s="299" t="s">
        <v>1537</v>
      </c>
      <c r="F594" s="299" t="s">
        <v>1544</v>
      </c>
    </row>
    <row r="595" spans="1:6">
      <c r="A595" s="285" t="str">
        <v>TE 463,ED4-TEL</v>
      </c>
      <c r="B595" s="298" t="s">
        <v>1134</v>
      </c>
      <c r="C595" s="299">
        <v>83</v>
      </c>
      <c r="D595" s="299" t="str">
        <f>D594</f>
        <v>ED4-TEL</v>
      </c>
      <c r="E595" s="299" t="s">
        <v>1477</v>
      </c>
      <c r="F595" s="299" t="s">
        <v>1812</v>
      </c>
    </row>
    <row r="596" spans="1:6">
      <c r="A596" s="285" t="str">
        <v>TE 465,ED4-TEL</v>
      </c>
      <c r="B596" s="298" t="s">
        <v>469</v>
      </c>
      <c r="C596" s="299">
        <v>55</v>
      </c>
      <c r="D596" s="299" t="str">
        <f>D595</f>
        <v>ED4-TEL</v>
      </c>
      <c r="E596" s="299" t="s">
        <v>1471</v>
      </c>
      <c r="F596" s="299" t="s">
        <v>1813</v>
      </c>
    </row>
    <row r="597" spans="1:6">
      <c r="A597" s="285" t="str">
        <v>,</v>
      </c>
    </row>
    <row r="598" spans="1:6">
      <c r="A598" s="285" t="str">
        <v>,</v>
      </c>
    </row>
  </sheetData>
  <conditionalFormatting sqref="G485:G1048576 G1:G260 G262:G483">
    <cfRule type="containsText" dxfId="217" priority="3" operator="containsText" text="0">
      <formula>NOT(ISERROR(SEARCH("0",G1)))</formula>
    </cfRule>
  </conditionalFormatting>
  <conditionalFormatting sqref="G484">
    <cfRule type="containsText" dxfId="216" priority="2" operator="containsText" text="0">
      <formula>NOT(ISERROR(SEARCH("0",G484)))</formula>
    </cfRule>
  </conditionalFormatting>
  <conditionalFormatting sqref="G261">
    <cfRule type="containsText" dxfId="215" priority="1" operator="containsText" text="0">
      <formula>NOT(ISERROR(SEARCH("0",G261)))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BD6A7E3C-7890-43C8-AF0B-7431EB7AA3C8}">
  <sheetViews>
    <sheetView zoomScale="115" workbookViewId="0" zoomScaleNormal="115" zoomScaleSheetLayoutView="130">
      <pane xSplit="1" ySplit="2" topLeftCell="B45" activePane="bottomRight" state="frozen"/>
      <selection pane="topLeft" activeCell="Y63" sqref="Y63"/>
      <selection pane="topRight" activeCell="Y63" sqref="Y63"/>
      <selection pane="bottomLeft" activeCell="Y63" sqref="Y63"/>
      <selection pane="bottomRight" activeCell="E1" sqref="E1"/>
    </sheetView>
  </sheetViews>
  <sheetFormatPr baseColWidth="8" defaultRowHeight="14"/>
  <cols>
    <col min="1" max="1" width="8.97" style="92" customWidth="1"/>
    <col min="2" max="4" width="2.75" style="93" customWidth="1"/>
    <col min="5" max="7" width="2.75" style="92" customWidth="1"/>
    <col min="8" max="10" width="2.75" style="93" customWidth="1"/>
    <col min="11" max="13" width="2.75" style="92" customWidth="1"/>
    <col min="14" max="16" width="2.75" style="346" customWidth="1"/>
    <col min="17" max="19" width="2.75" style="92" customWidth="1"/>
    <col min="20" max="22" width="2.75" style="93" customWidth="1"/>
    <col min="23" max="25" width="2.75" style="92" customWidth="1"/>
    <col min="26" max="28" width="2.75" style="93" customWidth="1"/>
    <col min="29" max="31" width="2.75" style="346" customWidth="1"/>
    <col min="32" max="34" width="2.75" style="93" customWidth="1"/>
    <col min="35" max="37" width="2.75" style="173" customWidth="1"/>
    <col min="38" max="40" width="2.75" style="93" customWidth="1"/>
    <col min="41" max="43" width="2.75" style="173" customWidth="1"/>
    <col min="44" max="44" width="9" style="92" customWidth="1"/>
    <col min="45" max="45" width="3.625" style="92" customWidth="1"/>
    <col min="46" max="46" width="3.25" style="92" customWidth="1"/>
    <col min="47" max="47" width="3.125" style="92" customWidth="1"/>
    <col min="48" max="48" width="3.75" style="92" customWidth="1"/>
    <col min="49" max="49" width="3" style="92" customWidth="1"/>
    <col min="50" max="50" width="3.625" style="92" customWidth="1"/>
    <col min="51" max="51" width="3.25" style="92" customWidth="1"/>
    <col min="52" max="52" width="3.125" style="92" customWidth="1"/>
    <col min="53" max="54" width="3.75" style="173" customWidth="1"/>
    <col min="55" max="55" width="3.25" style="173" customWidth="1"/>
    <col min="56" max="56" width="3.125" style="92" customWidth="1"/>
    <col min="57" max="57" width="3.75" style="92" customWidth="1"/>
    <col min="58" max="58" width="3" style="92" customWidth="1"/>
    <col min="59" max="16384" width="9" style="92" customWidth="1"/>
  </cols>
  <sheetData>
    <row r="1" spans="1:59">
      <c r="B1" s="375" t="s">
        <v>588</v>
      </c>
      <c r="C1" s="375"/>
      <c r="D1" s="375"/>
      <c r="E1" s="374" t="s">
        <v>587</v>
      </c>
      <c r="F1" s="374"/>
      <c r="G1" s="374"/>
      <c r="H1" s="375" t="s">
        <v>586</v>
      </c>
      <c r="I1" s="375"/>
      <c r="J1" s="375"/>
      <c r="K1" s="374" t="s">
        <v>585</v>
      </c>
      <c r="L1" s="374"/>
      <c r="M1" s="374"/>
      <c r="N1" s="376" t="s">
        <v>584</v>
      </c>
      <c r="O1" s="376"/>
      <c r="P1" s="376"/>
      <c r="Q1" s="374" t="s">
        <v>583</v>
      </c>
      <c r="R1" s="374"/>
      <c r="S1" s="374"/>
      <c r="T1" s="375" t="s">
        <v>582</v>
      </c>
      <c r="U1" s="375"/>
      <c r="V1" s="375"/>
      <c r="W1" s="374" t="s">
        <v>581</v>
      </c>
      <c r="X1" s="374"/>
      <c r="Y1" s="374"/>
      <c r="Z1" s="375" t="s">
        <v>1473</v>
      </c>
      <c r="AA1" s="375"/>
      <c r="AB1" s="375"/>
      <c r="AC1" s="378" t="s">
        <v>1474</v>
      </c>
      <c r="AD1" s="379"/>
      <c r="AE1" s="380"/>
      <c r="AF1" s="375" t="s">
        <v>580</v>
      </c>
      <c r="AG1" s="375"/>
      <c r="AH1" s="375"/>
      <c r="AI1" s="377" t="s">
        <v>579</v>
      </c>
      <c r="AJ1" s="377"/>
      <c r="AK1" s="377"/>
      <c r="AL1" s="375" t="s">
        <v>578</v>
      </c>
      <c r="AM1" s="375"/>
      <c r="AN1" s="375"/>
      <c r="AO1" s="377" t="s">
        <v>577</v>
      </c>
      <c r="AP1" s="377"/>
      <c r="AQ1" s="377"/>
    </row>
    <row r="2" spans="1:59">
      <c r="B2" s="99" t="s">
        <v>591</v>
      </c>
      <c r="C2" s="99" t="s">
        <v>590</v>
      </c>
      <c r="D2" s="99" t="s">
        <v>589</v>
      </c>
      <c r="E2" s="100" t="s">
        <v>591</v>
      </c>
      <c r="F2" s="100" t="s">
        <v>590</v>
      </c>
      <c r="G2" s="100" t="s">
        <v>589</v>
      </c>
      <c r="H2" s="99" t="s">
        <v>591</v>
      </c>
      <c r="I2" s="99" t="s">
        <v>590</v>
      </c>
      <c r="J2" s="99" t="s">
        <v>589</v>
      </c>
      <c r="K2" s="100" t="s">
        <v>591</v>
      </c>
      <c r="L2" s="100" t="s">
        <v>590</v>
      </c>
      <c r="M2" s="100" t="s">
        <v>589</v>
      </c>
      <c r="N2" s="344" t="s">
        <v>591</v>
      </c>
      <c r="O2" s="344" t="s">
        <v>590</v>
      </c>
      <c r="P2" s="344" t="s">
        <v>589</v>
      </c>
      <c r="Q2" s="100" t="s">
        <v>591</v>
      </c>
      <c r="R2" s="100" t="s">
        <v>590</v>
      </c>
      <c r="S2" s="100" t="s">
        <v>589</v>
      </c>
      <c r="T2" s="99" t="s">
        <v>591</v>
      </c>
      <c r="U2" s="99" t="s">
        <v>590</v>
      </c>
      <c r="V2" s="99" t="s">
        <v>589</v>
      </c>
      <c r="W2" s="100" t="s">
        <v>591</v>
      </c>
      <c r="X2" s="100" t="s">
        <v>590</v>
      </c>
      <c r="Y2" s="100" t="s">
        <v>589</v>
      </c>
      <c r="Z2" s="99" t="s">
        <v>591</v>
      </c>
      <c r="AA2" s="99" t="s">
        <v>590</v>
      </c>
      <c r="AB2" s="99" t="s">
        <v>589</v>
      </c>
      <c r="AC2" s="344" t="s">
        <v>591</v>
      </c>
      <c r="AD2" s="344" t="s">
        <v>590</v>
      </c>
      <c r="AE2" s="344" t="s">
        <v>589</v>
      </c>
      <c r="AF2" s="99" t="s">
        <v>591</v>
      </c>
      <c r="AG2" s="99" t="s">
        <v>590</v>
      </c>
      <c r="AH2" s="99" t="s">
        <v>589</v>
      </c>
      <c r="AI2" s="313" t="s">
        <v>591</v>
      </c>
      <c r="AJ2" s="313" t="s">
        <v>590</v>
      </c>
      <c r="AK2" s="313" t="s">
        <v>589</v>
      </c>
      <c r="AL2" s="99" t="s">
        <v>591</v>
      </c>
      <c r="AM2" s="99" t="s">
        <v>590</v>
      </c>
      <c r="AN2" s="99" t="s">
        <v>589</v>
      </c>
      <c r="AO2" s="313" t="s">
        <v>591</v>
      </c>
      <c r="AP2" s="313" t="s">
        <v>590</v>
      </c>
      <c r="AQ2" s="313" t="s">
        <v>589</v>
      </c>
      <c r="AS2" s="4" t="s">
        <v>588</v>
      </c>
      <c r="AT2" s="4" t="s">
        <v>587</v>
      </c>
      <c r="AU2" s="4" t="s">
        <v>586</v>
      </c>
      <c r="AV2" s="4" t="s">
        <v>585</v>
      </c>
      <c r="AW2" s="4" t="s">
        <v>584</v>
      </c>
      <c r="AX2" s="4" t="s">
        <v>583</v>
      </c>
      <c r="AY2" s="4" t="s">
        <v>582</v>
      </c>
      <c r="AZ2" s="4" t="s">
        <v>581</v>
      </c>
      <c r="BA2" s="314" t="s">
        <v>1473</v>
      </c>
      <c r="BB2" s="314" t="s">
        <v>1474</v>
      </c>
      <c r="BC2" s="314" t="s">
        <v>580</v>
      </c>
      <c r="BD2" s="4" t="s">
        <v>579</v>
      </c>
      <c r="BE2" s="4" t="s">
        <v>578</v>
      </c>
      <c r="BF2" s="4" t="s">
        <v>577</v>
      </c>
    </row>
    <row r="3" spans="1:59">
      <c r="A3" s="97" t="s">
        <v>37</v>
      </c>
      <c r="B3" s="95">
        <f>COUNTIF(TT!$D$6:$D$15,TALLY!A3)</f>
        <v>0</v>
      </c>
      <c r="C3" s="95">
        <f>COUNTIF(TT!$D$22:$D$32,TALLY!A3)</f>
        <v>0</v>
      </c>
      <c r="D3" s="95">
        <f>COUNTIF(TT!$D$39:$D$49,TALLY!A3)</f>
        <v>1</v>
      </c>
      <c r="E3" s="4">
        <f>COUNTIF(TT!$D$57:$D$67,TALLY!A3)</f>
        <v>0</v>
      </c>
      <c r="F3" s="4">
        <f>COUNTIF(TT!$D$74:$D$86,TALLY!A3)</f>
        <v>0</v>
      </c>
      <c r="G3" s="4">
        <f>COUNTIF(TT!$D$93:$D$107,TALLY!A3)</f>
        <v>0</v>
      </c>
      <c r="H3" s="95">
        <f>COUNTIF(TT!$D$113:$D$129,TALLY!A3)</f>
        <v>0</v>
      </c>
      <c r="I3" s="95">
        <f>COUNTIF(TT!$D$135:$D$155,TALLY!A3)</f>
        <v>0</v>
      </c>
      <c r="J3" s="95">
        <f>COUNTIF(TT!$D$162:$D$173,TALLY!A3)</f>
        <v>0</v>
      </c>
      <c r="K3" s="4">
        <f>COUNTIF(TT!$D$180:$D$199,TALLY!A3)</f>
        <v>1</v>
      </c>
      <c r="L3" s="4">
        <f>COUNTIF(TT!$D$207:$D$215,TALLY!A3)</f>
        <v>0</v>
      </c>
      <c r="M3" s="4">
        <f>COUNTIF(TT!$D$224:$D$231,TALLY!A3)</f>
        <v>0</v>
      </c>
      <c r="N3" s="345">
        <f>COUNTIF(TT!$D$237:$D$249,TALLY!A3)</f>
        <v>1</v>
      </c>
      <c r="O3" s="345">
        <f>COUNTIF(TT!$D$256:$D$264,TALLY!A3)</f>
        <v>0</v>
      </c>
      <c r="P3" s="345">
        <f>COUNTIF(TT!$D$271:$D$286,TALLY!A3)</f>
        <v>0</v>
      </c>
      <c r="Q3" s="4">
        <f>COUNTIF(TT!$D$293:$D$300,TALLY!A3)</f>
        <v>0</v>
      </c>
      <c r="R3" s="4">
        <f>COUNTIF(TT!$D$307:$D$319,TALLY!A3)</f>
        <v>1</v>
      </c>
      <c r="S3" s="4">
        <f>COUNTIF(TT!$D$326:$D$334,TALLY!A3)</f>
        <v>0</v>
      </c>
      <c r="T3" s="95">
        <f>COUNTIF(TT!$D$341:$D$350,TALLY!A3)</f>
        <v>0</v>
      </c>
      <c r="U3" s="95">
        <f>COUNTIF(TT!$D$357:$D$366,TALLY!A3)</f>
        <v>0</v>
      </c>
      <c r="V3" s="95">
        <f>COUNTIF(TT!$D$373:$D$383,TALLY!A3)</f>
        <v>0</v>
      </c>
      <c r="W3" s="4">
        <f>COUNTIF(TT!$D$390:$D$405,TALLY!A3)</f>
        <v>1</v>
      </c>
      <c r="X3" s="4">
        <f>COUNTIF(TT!$D$412:$D$423,TALLY!A3)</f>
        <v>0</v>
      </c>
      <c r="Y3" s="4">
        <f>COUNTIF(TT!$D$430:$D$438,TALLY!A3)</f>
        <v>0</v>
      </c>
      <c r="Z3" s="95">
        <f>COUNTIF(TT!$D$443:$D$457,TALLY!A3)</f>
        <v>0</v>
      </c>
      <c r="AA3" s="95">
        <f>COUNTIF(TT!$D$464:$D$474,TALLY!A3)</f>
        <v>0</v>
      </c>
      <c r="AB3" s="95">
        <f>COUNTIF(TT!$D$481:$D$494,TALLY!A3)</f>
        <v>0</v>
      </c>
      <c r="AC3" s="345">
        <f>COUNTIF(TT!$D$503:$D$522,TALLY!A3)</f>
        <v>0</v>
      </c>
      <c r="AD3" s="345">
        <f>COUNTIF(TT!$D$529:$D$541,TALLY!A3)</f>
        <v>0</v>
      </c>
      <c r="AE3" s="345">
        <f>COUNTIF(TT!$D$548:$D$561,TALLY!A3)</f>
        <v>1</v>
      </c>
      <c r="AF3" s="95">
        <f>COUNTIF(TT!$D$574:$D$584,TALLY!A3)</f>
        <v>0</v>
      </c>
      <c r="AG3" s="95">
        <f>COUNTIF(TT!$D$591:$D$601,TALLY!A3)</f>
        <v>0</v>
      </c>
      <c r="AH3" s="95">
        <f>COUNTIF(TT!$D$608:$D$619,TALLY!A3)</f>
        <v>0</v>
      </c>
      <c r="AI3" s="314">
        <f>COUNTIF(TT!$D$628:$D$647,TALLY!A3)</f>
        <v>1</v>
      </c>
      <c r="AJ3" s="314">
        <f>COUNTIF(TT!$D$654:$D$668,TALLY!A3)</f>
        <v>0</v>
      </c>
      <c r="AK3" s="314">
        <f>COUNTIF(TT!$D$675:$D$685,TALLY!A3)</f>
        <v>0</v>
      </c>
      <c r="AL3" s="95">
        <f>COUNTIF(TT!$D$692:$D$702,TALLY!A3)</f>
        <v>0</v>
      </c>
      <c r="AM3" s="95">
        <f>COUNTIF(TT!$D$709:$D$721,TALLY!A3)</f>
        <v>0</v>
      </c>
      <c r="AN3" s="95">
        <f>COUNTIF(TT!$D$728:$D$737,TALLY!A3)</f>
        <v>0</v>
      </c>
      <c r="AO3" s="314">
        <f>COUNTIF(TT!$D$744:$D$753,TALLY!A3)</f>
        <v>0</v>
      </c>
      <c r="AP3" s="314">
        <f>COUNTIF(TT!$D$759:$D$774,TALLY!A3)</f>
        <v>0</v>
      </c>
      <c r="AQ3" s="314">
        <f>COUNTIF(TT!$D$781:$D$789,TALLY!A3)</f>
        <v>0</v>
      </c>
      <c r="AR3" s="98" t="s">
        <v>37</v>
      </c>
      <c r="AS3" s="4">
        <f>SUM($B3:$D3)</f>
        <v>1</v>
      </c>
      <c r="AT3" s="4">
        <f>SUM(E3:G3)</f>
        <v>0</v>
      </c>
      <c r="AU3" s="4">
        <f>SUM(H3:J3)</f>
        <v>0</v>
      </c>
      <c r="AV3" s="4">
        <f>SUM(K3:M3)</f>
        <v>1</v>
      </c>
      <c r="AW3" s="4">
        <f>SUM(N3:P3)</f>
        <v>1</v>
      </c>
      <c r="AX3" s="4">
        <f>SUM($Q3:$S3)</f>
        <v>1</v>
      </c>
      <c r="AY3" s="4">
        <f>SUM(T3:V3)</f>
        <v>0</v>
      </c>
      <c r="AZ3" s="4">
        <f>SUM(W3:Y3)</f>
        <v>1</v>
      </c>
      <c r="BA3" s="314">
        <f>SUM(Z3:AB3)</f>
        <v>0</v>
      </c>
      <c r="BB3" s="314">
        <f>SUM(AC3:AE3)</f>
        <v>1</v>
      </c>
      <c r="BC3" s="314">
        <f>SUM(AF3:AH3)</f>
        <v>0</v>
      </c>
      <c r="BD3" s="4">
        <f>SUM(AI3:AK3)</f>
        <v>1</v>
      </c>
      <c r="BE3" s="4">
        <f>SUM(AL3:AN3)</f>
        <v>0</v>
      </c>
      <c r="BF3" s="4">
        <f>SUM(AO3:AQ3)</f>
        <v>0</v>
      </c>
      <c r="BG3" s="92">
        <f>SUM(AS3:BF3)</f>
        <v>7</v>
      </c>
    </row>
    <row r="4" spans="1:59">
      <c r="A4" s="97" t="s">
        <v>1</v>
      </c>
      <c r="B4" s="95">
        <f>COUNTIF(TT!$D$6:$D$15,TALLY!A4)</f>
        <v>0</v>
      </c>
      <c r="C4" s="95">
        <f>COUNTIF(TT!$D$22:$D$32,TALLY!A4)</f>
        <v>0</v>
      </c>
      <c r="D4" s="95">
        <f>COUNTIF(TT!$D$39:$D$49,TALLY!A4)</f>
        <v>1</v>
      </c>
      <c r="E4" s="4">
        <f>COUNTIF(TT!$D$57:$D$67,TALLY!A4)</f>
        <v>0</v>
      </c>
      <c r="F4" s="4">
        <f>COUNTIF(TT!$D$74:$D$86,TALLY!A4)</f>
        <v>0</v>
      </c>
      <c r="G4" s="4">
        <f>COUNTIF(TT!$D$93:$D$107,TALLY!A4)</f>
        <v>0</v>
      </c>
      <c r="H4" s="95">
        <f>COUNTIF(TT!$D$113:$D$129,TALLY!A4)</f>
        <v>0</v>
      </c>
      <c r="I4" s="95">
        <f>COUNTIF(TT!$D$135:$D$155,TALLY!A4)</f>
        <v>0</v>
      </c>
      <c r="J4" s="95">
        <f>COUNTIF(TT!$D$162:$D$173,TALLY!A4)</f>
        <v>0</v>
      </c>
      <c r="K4" s="4">
        <f>COUNTIF(TT!$D$180:$D$199,TALLY!A4)</f>
        <v>1</v>
      </c>
      <c r="L4" s="4">
        <f>COUNTIF(TT!$D$207:$D$215,TALLY!A4)</f>
        <v>0</v>
      </c>
      <c r="M4" s="4">
        <f>COUNTIF(TT!$D$224:$D$231,TALLY!A4)</f>
        <v>0</v>
      </c>
      <c r="N4" s="345">
        <f>COUNTIF(TT!$D$237:$D$249,TALLY!A4)</f>
        <v>0</v>
      </c>
      <c r="O4" s="345">
        <f>COUNTIF(TT!$D$256:$D$264,TALLY!A4)</f>
        <v>0</v>
      </c>
      <c r="P4" s="345">
        <f>COUNTIF(TT!$D$271:$D$286,TALLY!A4)</f>
        <v>0</v>
      </c>
      <c r="Q4" s="4">
        <f>COUNTIF(TT!$D$293:$D$300,TALLY!A4)</f>
        <v>0</v>
      </c>
      <c r="R4" s="4">
        <f>COUNTIF(TT!$D$307:$D$319,TALLY!A4)</f>
        <v>1</v>
      </c>
      <c r="S4" s="4">
        <f>COUNTIF(TT!$D$326:$D$334,TALLY!A4)</f>
        <v>0</v>
      </c>
      <c r="T4" s="95">
        <f>COUNTIF(TT!$D$341:$D$350,TALLY!A4)</f>
        <v>0</v>
      </c>
      <c r="U4" s="95">
        <f>COUNTIF(TT!$D$357:$D$366,TALLY!A4)</f>
        <v>0</v>
      </c>
      <c r="V4" s="95">
        <f>COUNTIF(TT!$D$373:$D$383,TALLY!A4)</f>
        <v>0</v>
      </c>
      <c r="W4" s="4">
        <f>COUNTIF(TT!$D$390:$D$405,TALLY!A4)</f>
        <v>0</v>
      </c>
      <c r="X4" s="4">
        <f>COUNTIF(TT!$D$412:$D$423,TALLY!A4)</f>
        <v>0</v>
      </c>
      <c r="Y4" s="4">
        <f>COUNTIF(TT!$D$430:$D$438,TALLY!A4)</f>
        <v>0</v>
      </c>
      <c r="Z4" s="95">
        <f>COUNTIF(TT!$D$443:$D$457,TALLY!A4)</f>
        <v>1</v>
      </c>
      <c r="AA4" s="95">
        <f>COUNTIF(TT!$D$464:$D$474,TALLY!A4)</f>
        <v>0</v>
      </c>
      <c r="AB4" s="95">
        <f>COUNTIF(TT!$D$481:$D$494,TALLY!A4)</f>
        <v>0</v>
      </c>
      <c r="AC4" s="345">
        <f>COUNTIF(TT!$D$503:$D$522,TALLY!A4)</f>
        <v>0</v>
      </c>
      <c r="AD4" s="345">
        <f>COUNTIF(TT!$D$529:$D$541,TALLY!A4)</f>
        <v>0</v>
      </c>
      <c r="AE4" s="345">
        <f>COUNTIF(TT!$D$548:$D$561,TALLY!A4)</f>
        <v>0</v>
      </c>
      <c r="AF4" s="95">
        <f>COUNTIF(TT!$D$574:$D$584,TALLY!A4)</f>
        <v>0</v>
      </c>
      <c r="AG4" s="95">
        <f>COUNTIF(TT!$D$591:$D$601,TALLY!A4)</f>
        <v>0</v>
      </c>
      <c r="AH4" s="95">
        <f>COUNTIF(TT!$D$608:$D$619,TALLY!A4)</f>
        <v>0</v>
      </c>
      <c r="AI4" s="314">
        <f>COUNTIF(TT!$D$628:$D$647,TALLY!A4)</f>
        <v>0</v>
      </c>
      <c r="AJ4" s="314">
        <f>COUNTIF(TT!$D$654:$D$668,TALLY!A4)</f>
        <v>0</v>
      </c>
      <c r="AK4" s="314">
        <f>COUNTIF(TT!$D$675:$D$685,TALLY!A4)</f>
        <v>1</v>
      </c>
      <c r="AL4" s="95">
        <f>COUNTIF(TT!$D$692:$D$702,TALLY!A4)</f>
        <v>0</v>
      </c>
      <c r="AM4" s="95">
        <f>COUNTIF(TT!$D$709:$D$721,TALLY!A4)</f>
        <v>0</v>
      </c>
      <c r="AN4" s="95">
        <f>COUNTIF(TT!$D$728:$D$737,TALLY!A4)</f>
        <v>0</v>
      </c>
      <c r="AO4" s="314">
        <f>COUNTIF(TT!$D$744:$D$753,TALLY!A4)</f>
        <v>0</v>
      </c>
      <c r="AP4" s="314">
        <f>COUNTIF(TT!$D$759:$D$774,TALLY!A4)</f>
        <v>1</v>
      </c>
      <c r="AQ4" s="314">
        <f>COUNTIF(TT!$D$781:$D$789,TALLY!A4)</f>
        <v>0</v>
      </c>
      <c r="AR4" s="97" t="s">
        <v>1</v>
      </c>
      <c r="AS4" s="4">
        <f>SUM($B4:$D4)</f>
        <v>1</v>
      </c>
      <c r="AT4" s="4">
        <f>SUM(E4:G4)</f>
        <v>0</v>
      </c>
      <c r="AU4" s="4">
        <f>SUM(H4:J4)</f>
        <v>0</v>
      </c>
      <c r="AV4" s="4">
        <f>SUM(K4:M4)</f>
        <v>1</v>
      </c>
      <c r="AW4" s="4">
        <f>SUM(N4:P4)</f>
        <v>0</v>
      </c>
      <c r="AX4" s="4">
        <f>SUM($Q4:$S4)</f>
        <v>1</v>
      </c>
      <c r="AY4" s="4">
        <f>SUM(T4:V4)</f>
        <v>0</v>
      </c>
      <c r="AZ4" s="4">
        <f>SUM(W4:Y4)</f>
        <v>0</v>
      </c>
      <c r="BA4" s="314">
        <f>SUM(Z4:AB4)</f>
        <v>1</v>
      </c>
      <c r="BB4" s="314">
        <f>SUM(AC4:AE4)</f>
        <v>0</v>
      </c>
      <c r="BC4" s="314">
        <f>SUM(AF4:AH4)</f>
        <v>0</v>
      </c>
      <c r="BD4" s="4">
        <f>SUM(AI4:AK4)</f>
        <v>1</v>
      </c>
      <c r="BE4" s="4">
        <f>SUM(AL4:AN4)</f>
        <v>0</v>
      </c>
      <c r="BF4" s="4">
        <f>SUM(AO4:AQ4)</f>
        <v>1</v>
      </c>
      <c r="BG4" s="92">
        <f>SUM(AS4:BF4)</f>
        <v>6</v>
      </c>
    </row>
    <row r="5" spans="1:59">
      <c r="A5" s="97" t="s">
        <v>2</v>
      </c>
      <c r="B5" s="95">
        <f>COUNTIF(TT!$D$6:$D$15,TALLY!A5)</f>
        <v>0</v>
      </c>
      <c r="C5" s="95">
        <f>COUNTIF(TT!$D$22:$D$32,TALLY!A5)</f>
        <v>0</v>
      </c>
      <c r="D5" s="95">
        <f>COUNTIF(TT!$D$39:$D$49,TALLY!A5)</f>
        <v>0</v>
      </c>
      <c r="E5" s="4">
        <f>COUNTIF(TT!$D$57:$D$67,TALLY!A5)</f>
        <v>0</v>
      </c>
      <c r="F5" s="4">
        <f>COUNTIF(TT!$D$74:$D$86,TALLY!A5)</f>
        <v>0</v>
      </c>
      <c r="G5" s="4">
        <f>COUNTIF(TT!$D$93:$D$107,TALLY!A5)</f>
        <v>0</v>
      </c>
      <c r="H5" s="95">
        <f>COUNTIF(TT!$D$113:$D$129,TALLY!A5)</f>
        <v>1</v>
      </c>
      <c r="I5" s="95">
        <f>COUNTIF(TT!$D$135:$D$155,TALLY!A5)</f>
        <v>0</v>
      </c>
      <c r="J5" s="95">
        <f>COUNTIF(TT!$D$162:$D$173,TALLY!A5)</f>
        <v>0</v>
      </c>
      <c r="K5" s="4">
        <f>COUNTIF(TT!$D$180:$D$199,TALLY!A5)</f>
        <v>0</v>
      </c>
      <c r="L5" s="4">
        <f>COUNTIF(TT!$D$207:$D$215,TALLY!A5)</f>
        <v>1</v>
      </c>
      <c r="M5" s="4">
        <f>COUNTIF(TT!$D$224:$D$231,TALLY!A5)</f>
        <v>0</v>
      </c>
      <c r="N5" s="345">
        <f>COUNTIF(TT!$D$237:$D$249,TALLY!A5)</f>
        <v>0</v>
      </c>
      <c r="O5" s="345">
        <f>COUNTIF(TT!$D$256:$D$264,TALLY!A5)</f>
        <v>0</v>
      </c>
      <c r="P5" s="345">
        <f>COUNTIF(TT!$D$271:$D$286,TALLY!A5)</f>
        <v>0</v>
      </c>
      <c r="Q5" s="4">
        <f>COUNTIF(TT!$D$293:$D$300,TALLY!A5)</f>
        <v>0</v>
      </c>
      <c r="R5" s="4">
        <f>COUNTIF(TT!$D$307:$D$319,TALLY!A5)</f>
        <v>1</v>
      </c>
      <c r="S5" s="4">
        <f>COUNTIF(TT!$D$326:$D$334,TALLY!A5)</f>
        <v>0</v>
      </c>
      <c r="T5" s="95">
        <f>COUNTIF(TT!$D$341:$D$350,TALLY!A5)</f>
        <v>0</v>
      </c>
      <c r="U5" s="95">
        <f>COUNTIF(TT!$D$357:$D$366,TALLY!A5)</f>
        <v>0</v>
      </c>
      <c r="V5" s="95">
        <f>COUNTIF(TT!$D$373:$D$383,TALLY!A5)</f>
        <v>0</v>
      </c>
      <c r="W5" s="4">
        <f>COUNTIF(TT!$D$390:$D$405,TALLY!A5)</f>
        <v>1</v>
      </c>
      <c r="X5" s="4">
        <f>COUNTIF(TT!$D$412:$D$423,TALLY!A5)</f>
        <v>0</v>
      </c>
      <c r="Y5" s="4">
        <f>COUNTIF(TT!$D$430:$D$438,TALLY!A5)</f>
        <v>0</v>
      </c>
      <c r="Z5" s="95">
        <f>COUNTIF(TT!$D$443:$D$457,TALLY!A5)</f>
        <v>0</v>
      </c>
      <c r="AA5" s="95">
        <f>COUNTIF(TT!$D$464:$D$474,TALLY!A5)</f>
        <v>0</v>
      </c>
      <c r="AB5" s="95">
        <f>COUNTIF(TT!$D$481:$D$494,TALLY!A5)</f>
        <v>0</v>
      </c>
      <c r="AC5" s="345">
        <f>COUNTIF(TT!$D$503:$D$522,TALLY!A5)</f>
        <v>0</v>
      </c>
      <c r="AD5" s="345">
        <f>COUNTIF(TT!$D$529:$D$541,TALLY!A5)</f>
        <v>1</v>
      </c>
      <c r="AE5" s="345">
        <f>COUNTIF(TT!$D$548:$D$561,TALLY!A5)</f>
        <v>0</v>
      </c>
      <c r="AF5" s="95">
        <f>COUNTIF(TT!$D$574:$D$584,TALLY!A5)</f>
        <v>0</v>
      </c>
      <c r="AG5" s="95">
        <f>COUNTIF(TT!$D$591:$D$601,TALLY!A5)</f>
        <v>0</v>
      </c>
      <c r="AH5" s="95">
        <f>COUNTIF(TT!$D$608:$D$619,TALLY!A5)</f>
        <v>0</v>
      </c>
      <c r="AI5" s="314">
        <f>COUNTIF(TT!$D$628:$D$647,TALLY!A5)</f>
        <v>0</v>
      </c>
      <c r="AJ5" s="314">
        <f>COUNTIF(TT!$D$654:$D$668,TALLY!A5)</f>
        <v>0</v>
      </c>
      <c r="AK5" s="314">
        <f>COUNTIF(TT!$D$675:$D$685,TALLY!A5)</f>
        <v>1</v>
      </c>
      <c r="AL5" s="95">
        <f>COUNTIF(TT!$D$692:$D$702,TALLY!A5)</f>
        <v>0</v>
      </c>
      <c r="AM5" s="95">
        <f>COUNTIF(TT!$D$709:$D$721,TALLY!A5)</f>
        <v>0</v>
      </c>
      <c r="AN5" s="95">
        <f>COUNTIF(TT!$D$728:$D$737,TALLY!A5)</f>
        <v>0</v>
      </c>
      <c r="AO5" s="314">
        <f>COUNTIF(TT!$D$744:$D$753,TALLY!A5)</f>
        <v>1</v>
      </c>
      <c r="AP5" s="314">
        <f>COUNTIF(TT!$D$759:$D$774,TALLY!A5)</f>
        <v>0</v>
      </c>
      <c r="AQ5" s="314">
        <f>COUNTIF(TT!$D$781:$D$789,TALLY!A5)</f>
        <v>0</v>
      </c>
      <c r="AR5" s="97" t="s">
        <v>2</v>
      </c>
      <c r="AS5" s="4">
        <f>SUM($B5:$D5)</f>
        <v>0</v>
      </c>
      <c r="AT5" s="4">
        <f>SUM(E5:G5)</f>
        <v>0</v>
      </c>
      <c r="AU5" s="4">
        <f>SUM(H5:J5)</f>
        <v>1</v>
      </c>
      <c r="AV5" s="4">
        <f>SUM(K5:M5)</f>
        <v>1</v>
      </c>
      <c r="AW5" s="4">
        <f>SUM(N5:P5)</f>
        <v>0</v>
      </c>
      <c r="AX5" s="4">
        <f>SUM($Q5:$S5)</f>
        <v>1</v>
      </c>
      <c r="AY5" s="4">
        <f>SUM(T5:V5)</f>
        <v>0</v>
      </c>
      <c r="AZ5" s="4">
        <f>SUM(W5:Y5)</f>
        <v>1</v>
      </c>
      <c r="BA5" s="314">
        <f>SUM(Z5:AB5)</f>
        <v>0</v>
      </c>
      <c r="BB5" s="314">
        <f>SUM(AC5:AE5)</f>
        <v>1</v>
      </c>
      <c r="BC5" s="314">
        <f>SUM(AF5:AH5)</f>
        <v>0</v>
      </c>
      <c r="BD5" s="4">
        <f>SUM(AI5:AK5)</f>
        <v>1</v>
      </c>
      <c r="BE5" s="4">
        <f>SUM(AL5:AN5)</f>
        <v>0</v>
      </c>
      <c r="BF5" s="4">
        <f>SUM(AO5:AQ5)</f>
        <v>1</v>
      </c>
      <c r="BG5" s="92">
        <f>SUM(AS5:BF5)</f>
        <v>7</v>
      </c>
    </row>
    <row r="6" spans="1:59">
      <c r="A6" s="97" t="s">
        <v>33</v>
      </c>
      <c r="B6" s="95">
        <f>COUNTIF(TT!$D$6:$D$15,TALLY!A6)</f>
        <v>0</v>
      </c>
      <c r="C6" s="95">
        <f>COUNTIF(TT!$D$22:$D$32,TALLY!A6)</f>
        <v>0</v>
      </c>
      <c r="D6" s="95">
        <f>COUNTIF(TT!$D$39:$D$49,TALLY!A6)</f>
        <v>0</v>
      </c>
      <c r="E6" s="4">
        <f>COUNTIF(TT!$D$57:$D$67,TALLY!A6)</f>
        <v>0</v>
      </c>
      <c r="F6" s="4">
        <f>COUNTIF(TT!$D$74:$D$86,TALLY!A6)</f>
        <v>1</v>
      </c>
      <c r="G6" s="4">
        <f>COUNTIF(TT!$D$93:$D$107,TALLY!A6)</f>
        <v>0</v>
      </c>
      <c r="H6" s="95">
        <f>COUNTIF(TT!$D$113:$D$129,TALLY!A6)</f>
        <v>0</v>
      </c>
      <c r="I6" s="95">
        <f>COUNTIF(TT!$D$135:$D$155,TALLY!A6)</f>
        <v>0</v>
      </c>
      <c r="J6" s="95">
        <f>COUNTIF(TT!$D$162:$D$173,TALLY!A6)</f>
        <v>0</v>
      </c>
      <c r="K6" s="4">
        <f>COUNTIF(TT!$D$180:$D$199,TALLY!A6)</f>
        <v>1</v>
      </c>
      <c r="L6" s="4">
        <f>COUNTIF(TT!$D$207:$D$215,TALLY!A6)</f>
        <v>0</v>
      </c>
      <c r="M6" s="4">
        <f>COUNTIF(TT!$D$224:$D$231,TALLY!A6)</f>
        <v>0</v>
      </c>
      <c r="N6" s="345">
        <f>COUNTIF(TT!$D$237:$D$249,TALLY!A6)</f>
        <v>0</v>
      </c>
      <c r="O6" s="345">
        <f>COUNTIF(TT!$D$256:$D$264,TALLY!A6)</f>
        <v>0</v>
      </c>
      <c r="P6" s="345">
        <f>COUNTIF(TT!$D$271:$D$286,TALLY!A6)</f>
        <v>0</v>
      </c>
      <c r="Q6" s="4">
        <f>COUNTIF(TT!$D$293:$D$300,TALLY!A6)</f>
        <v>1</v>
      </c>
      <c r="R6" s="4">
        <f>COUNTIF(TT!$D$307:$D$319,TALLY!A6)</f>
        <v>0</v>
      </c>
      <c r="S6" s="4">
        <f>COUNTIF(TT!$D$326:$D$334,TALLY!A6)</f>
        <v>0</v>
      </c>
      <c r="T6" s="95">
        <f>COUNTIF(TT!$D$341:$D$350,TALLY!A6)</f>
        <v>0</v>
      </c>
      <c r="U6" s="95">
        <f>COUNTIF(TT!$D$357:$D$366,TALLY!A6)</f>
        <v>0</v>
      </c>
      <c r="V6" s="95">
        <f>COUNTIF(TT!$D$373:$D$383,TALLY!A6)</f>
        <v>1</v>
      </c>
      <c r="W6" s="4">
        <f>COUNTIF(TT!$D$390:$D$405,TALLY!A6)</f>
        <v>0</v>
      </c>
      <c r="X6" s="4">
        <f>COUNTIF(TT!$D$412:$D$423,TALLY!A6)</f>
        <v>0</v>
      </c>
      <c r="Y6" s="4">
        <f>COUNTIF(TT!$D$430:$D$438,TALLY!A6)</f>
        <v>0</v>
      </c>
      <c r="Z6" s="95">
        <f>COUNTIF(TT!$D$443:$D$457,TALLY!A6)</f>
        <v>0</v>
      </c>
      <c r="AA6" s="95">
        <f>COUNTIF(TT!$D$464:$D$474,TALLY!A6)</f>
        <v>0</v>
      </c>
      <c r="AB6" s="95">
        <f>COUNTIF(TT!$D$481:$D$494,TALLY!A6)</f>
        <v>0</v>
      </c>
      <c r="AC6" s="345">
        <f>COUNTIF(TT!$D$503:$D$522,TALLY!A6)</f>
        <v>0</v>
      </c>
      <c r="AD6" s="345">
        <f>COUNTIF(TT!$D$529:$D$541,TALLY!A6)</f>
        <v>0</v>
      </c>
      <c r="AE6" s="345">
        <f>COUNTIF(TT!$D$548:$D$561,TALLY!A6)</f>
        <v>0</v>
      </c>
      <c r="AF6" s="95">
        <f>COUNTIF(TT!$D$574:$D$584,TALLY!A6)</f>
        <v>0</v>
      </c>
      <c r="AG6" s="95">
        <f>COUNTIF(TT!$D$591:$D$601,TALLY!A6)</f>
        <v>0</v>
      </c>
      <c r="AH6" s="95">
        <f>COUNTIF(TT!$D$608:$D$619,TALLY!A6)</f>
        <v>0</v>
      </c>
      <c r="AI6" s="314">
        <f>COUNTIF(TT!$D$628:$D$647,TALLY!A6)</f>
        <v>0</v>
      </c>
      <c r="AJ6" s="314">
        <f>COUNTIF(TT!$D$654:$D$668,TALLY!A6)</f>
        <v>1</v>
      </c>
      <c r="AK6" s="314">
        <f>COUNTIF(TT!$D$675:$D$685,TALLY!A6)</f>
        <v>0</v>
      </c>
      <c r="AL6" s="95">
        <f>COUNTIF(TT!$D$692:$D$702,TALLY!A6)</f>
        <v>0</v>
      </c>
      <c r="AM6" s="95">
        <f>COUNTIF(TT!$D$709:$D$721,TALLY!A6)</f>
        <v>1</v>
      </c>
      <c r="AN6" s="95">
        <f>COUNTIF(TT!$D$728:$D$737,TALLY!A6)</f>
        <v>0</v>
      </c>
      <c r="AO6" s="314">
        <f>COUNTIF(TT!$D$744:$D$753,TALLY!A6)</f>
        <v>0</v>
      </c>
      <c r="AP6" s="314">
        <f>COUNTIF(TT!$D$759:$D$774,TALLY!A6)</f>
        <v>0</v>
      </c>
      <c r="AQ6" s="314">
        <f>COUNTIF(TT!$D$781:$D$789,TALLY!A6)</f>
        <v>0</v>
      </c>
      <c r="AR6" s="97" t="s">
        <v>33</v>
      </c>
      <c r="AS6" s="4">
        <f>SUM($B6:$D6)</f>
        <v>0</v>
      </c>
      <c r="AT6" s="4">
        <f>SUM(E6:G6)</f>
        <v>1</v>
      </c>
      <c r="AU6" s="4">
        <f>SUM(H6:J6)</f>
        <v>0</v>
      </c>
      <c r="AV6" s="4">
        <f>SUM(K6:M6)</f>
        <v>1</v>
      </c>
      <c r="AW6" s="4">
        <f>SUM(N6:P6)</f>
        <v>0</v>
      </c>
      <c r="AX6" s="4">
        <f>SUM($Q6:$S6)</f>
        <v>1</v>
      </c>
      <c r="AY6" s="4">
        <f>SUM(T6:V6)</f>
        <v>1</v>
      </c>
      <c r="AZ6" s="4">
        <f>SUM(W6:Y6)</f>
        <v>0</v>
      </c>
      <c r="BA6" s="314">
        <f>SUM(Z6:AB6)</f>
        <v>0</v>
      </c>
      <c r="BB6" s="314">
        <f>SUM(AC6:AE6)</f>
        <v>0</v>
      </c>
      <c r="BC6" s="314">
        <f>SUM(AF6:AH6)</f>
        <v>0</v>
      </c>
      <c r="BD6" s="4">
        <f>SUM(AI6:AK6)</f>
        <v>1</v>
      </c>
      <c r="BE6" s="4">
        <f>SUM(AL6:AN6)</f>
        <v>1</v>
      </c>
      <c r="BF6" s="4">
        <f>SUM(AO6:AQ6)</f>
        <v>0</v>
      </c>
      <c r="BG6" s="92">
        <f>SUM(AS6:BF6)</f>
        <v>6</v>
      </c>
    </row>
    <row r="7" spans="1:59">
      <c r="A7" s="97" t="s">
        <v>36</v>
      </c>
      <c r="B7" s="95">
        <f>COUNTIF(TT!$D$6:$D$15,TALLY!A7)</f>
        <v>0</v>
      </c>
      <c r="C7" s="95">
        <f>COUNTIF(TT!$D$22:$D$32,TALLY!A7)</f>
        <v>1</v>
      </c>
      <c r="D7" s="95">
        <f>COUNTIF(TT!$D$39:$D$49,TALLY!A7)</f>
        <v>0</v>
      </c>
      <c r="E7" s="4">
        <f>COUNTIF(TT!$D$57:$D$67,TALLY!A7)</f>
        <v>0</v>
      </c>
      <c r="F7" s="4">
        <f>COUNTIF(TT!$D$74:$D$86,TALLY!A7)</f>
        <v>0</v>
      </c>
      <c r="G7" s="4">
        <f>COUNTIF(TT!$D$93:$D$107,TALLY!A7)</f>
        <v>0</v>
      </c>
      <c r="H7" s="95">
        <f>COUNTIF(TT!$D$113:$D$129,TALLY!A7)</f>
        <v>1</v>
      </c>
      <c r="I7" s="95">
        <f>COUNTIF(TT!$D$135:$D$155,TALLY!A7)</f>
        <v>0</v>
      </c>
      <c r="J7" s="95">
        <f>COUNTIF(TT!$D$162:$D$173,TALLY!A7)</f>
        <v>0</v>
      </c>
      <c r="K7" s="4">
        <f>COUNTIF(TT!$D$180:$D$199,TALLY!A7)</f>
        <v>0</v>
      </c>
      <c r="L7" s="4">
        <f>COUNTIF(TT!$D$207:$D$215,TALLY!A7)</f>
        <v>1</v>
      </c>
      <c r="M7" s="4">
        <f>COUNTIF(TT!$D$224:$D$231,TALLY!A7)</f>
        <v>0</v>
      </c>
      <c r="N7" s="345">
        <f>COUNTIF(TT!$D$237:$D$249,TALLY!A7)</f>
        <v>1</v>
      </c>
      <c r="O7" s="345">
        <f>COUNTIF(TT!$D$256:$D$264,TALLY!A7)</f>
        <v>0</v>
      </c>
      <c r="P7" s="345">
        <f>COUNTIF(TT!$D$271:$D$286,TALLY!A7)</f>
        <v>0</v>
      </c>
      <c r="Q7" s="4">
        <f>COUNTIF(TT!$D$293:$D$300,TALLY!A7)</f>
        <v>0</v>
      </c>
      <c r="R7" s="4">
        <f>COUNTIF(TT!$D$307:$D$319,TALLY!A7)</f>
        <v>0</v>
      </c>
      <c r="S7" s="4">
        <f>COUNTIF(TT!$D$326:$D$334,TALLY!A7)</f>
        <v>0</v>
      </c>
      <c r="T7" s="95">
        <f>COUNTIF(TT!$D$341:$D$350,TALLY!A7)</f>
        <v>1</v>
      </c>
      <c r="U7" s="95">
        <f>COUNTIF(TT!$D$357:$D$366,TALLY!A7)</f>
        <v>0</v>
      </c>
      <c r="V7" s="95">
        <f>COUNTIF(TT!$D$373:$D$383,TALLY!A7)</f>
        <v>0</v>
      </c>
      <c r="W7" s="4">
        <f>COUNTIF(TT!$D$390:$D$405,TALLY!A7)</f>
        <v>0</v>
      </c>
      <c r="X7" s="4">
        <f>COUNTIF(TT!$D$412:$D$423,TALLY!A7)</f>
        <v>0</v>
      </c>
      <c r="Y7" s="4">
        <f>COUNTIF(TT!$D$430:$D$438,TALLY!A7)</f>
        <v>1</v>
      </c>
      <c r="Z7" s="95">
        <f>COUNTIF(TT!$D$443:$D$457,TALLY!A7)</f>
        <v>0</v>
      </c>
      <c r="AA7" s="95">
        <f>COUNTIF(TT!$D$464:$D$474,TALLY!A7)</f>
        <v>0</v>
      </c>
      <c r="AB7" s="95">
        <f>COUNTIF(TT!$D$481:$D$494,TALLY!A7)</f>
        <v>0</v>
      </c>
      <c r="AC7" s="345">
        <f>COUNTIF(TT!$D$503:$D$522,TALLY!A7)</f>
        <v>1</v>
      </c>
      <c r="AD7" s="345">
        <f>COUNTIF(TT!$D$529:$D$541,TALLY!A7)</f>
        <v>0</v>
      </c>
      <c r="AE7" s="345">
        <f>COUNTIF(TT!$D$548:$D$561,TALLY!A7)</f>
        <v>0</v>
      </c>
      <c r="AF7" s="95">
        <f>COUNTIF(TT!$D$574:$D$584,TALLY!A7)</f>
        <v>0</v>
      </c>
      <c r="AG7" s="95">
        <f>COUNTIF(TT!$D$591:$D$601,TALLY!A7)</f>
        <v>0</v>
      </c>
      <c r="AH7" s="95">
        <f>COUNTIF(TT!$D$608:$D$619,TALLY!A7)</f>
        <v>0</v>
      </c>
      <c r="AI7" s="314">
        <f>COUNTIF(TT!$D$628:$D$647,TALLY!A7)</f>
        <v>1</v>
      </c>
      <c r="AJ7" s="314">
        <f>COUNTIF(TT!$D$654:$D$668,TALLY!A7)</f>
        <v>0</v>
      </c>
      <c r="AK7" s="314">
        <f>COUNTIF(TT!$D$675:$D$685,TALLY!A7)</f>
        <v>0</v>
      </c>
      <c r="AL7" s="95">
        <f>COUNTIF(TT!$D$692:$D$702,TALLY!A7)</f>
        <v>0</v>
      </c>
      <c r="AM7" s="95">
        <f>COUNTIF(TT!$D$709:$D$721,TALLY!A7)</f>
        <v>1</v>
      </c>
      <c r="AN7" s="95">
        <f>COUNTIF(TT!$D$728:$D$737,TALLY!A7)</f>
        <v>0</v>
      </c>
      <c r="AO7" s="314">
        <f>COUNTIF(TT!$D$744:$D$753,TALLY!A7)</f>
        <v>0</v>
      </c>
      <c r="AP7" s="314">
        <f>COUNTIF(TT!$D$759:$D$774,TALLY!A7)</f>
        <v>0</v>
      </c>
      <c r="AQ7" s="314">
        <f>COUNTIF(TT!$D$781:$D$789,TALLY!A7)</f>
        <v>0</v>
      </c>
      <c r="AR7" s="97" t="s">
        <v>36</v>
      </c>
      <c r="AS7" s="4">
        <f>SUM($B7:$D7)</f>
        <v>1</v>
      </c>
      <c r="AT7" s="4">
        <f>SUM(E7:G7)</f>
        <v>0</v>
      </c>
      <c r="AU7" s="4">
        <f>SUM(H7:J7)</f>
        <v>1</v>
      </c>
      <c r="AV7" s="4">
        <f>SUM(K7:M7)</f>
        <v>1</v>
      </c>
      <c r="AW7" s="4">
        <f>SUM(N7:P7)</f>
        <v>1</v>
      </c>
      <c r="AX7" s="4">
        <f>SUM($Q7:$S7)</f>
        <v>0</v>
      </c>
      <c r="AY7" s="4">
        <f>SUM(T7:V7)</f>
        <v>1</v>
      </c>
      <c r="AZ7" s="4">
        <f>SUM(W7:Y7)</f>
        <v>1</v>
      </c>
      <c r="BA7" s="314">
        <f>SUM(Z7:AB7)</f>
        <v>0</v>
      </c>
      <c r="BB7" s="314">
        <f>SUM(AC7:AE7)</f>
        <v>1</v>
      </c>
      <c r="BC7" s="314">
        <f>SUM(AF7:AH7)</f>
        <v>0</v>
      </c>
      <c r="BD7" s="4">
        <f>SUM(AI7:AK7)</f>
        <v>1</v>
      </c>
      <c r="BE7" s="4">
        <f>SUM(AL7:AN7)</f>
        <v>1</v>
      </c>
      <c r="BF7" s="4">
        <f>SUM(AO7:AQ7)</f>
        <v>0</v>
      </c>
      <c r="BG7" s="92">
        <f>SUM(AS7:BF7)</f>
        <v>9</v>
      </c>
    </row>
    <row r="8" spans="1:59">
      <c r="A8" s="97" t="s">
        <v>8</v>
      </c>
      <c r="B8" s="95">
        <f>COUNTIF(TT!$D$6:$D$15,TALLY!A8)</f>
        <v>1</v>
      </c>
      <c r="C8" s="95">
        <f>COUNTIF(TT!$D$22:$D$32,TALLY!A8)</f>
        <v>0</v>
      </c>
      <c r="D8" s="95">
        <f>COUNTIF(TT!$D$39:$D$49,TALLY!A8)</f>
        <v>0</v>
      </c>
      <c r="E8" s="4">
        <f>COUNTIF(TT!$D$57:$D$67,TALLY!A8)</f>
        <v>0</v>
      </c>
      <c r="F8" s="4">
        <f>COUNTIF(TT!$D$74:$D$86,TALLY!A8)</f>
        <v>0</v>
      </c>
      <c r="G8" s="4">
        <f>COUNTIF(TT!$D$93:$D$107,TALLY!A8)</f>
        <v>0</v>
      </c>
      <c r="H8" s="95">
        <f>COUNTIF(TT!$D$113:$D$129,TALLY!A8)</f>
        <v>0</v>
      </c>
      <c r="I8" s="95">
        <f>COUNTIF(TT!$D$135:$D$155,TALLY!A8)</f>
        <v>0</v>
      </c>
      <c r="J8" s="95">
        <f>COUNTIF(TT!$D$162:$D$173,TALLY!A8)</f>
        <v>0</v>
      </c>
      <c r="K8" s="4">
        <f>COUNTIF(TT!$D$180:$D$199,TALLY!A8)</f>
        <v>1</v>
      </c>
      <c r="L8" s="4">
        <f>COUNTIF(TT!$D$207:$D$215,TALLY!A8)</f>
        <v>0</v>
      </c>
      <c r="M8" s="4">
        <f>COUNTIF(TT!$D$224:$D$231,TALLY!A8)</f>
        <v>0</v>
      </c>
      <c r="N8" s="345">
        <f>COUNTIF(TT!$D$237:$D$249,TALLY!A8)</f>
        <v>1</v>
      </c>
      <c r="O8" s="345">
        <f>COUNTIF(TT!$D$256:$D$264,TALLY!A8)</f>
        <v>0</v>
      </c>
      <c r="P8" s="345">
        <f>COUNTIF(TT!$D$271:$D$286,TALLY!A8)</f>
        <v>0</v>
      </c>
      <c r="Q8" s="4">
        <f>COUNTIF(TT!$D$293:$D$300,TALLY!A8)</f>
        <v>0</v>
      </c>
      <c r="R8" s="4">
        <f>COUNTIF(TT!$D$307:$D$319,TALLY!A8)</f>
        <v>1</v>
      </c>
      <c r="S8" s="4">
        <f>COUNTIF(TT!$D$326:$D$334,TALLY!A8)</f>
        <v>0</v>
      </c>
      <c r="T8" s="95">
        <f>COUNTIF(TT!$D$341:$D$350,TALLY!A8)</f>
        <v>0</v>
      </c>
      <c r="U8" s="95">
        <f>COUNTIF(TT!$D$357:$D$366,TALLY!A8)</f>
        <v>0</v>
      </c>
      <c r="V8" s="95">
        <f>COUNTIF(TT!$D$373:$D$383,TALLY!A8)</f>
        <v>0</v>
      </c>
      <c r="W8" s="4">
        <f>COUNTIF(TT!$D$390:$D$405,TALLY!A8)</f>
        <v>0</v>
      </c>
      <c r="X8" s="4">
        <f>COUNTIF(TT!$D$412:$D$423,TALLY!A8)</f>
        <v>0</v>
      </c>
      <c r="Y8" s="4">
        <f>COUNTIF(TT!$D$430:$D$438,TALLY!A8)</f>
        <v>0</v>
      </c>
      <c r="Z8" s="95">
        <f>COUNTIF(TT!$D$443:$D$457,TALLY!A8)</f>
        <v>0</v>
      </c>
      <c r="AA8" s="95">
        <f>COUNTIF(TT!$D$464:$D$474,TALLY!A8)</f>
        <v>0</v>
      </c>
      <c r="AB8" s="95">
        <f>COUNTIF(TT!$D$481:$D$494,TALLY!A8)</f>
        <v>0</v>
      </c>
      <c r="AC8" s="345">
        <f>COUNTIF(TT!$D$503:$D$522,TALLY!A8)</f>
        <v>0</v>
      </c>
      <c r="AD8" s="345">
        <f>COUNTIF(TT!$D$529:$D$541,TALLY!A8)</f>
        <v>0</v>
      </c>
      <c r="AE8" s="345">
        <f>COUNTIF(TT!$D$548:$D$561,TALLY!A8)</f>
        <v>0</v>
      </c>
      <c r="AF8" s="95">
        <f>COUNTIF(TT!$D$574:$D$584,TALLY!A8)</f>
        <v>0</v>
      </c>
      <c r="AG8" s="95">
        <f>COUNTIF(TT!$D$591:$D$601,TALLY!A8)</f>
        <v>0</v>
      </c>
      <c r="AH8" s="95">
        <f>COUNTIF(TT!$D$608:$D$619,TALLY!A8)</f>
        <v>0</v>
      </c>
      <c r="AI8" s="314">
        <f>COUNTIF(TT!$D$628:$D$647,TALLY!A8)</f>
        <v>0</v>
      </c>
      <c r="AJ8" s="314">
        <f>COUNTIF(TT!$D$654:$D$668,TALLY!A8)</f>
        <v>1</v>
      </c>
      <c r="AK8" s="314">
        <f>COUNTIF(TT!$D$675:$D$685,TALLY!A8)</f>
        <v>0</v>
      </c>
      <c r="AL8" s="95">
        <f>COUNTIF(TT!$D$692:$D$702,TALLY!A8)</f>
        <v>1</v>
      </c>
      <c r="AM8" s="95">
        <f>COUNTIF(TT!$D$709:$D$721,TALLY!A8)</f>
        <v>0</v>
      </c>
      <c r="AN8" s="95">
        <f>COUNTIF(TT!$D$728:$D$737,TALLY!A8)</f>
        <v>0</v>
      </c>
      <c r="AO8" s="314">
        <f>COUNTIF(TT!$D$744:$D$753,TALLY!A8)</f>
        <v>0</v>
      </c>
      <c r="AP8" s="314">
        <f>COUNTIF(TT!$D$759:$D$774,TALLY!A8)</f>
        <v>1</v>
      </c>
      <c r="AQ8" s="314">
        <f>COUNTIF(TT!$D$781:$D$789,TALLY!A8)</f>
        <v>0</v>
      </c>
      <c r="AR8" s="97" t="s">
        <v>8</v>
      </c>
      <c r="AS8" s="4">
        <f>SUM($B8:$D8)</f>
        <v>1</v>
      </c>
      <c r="AT8" s="4">
        <f>SUM(E8:G8)</f>
        <v>0</v>
      </c>
      <c r="AU8" s="4">
        <f>SUM(H8:J8)</f>
        <v>0</v>
      </c>
      <c r="AV8" s="4">
        <f>SUM(K8:M8)</f>
        <v>1</v>
      </c>
      <c r="AW8" s="4">
        <f>SUM(N8:P8)</f>
        <v>1</v>
      </c>
      <c r="AX8" s="4">
        <f>SUM($Q8:$S8)</f>
        <v>1</v>
      </c>
      <c r="AY8" s="4">
        <f>SUM(T8:V8)</f>
        <v>0</v>
      </c>
      <c r="AZ8" s="4">
        <f>SUM(W8:Y8)</f>
        <v>0</v>
      </c>
      <c r="BA8" s="314">
        <f>SUM(Z8:AB8)</f>
        <v>0</v>
      </c>
      <c r="BB8" s="314">
        <f>SUM(AC8:AE8)</f>
        <v>0</v>
      </c>
      <c r="BC8" s="314">
        <f>SUM(AF8:AH8)</f>
        <v>0</v>
      </c>
      <c r="BD8" s="4">
        <f>SUM(AI8:AK8)</f>
        <v>1</v>
      </c>
      <c r="BE8" s="4">
        <f>SUM(AL8:AN8)</f>
        <v>1</v>
      </c>
      <c r="BF8" s="4">
        <f>SUM(AO8:AQ8)</f>
        <v>1</v>
      </c>
      <c r="BG8" s="92">
        <f>SUM(AS8:BF8)</f>
        <v>7</v>
      </c>
    </row>
    <row r="9" spans="1:59">
      <c r="A9" s="97" t="s">
        <v>32</v>
      </c>
      <c r="B9" s="95">
        <f>COUNTIF(TT!$D$6:$D$15,TALLY!A9)</f>
        <v>0</v>
      </c>
      <c r="C9" s="95">
        <f>COUNTIF(TT!$D$22:$D$32,TALLY!A9)</f>
        <v>0</v>
      </c>
      <c r="D9" s="95">
        <f>COUNTIF(TT!$D$39:$D$49,TALLY!A9)</f>
        <v>1</v>
      </c>
      <c r="E9" s="4">
        <f>COUNTIF(TT!$D$57:$D$67,TALLY!A9)</f>
        <v>0</v>
      </c>
      <c r="F9" s="4">
        <f>COUNTIF(TT!$D$74:$D$86,TALLY!A9)</f>
        <v>0</v>
      </c>
      <c r="G9" s="4">
        <f>COUNTIF(TT!$D$93:$D$107,TALLY!A9)</f>
        <v>0</v>
      </c>
      <c r="H9" s="95">
        <f>COUNTIF(TT!$D$113:$D$129,TALLY!A9)</f>
        <v>0</v>
      </c>
      <c r="I9" s="95">
        <f>COUNTIF(TT!$D$135:$D$155,TALLY!A9)</f>
        <v>0</v>
      </c>
      <c r="J9" s="95">
        <f>COUNTIF(TT!$D$162:$D$173,TALLY!A9)</f>
        <v>0</v>
      </c>
      <c r="K9" s="4">
        <f>COUNTIF(TT!$D$180:$D$199,TALLY!A9)</f>
        <v>0</v>
      </c>
      <c r="L9" s="4">
        <f>COUNTIF(TT!$D$207:$D$215,TALLY!A9)</f>
        <v>1</v>
      </c>
      <c r="M9" s="4">
        <f>COUNTIF(TT!$D$224:$D$231,TALLY!A9)</f>
        <v>0</v>
      </c>
      <c r="N9" s="345">
        <f>COUNTIF(TT!$D$237:$D$249,TALLY!A9)</f>
        <v>0</v>
      </c>
      <c r="O9" s="345">
        <f>COUNTIF(TT!$D$256:$D$264,TALLY!A9)</f>
        <v>0</v>
      </c>
      <c r="P9" s="345">
        <f>COUNTIF(TT!$D$271:$D$286,TALLY!A9)</f>
        <v>0</v>
      </c>
      <c r="Q9" s="4">
        <f>COUNTIF(TT!$D$293:$D$300,TALLY!A9)</f>
        <v>1</v>
      </c>
      <c r="R9" s="4">
        <f>COUNTIF(TT!$D$307:$D$319,TALLY!A9)</f>
        <v>0</v>
      </c>
      <c r="S9" s="4">
        <f>COUNTIF(TT!$D$326:$D$334,TALLY!A9)</f>
        <v>0</v>
      </c>
      <c r="T9" s="95">
        <f>COUNTIF(TT!$D$341:$D$350,TALLY!A9)</f>
        <v>0</v>
      </c>
      <c r="U9" s="95">
        <f>COUNTIF(TT!$D$357:$D$366,TALLY!A9)</f>
        <v>0</v>
      </c>
      <c r="V9" s="95">
        <f>COUNTIF(TT!$D$373:$D$383,TALLY!A9)</f>
        <v>1</v>
      </c>
      <c r="W9" s="4">
        <f>COUNTIF(TT!$D$390:$D$405,TALLY!A9)</f>
        <v>0</v>
      </c>
      <c r="X9" s="4">
        <f>COUNTIF(TT!$D$412:$D$423,TALLY!A9)</f>
        <v>0</v>
      </c>
      <c r="Y9" s="4">
        <f>COUNTIF(TT!$D$430:$D$438,TALLY!A9)</f>
        <v>1</v>
      </c>
      <c r="Z9" s="95">
        <f>COUNTIF(TT!$D$443:$D$457,TALLY!A9)</f>
        <v>0</v>
      </c>
      <c r="AA9" s="95">
        <f>COUNTIF(TT!$D$464:$D$474,TALLY!A9)</f>
        <v>0</v>
      </c>
      <c r="AB9" s="95">
        <f>COUNTIF(TT!$D$481:$D$494,TALLY!A9)</f>
        <v>0</v>
      </c>
      <c r="AC9" s="345">
        <f>COUNTIF(TT!$D$503:$D$522,TALLY!A9)</f>
        <v>0</v>
      </c>
      <c r="AD9" s="345">
        <f>COUNTIF(TT!$D$529:$D$541,TALLY!A9)</f>
        <v>0</v>
      </c>
      <c r="AE9" s="345">
        <f>COUNTIF(TT!$D$548:$D$561,TALLY!A9)</f>
        <v>0</v>
      </c>
      <c r="AF9" s="95">
        <f>COUNTIF(TT!$D$574:$D$584,TALLY!A9)</f>
        <v>0</v>
      </c>
      <c r="AG9" s="95">
        <f>COUNTIF(TT!$D$591:$D$601,TALLY!A9)</f>
        <v>0</v>
      </c>
      <c r="AH9" s="95">
        <f>COUNTIF(TT!$D$608:$D$619,TALLY!A9)</f>
        <v>0</v>
      </c>
      <c r="AI9" s="314">
        <f>COUNTIF(TT!$D$628:$D$647,TALLY!A9)</f>
        <v>0</v>
      </c>
      <c r="AJ9" s="314">
        <f>COUNTIF(TT!$D$654:$D$668,TALLY!A9)</f>
        <v>1</v>
      </c>
      <c r="AK9" s="314">
        <f>COUNTIF(TT!$D$675:$D$685,TALLY!A9)</f>
        <v>0</v>
      </c>
      <c r="AL9" s="95">
        <f>COUNTIF(TT!$D$692:$D$702,TALLY!A9)</f>
        <v>0</v>
      </c>
      <c r="AM9" s="95">
        <f>COUNTIF(TT!$D$709:$D$721,TALLY!A9)</f>
        <v>0</v>
      </c>
      <c r="AN9" s="95">
        <f>COUNTIF(TT!$D$728:$D$737,TALLY!A9)</f>
        <v>0</v>
      </c>
      <c r="AO9" s="314">
        <f>COUNTIF(TT!$D$744:$D$753,TALLY!A9)</f>
        <v>0</v>
      </c>
      <c r="AP9" s="314">
        <f>COUNTIF(TT!$D$759:$D$774,TALLY!A9)</f>
        <v>0</v>
      </c>
      <c r="AQ9" s="314">
        <f>COUNTIF(TT!$D$781:$D$789,TALLY!A9)</f>
        <v>0</v>
      </c>
      <c r="AR9" s="97" t="s">
        <v>32</v>
      </c>
      <c r="AS9" s="4">
        <f>SUM($B9:$D9)</f>
        <v>1</v>
      </c>
      <c r="AT9" s="4">
        <f>SUM(E9:G9)</f>
        <v>0</v>
      </c>
      <c r="AU9" s="4">
        <f>SUM(H9:J9)</f>
        <v>0</v>
      </c>
      <c r="AV9" s="4">
        <f>SUM(K9:M9)</f>
        <v>1</v>
      </c>
      <c r="AW9" s="4">
        <f>SUM(N9:P9)</f>
        <v>0</v>
      </c>
      <c r="AX9" s="4">
        <f>SUM($Q9:$S9)</f>
        <v>1</v>
      </c>
      <c r="AY9" s="4">
        <f>SUM(T9:V9)</f>
        <v>1</v>
      </c>
      <c r="AZ9" s="4">
        <f>SUM(W9:Y9)</f>
        <v>1</v>
      </c>
      <c r="BA9" s="314">
        <f>SUM(Z9:AB9)</f>
        <v>0</v>
      </c>
      <c r="BB9" s="314">
        <f>SUM(AC9:AE9)</f>
        <v>0</v>
      </c>
      <c r="BC9" s="314">
        <f>SUM(AF9:AH9)</f>
        <v>0</v>
      </c>
      <c r="BD9" s="4">
        <f>SUM(AI9:AK9)</f>
        <v>1</v>
      </c>
      <c r="BE9" s="4">
        <f>SUM(AL9:AN9)</f>
        <v>0</v>
      </c>
      <c r="BF9" s="4">
        <f>SUM(AO9:AQ9)</f>
        <v>0</v>
      </c>
      <c r="BG9" s="92">
        <f>SUM(AS9:BF9)</f>
        <v>6</v>
      </c>
    </row>
    <row r="10" spans="1:59">
      <c r="A10" s="97" t="s">
        <v>7</v>
      </c>
      <c r="B10" s="95">
        <f>COUNTIF(TT!$D$6:$D$15,TALLY!A10)</f>
        <v>0</v>
      </c>
      <c r="C10" s="95">
        <f>COUNTIF(TT!$D$22:$D$32,TALLY!A10)</f>
        <v>0</v>
      </c>
      <c r="D10" s="95">
        <f>COUNTIF(TT!$D$39:$D$49,TALLY!A10)</f>
        <v>0</v>
      </c>
      <c r="E10" s="4">
        <f>COUNTIF(TT!$D$57:$D$67,TALLY!A10)</f>
        <v>0</v>
      </c>
      <c r="F10" s="4">
        <f>COUNTIF(TT!$D$74:$D$86,TALLY!A10)</f>
        <v>0</v>
      </c>
      <c r="G10" s="4">
        <f>COUNTIF(TT!$D$93:$D$107,TALLY!A10)</f>
        <v>0</v>
      </c>
      <c r="H10" s="95">
        <f>COUNTIF(TT!$D$113:$D$129,TALLY!A10)</f>
        <v>1</v>
      </c>
      <c r="I10" s="95">
        <f>COUNTIF(TT!$D$135:$D$155,TALLY!A10)</f>
        <v>0</v>
      </c>
      <c r="J10" s="95">
        <f>COUNTIF(TT!$D$162:$D$173,TALLY!A10)</f>
        <v>0</v>
      </c>
      <c r="K10" s="4">
        <f>COUNTIF(TT!$D$180:$D$199,TALLY!A10)</f>
        <v>1</v>
      </c>
      <c r="L10" s="4">
        <f>COUNTIF(TT!$D$207:$D$215,TALLY!A10)</f>
        <v>0</v>
      </c>
      <c r="M10" s="4">
        <f>COUNTIF(TT!$D$224:$D$231,TALLY!A10)</f>
        <v>0</v>
      </c>
      <c r="N10" s="345">
        <f>COUNTIF(TT!$D$237:$D$249,TALLY!A10)</f>
        <v>0</v>
      </c>
      <c r="O10" s="345">
        <f>COUNTIF(TT!$D$256:$D$264,TALLY!A10)</f>
        <v>1</v>
      </c>
      <c r="P10" s="345">
        <f>COUNTIF(TT!$D$271:$D$286,TALLY!A10)</f>
        <v>0</v>
      </c>
      <c r="Q10" s="4">
        <f>COUNTIF(TT!$D$293:$D$300,TALLY!A10)</f>
        <v>1</v>
      </c>
      <c r="R10" s="4">
        <f>COUNTIF(TT!$D$307:$D$319,TALLY!A10)</f>
        <v>0</v>
      </c>
      <c r="S10" s="4">
        <f>COUNTIF(TT!$D$326:$D$334,TALLY!A10)</f>
        <v>0</v>
      </c>
      <c r="T10" s="95">
        <f>COUNTIF(TT!$D$341:$D$350,TALLY!A10)</f>
        <v>0</v>
      </c>
      <c r="U10" s="95">
        <f>COUNTIF(TT!$D$357:$D$366,TALLY!A10)</f>
        <v>0</v>
      </c>
      <c r="V10" s="95">
        <f>COUNTIF(TT!$D$373:$D$383,TALLY!A10)</f>
        <v>0</v>
      </c>
      <c r="W10" s="4">
        <f>COUNTIF(TT!$D$390:$D$405,TALLY!A10)</f>
        <v>1</v>
      </c>
      <c r="X10" s="4">
        <f>COUNTIF(TT!$D$412:$D$423,TALLY!A10)</f>
        <v>0</v>
      </c>
      <c r="Y10" s="4">
        <f>COUNTIF(TT!$D$430:$D$438,TALLY!A10)</f>
        <v>0</v>
      </c>
      <c r="Z10" s="95">
        <f>COUNTIF(TT!$D$443:$D$457,TALLY!A10)</f>
        <v>0</v>
      </c>
      <c r="AA10" s="95">
        <f>COUNTIF(TT!$D$464:$D$474,TALLY!A10)</f>
        <v>0</v>
      </c>
      <c r="AB10" s="95">
        <f>COUNTIF(TT!$D$481:$D$494,TALLY!A10)</f>
        <v>0</v>
      </c>
      <c r="AC10" s="345">
        <f>COUNTIF(TT!$D$503:$D$522,TALLY!A10)</f>
        <v>0</v>
      </c>
      <c r="AD10" s="345">
        <f>COUNTIF(TT!$D$529:$D$541,TALLY!A10)</f>
        <v>0</v>
      </c>
      <c r="AE10" s="345">
        <f>COUNTIF(TT!$D$548:$D$561,TALLY!A10)</f>
        <v>1</v>
      </c>
      <c r="AF10" s="95">
        <f>COUNTIF(TT!$D$574:$D$584,TALLY!A10)</f>
        <v>0</v>
      </c>
      <c r="AG10" s="95">
        <f>COUNTIF(TT!$D$591:$D$601,TALLY!A10)</f>
        <v>0</v>
      </c>
      <c r="AH10" s="95">
        <f>COUNTIF(TT!$D$608:$D$619,TALLY!A10)</f>
        <v>0</v>
      </c>
      <c r="AI10" s="314">
        <f>COUNTIF(TT!$D$628:$D$647,TALLY!A10)</f>
        <v>0</v>
      </c>
      <c r="AJ10" s="314">
        <f>COUNTIF(TT!$D$654:$D$668,TALLY!A10)</f>
        <v>0</v>
      </c>
      <c r="AK10" s="314">
        <f>COUNTIF(TT!$D$675:$D$685,TALLY!A10)</f>
        <v>1</v>
      </c>
      <c r="AL10" s="95">
        <f>COUNTIF(TT!$D$692:$D$702,TALLY!A10)</f>
        <v>0</v>
      </c>
      <c r="AM10" s="95">
        <f>COUNTIF(TT!$D$709:$D$721,TALLY!A10)</f>
        <v>0</v>
      </c>
      <c r="AN10" s="95">
        <f>COUNTIF(TT!$D$728:$D$737,TALLY!A10)</f>
        <v>0</v>
      </c>
      <c r="AO10" s="314">
        <f>COUNTIF(TT!$D$744:$D$753,TALLY!A10)</f>
        <v>0</v>
      </c>
      <c r="AP10" s="314">
        <f>COUNTIF(TT!$D$759:$D$774,TALLY!A10)</f>
        <v>0</v>
      </c>
      <c r="AQ10" s="314">
        <f>COUNTIF(TT!$D$781:$D$789,TALLY!A10)</f>
        <v>0</v>
      </c>
      <c r="AR10" s="97" t="s">
        <v>7</v>
      </c>
      <c r="AS10" s="4">
        <f>SUM($B10:$D10)</f>
        <v>0</v>
      </c>
      <c r="AT10" s="4">
        <f>SUM(E10:G10)</f>
        <v>0</v>
      </c>
      <c r="AU10" s="4">
        <f>SUM(H10:J10)</f>
        <v>1</v>
      </c>
      <c r="AV10" s="4">
        <f>SUM(K10:M10)</f>
        <v>1</v>
      </c>
      <c r="AW10" s="4">
        <f>SUM(N10:P10)</f>
        <v>1</v>
      </c>
      <c r="AX10" s="4">
        <f>SUM($Q10:$S10)</f>
        <v>1</v>
      </c>
      <c r="AY10" s="4">
        <f>SUM(T10:V10)</f>
        <v>0</v>
      </c>
      <c r="AZ10" s="4">
        <f>SUM(W10:Y10)</f>
        <v>1</v>
      </c>
      <c r="BA10" s="314">
        <f>SUM(Z10:AB10)</f>
        <v>0</v>
      </c>
      <c r="BB10" s="314">
        <f>SUM(AC10:AE10)</f>
        <v>1</v>
      </c>
      <c r="BC10" s="314">
        <f>SUM(AF10:AH10)</f>
        <v>0</v>
      </c>
      <c r="BD10" s="4">
        <f>SUM(AI10:AK10)</f>
        <v>1</v>
      </c>
      <c r="BE10" s="4">
        <f>SUM(AL10:AN10)</f>
        <v>0</v>
      </c>
      <c r="BF10" s="4">
        <f>SUM(AO10:AQ10)</f>
        <v>0</v>
      </c>
      <c r="BG10" s="92">
        <f>SUM(AS10:BF10)</f>
        <v>7</v>
      </c>
    </row>
    <row r="11" spans="1:59">
      <c r="A11" s="97" t="s">
        <v>6</v>
      </c>
      <c r="B11" s="95">
        <f>COUNTIF(TT!$D$6:$D$15,TALLY!A11)</f>
        <v>0</v>
      </c>
      <c r="C11" s="95">
        <f>COUNTIF(TT!$D$22:$D$32,TALLY!A11)</f>
        <v>1</v>
      </c>
      <c r="D11" s="95">
        <f>COUNTIF(TT!$D$39:$D$49,TALLY!A11)</f>
        <v>0</v>
      </c>
      <c r="E11" s="4">
        <f>COUNTIF(TT!$D$57:$D$67,TALLY!A11)</f>
        <v>0</v>
      </c>
      <c r="F11" s="4">
        <f>COUNTIF(TT!$D$74:$D$86,TALLY!A11)</f>
        <v>0</v>
      </c>
      <c r="G11" s="4">
        <f>COUNTIF(TT!$D$93:$D$107,TALLY!A11)</f>
        <v>0</v>
      </c>
      <c r="H11" s="95">
        <f>COUNTIF(TT!$D$113:$D$129,TALLY!A11)</f>
        <v>1</v>
      </c>
      <c r="I11" s="95">
        <f>COUNTIF(TT!$D$135:$D$155,TALLY!A11)</f>
        <v>0</v>
      </c>
      <c r="J11" s="95">
        <f>COUNTIF(TT!$D$162:$D$173,TALLY!A11)</f>
        <v>0</v>
      </c>
      <c r="K11" s="4">
        <f>COUNTIF(TT!$D$180:$D$199,TALLY!A11)</f>
        <v>0</v>
      </c>
      <c r="L11" s="4">
        <f>COUNTIF(TT!$D$207:$D$215,TALLY!A11)</f>
        <v>1</v>
      </c>
      <c r="M11" s="4">
        <f>COUNTIF(TT!$D$224:$D$231,TALLY!A11)</f>
        <v>0</v>
      </c>
      <c r="N11" s="345">
        <f>COUNTIF(TT!$D$237:$D$249,TALLY!A11)</f>
        <v>1</v>
      </c>
      <c r="O11" s="345">
        <f>COUNTIF(TT!$D$256:$D$264,TALLY!A11)</f>
        <v>0</v>
      </c>
      <c r="P11" s="345">
        <f>COUNTIF(TT!$D$271:$D$286,TALLY!A11)</f>
        <v>0</v>
      </c>
      <c r="Q11" s="4">
        <f>COUNTIF(TT!$D$293:$D$300,TALLY!A11)</f>
        <v>0</v>
      </c>
      <c r="R11" s="4">
        <f>COUNTIF(TT!$D$307:$D$319,TALLY!A11)</f>
        <v>0</v>
      </c>
      <c r="S11" s="4">
        <f>COUNTIF(TT!$D$326:$D$334,TALLY!A11)</f>
        <v>0</v>
      </c>
      <c r="T11" s="95">
        <f>COUNTIF(TT!$D$341:$D$350,TALLY!A11)</f>
        <v>0</v>
      </c>
      <c r="U11" s="95">
        <f>COUNTIF(TT!$D$357:$D$366,TALLY!A11)</f>
        <v>0</v>
      </c>
      <c r="V11" s="95">
        <f>COUNTIF(TT!$D$373:$D$383,TALLY!A11)</f>
        <v>1</v>
      </c>
      <c r="W11" s="4">
        <f>COUNTIF(TT!$D$390:$D$405,TALLY!A11)</f>
        <v>0</v>
      </c>
      <c r="X11" s="4">
        <f>COUNTIF(TT!$D$412:$D$423,TALLY!A11)</f>
        <v>0</v>
      </c>
      <c r="Y11" s="4">
        <f>COUNTIF(TT!$D$430:$D$438,TALLY!A11)</f>
        <v>1</v>
      </c>
      <c r="Z11" s="95">
        <f>COUNTIF(TT!$D$443:$D$457,TALLY!A11)</f>
        <v>0</v>
      </c>
      <c r="AA11" s="95">
        <f>COUNTIF(TT!$D$464:$D$474,TALLY!A11)</f>
        <v>0</v>
      </c>
      <c r="AB11" s="95">
        <f>COUNTIF(TT!$D$481:$D$494,TALLY!A11)</f>
        <v>0</v>
      </c>
      <c r="AC11" s="345">
        <f>COUNTIF(TT!$D$503:$D$522,TALLY!A11)</f>
        <v>1</v>
      </c>
      <c r="AD11" s="345">
        <f>COUNTIF(TT!$D$529:$D$541,TALLY!A11)</f>
        <v>0</v>
      </c>
      <c r="AE11" s="345">
        <f>COUNTIF(TT!$D$548:$D$561,TALLY!A11)</f>
        <v>0</v>
      </c>
      <c r="AF11" s="95">
        <f>COUNTIF(TT!$D$574:$D$584,TALLY!A11)</f>
        <v>0</v>
      </c>
      <c r="AG11" s="95">
        <f>COUNTIF(TT!$D$591:$D$601,TALLY!A11)</f>
        <v>0</v>
      </c>
      <c r="AH11" s="95">
        <f>COUNTIF(TT!$D$608:$D$619,TALLY!A11)</f>
        <v>0</v>
      </c>
      <c r="AI11" s="314">
        <f>COUNTIF(TT!$D$628:$D$647,TALLY!A11)</f>
        <v>1</v>
      </c>
      <c r="AJ11" s="314">
        <f>COUNTIF(TT!$D$654:$D$668,TALLY!A11)</f>
        <v>0</v>
      </c>
      <c r="AK11" s="314">
        <f>COUNTIF(TT!$D$675:$D$685,TALLY!A11)</f>
        <v>0</v>
      </c>
      <c r="AL11" s="95">
        <f>COUNTIF(TT!$D$692:$D$702,TALLY!A11)</f>
        <v>0</v>
      </c>
      <c r="AM11" s="95">
        <f>COUNTIF(TT!$D$709:$D$721,TALLY!A11)</f>
        <v>1</v>
      </c>
      <c r="AN11" s="95">
        <f>COUNTIF(TT!$D$728:$D$737,TALLY!A11)</f>
        <v>0</v>
      </c>
      <c r="AO11" s="314">
        <f>COUNTIF(TT!$D$744:$D$753,TALLY!A11)</f>
        <v>0</v>
      </c>
      <c r="AP11" s="314">
        <f>COUNTIF(TT!$D$759:$D$774,TALLY!A11)</f>
        <v>1</v>
      </c>
      <c r="AQ11" s="314">
        <f>COUNTIF(TT!$D$781:$D$789,TALLY!A11)</f>
        <v>0</v>
      </c>
      <c r="AR11" s="97" t="s">
        <v>6</v>
      </c>
      <c r="AS11" s="4">
        <f>SUM($B11:$D11)</f>
        <v>1</v>
      </c>
      <c r="AT11" s="4">
        <f>SUM(E11:G11)</f>
        <v>0</v>
      </c>
      <c r="AU11" s="4">
        <f>SUM(H11:J11)</f>
        <v>1</v>
      </c>
      <c r="AV11" s="4">
        <f>SUM(K11:M11)</f>
        <v>1</v>
      </c>
      <c r="AW11" s="4">
        <f>SUM(N11:P11)</f>
        <v>1</v>
      </c>
      <c r="AX11" s="4">
        <f>SUM($Q11:$S11)</f>
        <v>0</v>
      </c>
      <c r="AY11" s="4">
        <f>SUM(T11:V11)</f>
        <v>1</v>
      </c>
      <c r="AZ11" s="4">
        <f>SUM(W11:Y11)</f>
        <v>1</v>
      </c>
      <c r="BA11" s="314">
        <f>SUM(Z11:AB11)</f>
        <v>0</v>
      </c>
      <c r="BB11" s="314">
        <f>SUM(AC11:AE11)</f>
        <v>1</v>
      </c>
      <c r="BC11" s="314">
        <f>SUM(AF11:AH11)</f>
        <v>0</v>
      </c>
      <c r="BD11" s="4">
        <f>SUM(AI11:AK11)</f>
        <v>1</v>
      </c>
      <c r="BE11" s="4">
        <f>SUM(AL11:AN11)</f>
        <v>1</v>
      </c>
      <c r="BF11" s="4">
        <f>SUM(AO11:AQ11)</f>
        <v>1</v>
      </c>
      <c r="BG11" s="92">
        <f>SUM(AS11:BF11)</f>
        <v>10</v>
      </c>
    </row>
    <row r="12" spans="1:59">
      <c r="A12" s="97" t="s">
        <v>10</v>
      </c>
      <c r="B12" s="95">
        <f>COUNTIF(TT!$D$6:$D$15,TALLY!A12)</f>
        <v>0</v>
      </c>
      <c r="C12" s="95">
        <f>COUNTIF(TT!$D$22:$D$32,TALLY!A12)</f>
        <v>0</v>
      </c>
      <c r="D12" s="95">
        <f>COUNTIF(TT!$D$39:$D$49,TALLY!A12)</f>
        <v>0</v>
      </c>
      <c r="E12" s="4">
        <f>COUNTIF(TT!$D$57:$D$67,TALLY!A12)</f>
        <v>0</v>
      </c>
      <c r="F12" s="4">
        <f>COUNTIF(TT!$D$74:$D$86,TALLY!A12)</f>
        <v>0</v>
      </c>
      <c r="G12" s="4">
        <f>COUNTIF(TT!$D$93:$D$107,TALLY!A12)</f>
        <v>0</v>
      </c>
      <c r="H12" s="95">
        <f>COUNTIF(TT!$D$113:$D$129,TALLY!A12)</f>
        <v>0</v>
      </c>
      <c r="I12" s="95">
        <f>COUNTIF(TT!$D$135:$D$155,TALLY!A12)</f>
        <v>1</v>
      </c>
      <c r="J12" s="95">
        <f>COUNTIF(TT!$D$162:$D$173,TALLY!A12)</f>
        <v>0</v>
      </c>
      <c r="K12" s="4">
        <f>COUNTIF(TT!$D$180:$D$199,TALLY!A12)</f>
        <v>0</v>
      </c>
      <c r="L12" s="4">
        <f>COUNTIF(TT!$D$207:$D$215,TALLY!A12)</f>
        <v>1</v>
      </c>
      <c r="M12" s="4">
        <f>COUNTIF(TT!$D$224:$D$231,TALLY!A12)</f>
        <v>0</v>
      </c>
      <c r="N12" s="345">
        <f>COUNTIF(TT!$D$237:$D$249,TALLY!A12)</f>
        <v>0</v>
      </c>
      <c r="O12" s="345">
        <f>COUNTIF(TT!$D$256:$D$264,TALLY!A12)</f>
        <v>1</v>
      </c>
      <c r="P12" s="345">
        <f>COUNTIF(TT!$D$271:$D$286,TALLY!A12)</f>
        <v>0</v>
      </c>
      <c r="Q12" s="4">
        <f>COUNTIF(TT!$D$293:$D$300,TALLY!A12)</f>
        <v>0</v>
      </c>
      <c r="R12" s="4">
        <f>COUNTIF(TT!$D$307:$D$319,TALLY!A12)</f>
        <v>0</v>
      </c>
      <c r="S12" s="4">
        <f>COUNTIF(TT!$D$326:$D$334,TALLY!A12)</f>
        <v>0</v>
      </c>
      <c r="T12" s="95">
        <f>COUNTIF(TT!$D$341:$D$350,TALLY!A12)</f>
        <v>0</v>
      </c>
      <c r="U12" s="95">
        <f>COUNTIF(TT!$D$357:$D$366,TALLY!A12)</f>
        <v>0</v>
      </c>
      <c r="V12" s="95">
        <f>COUNTIF(TT!$D$373:$D$383,TALLY!A12)</f>
        <v>0</v>
      </c>
      <c r="W12" s="4">
        <f>COUNTIF(TT!$D$390:$D$405,TALLY!A12)</f>
        <v>0</v>
      </c>
      <c r="X12" s="4">
        <f>COUNTIF(TT!$D$412:$D$423,TALLY!A12)</f>
        <v>0</v>
      </c>
      <c r="Y12" s="4">
        <f>COUNTIF(TT!$D$430:$D$438,TALLY!A12)</f>
        <v>0</v>
      </c>
      <c r="Z12" s="95">
        <f>COUNTIF(TT!$D$443:$D$457,TALLY!A12)</f>
        <v>1</v>
      </c>
      <c r="AA12" s="95">
        <f>COUNTIF(TT!$D$464:$D$474,TALLY!A12)</f>
        <v>0</v>
      </c>
      <c r="AB12" s="95">
        <f>COUNTIF(TT!$D$481:$D$494,TALLY!A12)</f>
        <v>0</v>
      </c>
      <c r="AC12" s="345">
        <f>COUNTIF(TT!$D$503:$D$522,TALLY!A12)</f>
        <v>0</v>
      </c>
      <c r="AD12" s="345">
        <f>COUNTIF(TT!$D$529:$D$541,TALLY!A12)</f>
        <v>1</v>
      </c>
      <c r="AE12" s="345">
        <f>COUNTIF(TT!$D$548:$D$561,TALLY!A12)</f>
        <v>0</v>
      </c>
      <c r="AF12" s="95">
        <f>COUNTIF(TT!$D$574:$D$584,TALLY!A12)</f>
        <v>0</v>
      </c>
      <c r="AG12" s="95">
        <f>COUNTIF(TT!$D$591:$D$601,TALLY!A12)</f>
        <v>0</v>
      </c>
      <c r="AH12" s="95">
        <f>COUNTIF(TT!$D$608:$D$619,TALLY!A12)</f>
        <v>0</v>
      </c>
      <c r="AI12" s="314">
        <f>COUNTIF(TT!$D$628:$D$647,TALLY!A12)</f>
        <v>0</v>
      </c>
      <c r="AJ12" s="314">
        <f>COUNTIF(TT!$D$654:$D$668,TALLY!A12)</f>
        <v>1</v>
      </c>
      <c r="AK12" s="314">
        <f>COUNTIF(TT!$D$675:$D$685,TALLY!A12)</f>
        <v>0</v>
      </c>
      <c r="AL12" s="95">
        <f>COUNTIF(TT!$D$692:$D$702,TALLY!A12)</f>
        <v>0</v>
      </c>
      <c r="AM12" s="95">
        <f>COUNTIF(TT!$D$709:$D$721,TALLY!A12)</f>
        <v>0</v>
      </c>
      <c r="AN12" s="95">
        <f>COUNTIF(TT!$D$728:$D$737,TALLY!A12)</f>
        <v>1</v>
      </c>
      <c r="AO12" s="314">
        <f>COUNTIF(TT!$D$744:$D$753,TALLY!A12)</f>
        <v>0</v>
      </c>
      <c r="AP12" s="314">
        <f>COUNTIF(TT!$D$759:$D$774,TALLY!A12)</f>
        <v>0</v>
      </c>
      <c r="AQ12" s="314">
        <f>COUNTIF(TT!$D$781:$D$789,TALLY!A12)</f>
        <v>0</v>
      </c>
      <c r="AR12" s="97" t="s">
        <v>10</v>
      </c>
      <c r="AS12" s="4">
        <f>SUM($B12:$D12)</f>
        <v>0</v>
      </c>
      <c r="AT12" s="4">
        <f>SUM(E12:G12)</f>
        <v>0</v>
      </c>
      <c r="AU12" s="4">
        <f>SUM(H12:J12)</f>
        <v>1</v>
      </c>
      <c r="AV12" s="4">
        <f>SUM(K12:M12)</f>
        <v>1</v>
      </c>
      <c r="AW12" s="4">
        <f>SUM(N12:P12)</f>
        <v>1</v>
      </c>
      <c r="AX12" s="4">
        <f>SUM($Q12:$S12)</f>
        <v>0</v>
      </c>
      <c r="AY12" s="4">
        <f>SUM(T12:V12)</f>
        <v>0</v>
      </c>
      <c r="AZ12" s="4">
        <f>SUM(W12:Y12)</f>
        <v>0</v>
      </c>
      <c r="BA12" s="314">
        <f>SUM(Z12:AB12)</f>
        <v>1</v>
      </c>
      <c r="BB12" s="314">
        <f>SUM(AC12:AE12)</f>
        <v>1</v>
      </c>
      <c r="BC12" s="314">
        <f>SUM(AF12:AH12)</f>
        <v>0</v>
      </c>
      <c r="BD12" s="4">
        <f>SUM(AI12:AK12)</f>
        <v>1</v>
      </c>
      <c r="BE12" s="4">
        <f>SUM(AL12:AN12)</f>
        <v>1</v>
      </c>
      <c r="BF12" s="4">
        <f>SUM(AO12:AQ12)</f>
        <v>0</v>
      </c>
      <c r="BG12" s="92">
        <f>SUM(AS12:BF12)</f>
        <v>7</v>
      </c>
    </row>
    <row r="13" spans="1:59">
      <c r="A13" s="97" t="s">
        <v>3</v>
      </c>
      <c r="B13" s="95">
        <f>COUNTIF(TT!$D$6:$D$15,TALLY!A13)</f>
        <v>0</v>
      </c>
      <c r="C13" s="95">
        <f>COUNTIF(TT!$D$22:$D$32,TALLY!A13)</f>
        <v>0</v>
      </c>
      <c r="D13" s="95">
        <f>COUNTIF(TT!$D$39:$D$49,TALLY!A13)</f>
        <v>1</v>
      </c>
      <c r="E13" s="4">
        <f>COUNTIF(TT!$D$57:$D$67,TALLY!A13)</f>
        <v>0</v>
      </c>
      <c r="F13" s="4">
        <f>COUNTIF(TT!$D$74:$D$86,TALLY!A13)</f>
        <v>0</v>
      </c>
      <c r="G13" s="4">
        <f>COUNTIF(TT!$D$93:$D$107,TALLY!A13)</f>
        <v>0</v>
      </c>
      <c r="H13" s="95">
        <f>COUNTIF(TT!$D$113:$D$129,TALLY!A13)</f>
        <v>0</v>
      </c>
      <c r="I13" s="95">
        <f>COUNTIF(TT!$D$135:$D$155,TALLY!A13)</f>
        <v>0</v>
      </c>
      <c r="J13" s="95">
        <f>COUNTIF(TT!$D$162:$D$173,TALLY!A13)</f>
        <v>0</v>
      </c>
      <c r="K13" s="4">
        <f>COUNTIF(TT!$D$180:$D$199,TALLY!A13)</f>
        <v>1</v>
      </c>
      <c r="L13" s="4">
        <f>COUNTIF(TT!$D$207:$D$215,TALLY!A13)</f>
        <v>0</v>
      </c>
      <c r="M13" s="4">
        <f>COUNTIF(TT!$D$224:$D$231,TALLY!A13)</f>
        <v>0</v>
      </c>
      <c r="N13" s="345">
        <f>COUNTIF(TT!$D$237:$D$249,TALLY!A13)</f>
        <v>0</v>
      </c>
      <c r="O13" s="345">
        <f>COUNTIF(TT!$D$256:$D$264,TALLY!A13)</f>
        <v>0</v>
      </c>
      <c r="P13" s="345">
        <f>COUNTIF(TT!$D$271:$D$286,TALLY!A13)</f>
        <v>0</v>
      </c>
      <c r="Q13" s="4">
        <f>COUNTIF(TT!$D$293:$D$300,TALLY!A13)</f>
        <v>0</v>
      </c>
      <c r="R13" s="4">
        <f>COUNTIF(TT!$D$307:$D$319,TALLY!A13)</f>
        <v>1</v>
      </c>
      <c r="S13" s="4">
        <f>COUNTIF(TT!$D$326:$D$334,TALLY!A13)</f>
        <v>0</v>
      </c>
      <c r="T13" s="95">
        <f>COUNTIF(TT!$D$341:$D$350,TALLY!A13)</f>
        <v>0</v>
      </c>
      <c r="U13" s="95">
        <f>COUNTIF(TT!$D$357:$D$366,TALLY!A13)</f>
        <v>0</v>
      </c>
      <c r="V13" s="95">
        <f>COUNTIF(TT!$D$373:$D$383,TALLY!A13)</f>
        <v>0</v>
      </c>
      <c r="W13" s="4">
        <f>COUNTIF(TT!$D$390:$D$405,TALLY!A13)</f>
        <v>1</v>
      </c>
      <c r="X13" s="4">
        <f>COUNTIF(TT!$D$412:$D$423,TALLY!A13)</f>
        <v>0</v>
      </c>
      <c r="Y13" s="4">
        <f>COUNTIF(TT!$D$430:$D$438,TALLY!A13)</f>
        <v>0</v>
      </c>
      <c r="Z13" s="95">
        <f>COUNTIF(TT!$D$443:$D$457,TALLY!A13)</f>
        <v>0</v>
      </c>
      <c r="AA13" s="95">
        <f>COUNTIF(TT!$D$464:$D$474,TALLY!A13)</f>
        <v>0</v>
      </c>
      <c r="AB13" s="95">
        <f>COUNTIF(TT!$D$481:$D$494,TALLY!A13)</f>
        <v>0</v>
      </c>
      <c r="AC13" s="345">
        <f>COUNTIF(TT!$D$503:$D$522,TALLY!A13)</f>
        <v>0</v>
      </c>
      <c r="AD13" s="345">
        <f>COUNTIF(TT!$D$529:$D$541,TALLY!A13)</f>
        <v>1</v>
      </c>
      <c r="AE13" s="345">
        <f>COUNTIF(TT!$D$548:$D$561,TALLY!A13)</f>
        <v>0</v>
      </c>
      <c r="AF13" s="95">
        <f>COUNTIF(TT!$D$574:$D$584,TALLY!A13)</f>
        <v>0</v>
      </c>
      <c r="AG13" s="95">
        <f>COUNTIF(TT!$D$591:$D$601,TALLY!A13)</f>
        <v>0</v>
      </c>
      <c r="AH13" s="95">
        <f>COUNTIF(TT!$D$608:$D$619,TALLY!A13)</f>
        <v>0</v>
      </c>
      <c r="AI13" s="314">
        <f>COUNTIF(TT!$D$628:$D$647,TALLY!A13)</f>
        <v>0</v>
      </c>
      <c r="AJ13" s="314">
        <f>COUNTIF(TT!$D$654:$D$668,TALLY!A13)</f>
        <v>1</v>
      </c>
      <c r="AK13" s="314">
        <f>COUNTIF(TT!$D$675:$D$685,TALLY!A13)</f>
        <v>0</v>
      </c>
      <c r="AL13" s="95">
        <f>COUNTIF(TT!$D$692:$D$702,TALLY!A13)</f>
        <v>0</v>
      </c>
      <c r="AM13" s="95">
        <f>COUNTIF(TT!$D$709:$D$721,TALLY!A13)</f>
        <v>0</v>
      </c>
      <c r="AN13" s="95">
        <f>COUNTIF(TT!$D$728:$D$737,TALLY!A13)</f>
        <v>0</v>
      </c>
      <c r="AO13" s="314">
        <f>COUNTIF(TT!$D$744:$D$753,TALLY!A13)</f>
        <v>0</v>
      </c>
      <c r="AP13" s="314">
        <f>COUNTIF(TT!$D$759:$D$774,TALLY!A13)</f>
        <v>1</v>
      </c>
      <c r="AQ13" s="314">
        <f>COUNTIF(TT!$D$781:$D$789,TALLY!A13)</f>
        <v>0</v>
      </c>
      <c r="AR13" s="97" t="s">
        <v>3</v>
      </c>
      <c r="AS13" s="4">
        <f>SUM($B13:$D13)</f>
        <v>1</v>
      </c>
      <c r="AT13" s="4">
        <f>SUM(E13:G13)</f>
        <v>0</v>
      </c>
      <c r="AU13" s="4">
        <f>SUM(H13:J13)</f>
        <v>0</v>
      </c>
      <c r="AV13" s="4">
        <f>SUM(K13:M13)</f>
        <v>1</v>
      </c>
      <c r="AW13" s="4">
        <f>SUM(N13:P13)</f>
        <v>0</v>
      </c>
      <c r="AX13" s="4">
        <f>SUM($Q13:$S13)</f>
        <v>1</v>
      </c>
      <c r="AY13" s="4">
        <f>SUM(T13:V13)</f>
        <v>0</v>
      </c>
      <c r="AZ13" s="4">
        <f>SUM(W13:Y13)</f>
        <v>1</v>
      </c>
      <c r="BA13" s="314">
        <f>SUM(Z13:AB13)</f>
        <v>0</v>
      </c>
      <c r="BB13" s="314">
        <f>SUM(AC13:AE13)</f>
        <v>1</v>
      </c>
      <c r="BC13" s="314">
        <f>SUM(AF13:AH13)</f>
        <v>0</v>
      </c>
      <c r="BD13" s="4">
        <f>SUM(AI13:AK13)</f>
        <v>1</v>
      </c>
      <c r="BE13" s="4">
        <f>SUM(AL13:AN13)</f>
        <v>0</v>
      </c>
      <c r="BF13" s="4">
        <f>SUM(AO13:AQ13)</f>
        <v>1</v>
      </c>
      <c r="BG13" s="92">
        <f>SUM(AS13:BF13)</f>
        <v>7</v>
      </c>
    </row>
    <row r="14" spans="1:59">
      <c r="A14" s="97" t="s">
        <v>5</v>
      </c>
      <c r="B14" s="95">
        <f>COUNTIF(TT!$D$6:$D$15,TALLY!A14)</f>
        <v>0</v>
      </c>
      <c r="C14" s="95">
        <f>COUNTIF(TT!$D$22:$D$32,TALLY!A14)</f>
        <v>0</v>
      </c>
      <c r="D14" s="95">
        <f>COUNTIF(TT!$D$39:$D$49,TALLY!A14)</f>
        <v>0</v>
      </c>
      <c r="E14" s="4">
        <f>COUNTIF(TT!$D$57:$D$67,TALLY!A14)</f>
        <v>0</v>
      </c>
      <c r="F14" s="4">
        <f>COUNTIF(TT!$D$74:$D$86,TALLY!A14)</f>
        <v>0</v>
      </c>
      <c r="G14" s="4">
        <f>COUNTIF(TT!$D$93:$D$107,TALLY!A14)</f>
        <v>1</v>
      </c>
      <c r="H14" s="95">
        <f>COUNTIF(TT!$D$113:$D$129,TALLY!A14)</f>
        <v>0</v>
      </c>
      <c r="I14" s="95">
        <f>COUNTIF(TT!$D$135:$D$155,TALLY!A14)</f>
        <v>0</v>
      </c>
      <c r="J14" s="95">
        <f>COUNTIF(TT!$D$162:$D$173,TALLY!A14)</f>
        <v>0</v>
      </c>
      <c r="K14" s="4">
        <f>COUNTIF(TT!$D$180:$D$199,TALLY!A14)</f>
        <v>1</v>
      </c>
      <c r="L14" s="4">
        <f>COUNTIF(TT!$D$207:$D$215,TALLY!A14)</f>
        <v>0</v>
      </c>
      <c r="M14" s="4">
        <f>COUNTIF(TT!$D$224:$D$231,TALLY!A14)</f>
        <v>0</v>
      </c>
      <c r="N14" s="345">
        <f>COUNTIF(TT!$D$237:$D$249,TALLY!A14)</f>
        <v>0</v>
      </c>
      <c r="O14" s="345">
        <f>COUNTIF(TT!$D$256:$D$264,TALLY!A14)</f>
        <v>0</v>
      </c>
      <c r="P14" s="345">
        <f>COUNTIF(TT!$D$271:$D$286,TALLY!A14)</f>
        <v>0</v>
      </c>
      <c r="Q14" s="4">
        <f>COUNTIF(TT!$D$293:$D$300,TALLY!A14)</f>
        <v>0</v>
      </c>
      <c r="R14" s="4">
        <f>COUNTIF(TT!$D$307:$D$319,TALLY!A14)</f>
        <v>1</v>
      </c>
      <c r="S14" s="4">
        <f>COUNTIF(TT!$D$326:$D$334,TALLY!A14)</f>
        <v>0</v>
      </c>
      <c r="T14" s="95">
        <f>COUNTIF(TT!$D$341:$D$350,TALLY!A14)</f>
        <v>0</v>
      </c>
      <c r="U14" s="95">
        <f>COUNTIF(TT!$D$357:$D$366,TALLY!A14)</f>
        <v>0</v>
      </c>
      <c r="V14" s="95">
        <f>COUNTIF(TT!$D$373:$D$383,TALLY!A14)</f>
        <v>0</v>
      </c>
      <c r="W14" s="4">
        <f>COUNTIF(TT!$D$390:$D$405,TALLY!A14)</f>
        <v>1</v>
      </c>
      <c r="X14" s="4">
        <f>COUNTIF(TT!$D$412:$D$423,TALLY!A14)</f>
        <v>0</v>
      </c>
      <c r="Y14" s="4">
        <f>COUNTIF(TT!$D$430:$D$438,TALLY!A14)</f>
        <v>0</v>
      </c>
      <c r="Z14" s="95">
        <f>COUNTIF(TT!$D$443:$D$457,TALLY!A14)</f>
        <v>0</v>
      </c>
      <c r="AA14" s="95">
        <f>COUNTIF(TT!$D$464:$D$474,TALLY!A14)</f>
        <v>0</v>
      </c>
      <c r="AB14" s="95">
        <f>COUNTIF(TT!$D$481:$D$494,TALLY!A14)</f>
        <v>1</v>
      </c>
      <c r="AC14" s="345">
        <f>COUNTIF(TT!$D$503:$D$522,TALLY!A14)</f>
        <v>1</v>
      </c>
      <c r="AD14" s="345">
        <f>COUNTIF(TT!$D$529:$D$541,TALLY!A14)</f>
        <v>0</v>
      </c>
      <c r="AE14" s="345">
        <f>COUNTIF(TT!$D$548:$D$561,TALLY!A14)</f>
        <v>0</v>
      </c>
      <c r="AF14" s="95">
        <f>COUNTIF(TT!$D$574:$D$584,TALLY!A14)</f>
        <v>0</v>
      </c>
      <c r="AG14" s="95">
        <f>COUNTIF(TT!$D$591:$D$601,TALLY!A14)</f>
        <v>0</v>
      </c>
      <c r="AH14" s="95">
        <f>COUNTIF(TT!$D$608:$D$619,TALLY!A14)</f>
        <v>0</v>
      </c>
      <c r="AI14" s="314">
        <f>COUNTIF(TT!$D$628:$D$647,TALLY!A14)</f>
        <v>1</v>
      </c>
      <c r="AJ14" s="314">
        <f>COUNTIF(TT!$D$654:$D$668,TALLY!A14)</f>
        <v>0</v>
      </c>
      <c r="AK14" s="314">
        <f>COUNTIF(TT!$D$675:$D$685,TALLY!A14)</f>
        <v>0</v>
      </c>
      <c r="AL14" s="95">
        <f>COUNTIF(TT!$D$692:$D$702,TALLY!A14)</f>
        <v>0</v>
      </c>
      <c r="AM14" s="95">
        <f>COUNTIF(TT!$D$709:$D$721,TALLY!A14)</f>
        <v>0</v>
      </c>
      <c r="AN14" s="95">
        <f>COUNTIF(TT!$D$728:$D$737,TALLY!A14)</f>
        <v>0</v>
      </c>
      <c r="AO14" s="314">
        <f>COUNTIF(TT!$D$744:$D$753,TALLY!A14)</f>
        <v>0</v>
      </c>
      <c r="AP14" s="314">
        <f>COUNTIF(TT!$D$759:$D$774,TALLY!A14)</f>
        <v>1</v>
      </c>
      <c r="AQ14" s="314">
        <f>COUNTIF(TT!$D$781:$D$789,TALLY!A14)</f>
        <v>0</v>
      </c>
      <c r="AR14" s="97" t="s">
        <v>5</v>
      </c>
      <c r="AS14" s="4">
        <f>SUM($B14:$D14)</f>
        <v>0</v>
      </c>
      <c r="AT14" s="4">
        <f>SUM(E14:G14)</f>
        <v>1</v>
      </c>
      <c r="AU14" s="4">
        <f>SUM(H14:J14)</f>
        <v>0</v>
      </c>
      <c r="AV14" s="4">
        <f>SUM(K14:M14)</f>
        <v>1</v>
      </c>
      <c r="AW14" s="4">
        <f>SUM(N14:P14)</f>
        <v>0</v>
      </c>
      <c r="AX14" s="4">
        <f>SUM($Q14:$S14)</f>
        <v>1</v>
      </c>
      <c r="AY14" s="4">
        <f>SUM(T14:V14)</f>
        <v>0</v>
      </c>
      <c r="AZ14" s="4">
        <f>SUM(W14:Y14)</f>
        <v>1</v>
      </c>
      <c r="BA14" s="314">
        <f>SUM(Z14:AB14)</f>
        <v>1</v>
      </c>
      <c r="BB14" s="314">
        <f>SUM(AC14:AE14)</f>
        <v>1</v>
      </c>
      <c r="BC14" s="314">
        <f>SUM(AF14:AH14)</f>
        <v>0</v>
      </c>
      <c r="BD14" s="4">
        <f>SUM(AI14:AK14)</f>
        <v>1</v>
      </c>
      <c r="BE14" s="4">
        <f>SUM(AL14:AN14)</f>
        <v>0</v>
      </c>
      <c r="BF14" s="4">
        <f>SUM(AO14:AQ14)</f>
        <v>1</v>
      </c>
      <c r="BG14" s="92">
        <f>SUM(AS14:BF14)</f>
        <v>8</v>
      </c>
    </row>
    <row r="15" spans="1:59">
      <c r="A15" s="97" t="s">
        <v>9</v>
      </c>
      <c r="B15" s="95">
        <f>COUNTIF(TT!$D$6:$D$15,TALLY!A15)</f>
        <v>0</v>
      </c>
      <c r="C15" s="95">
        <f>COUNTIF(TT!$D$22:$D$32,TALLY!A15)</f>
        <v>0</v>
      </c>
      <c r="D15" s="95">
        <f>COUNTIF(TT!$D$39:$D$49,TALLY!A15)</f>
        <v>1</v>
      </c>
      <c r="E15" s="4">
        <f>COUNTIF(TT!$D$57:$D$67,TALLY!A15)</f>
        <v>0</v>
      </c>
      <c r="F15" s="4">
        <f>COUNTIF(TT!$D$74:$D$86,TALLY!A15)</f>
        <v>0</v>
      </c>
      <c r="G15" s="4">
        <f>COUNTIF(TT!$D$93:$D$107,TALLY!A15)</f>
        <v>1</v>
      </c>
      <c r="H15" s="95">
        <f>COUNTIF(TT!$D$113:$D$129,TALLY!A15)</f>
        <v>0</v>
      </c>
      <c r="I15" s="95">
        <f>COUNTIF(TT!$D$135:$D$155,TALLY!A15)</f>
        <v>0</v>
      </c>
      <c r="J15" s="95">
        <f>COUNTIF(TT!$D$162:$D$173,TALLY!A15)</f>
        <v>0</v>
      </c>
      <c r="K15" s="4">
        <f>COUNTIF(TT!$D$180:$D$199,TALLY!A15)</f>
        <v>0</v>
      </c>
      <c r="L15" s="4">
        <f>COUNTIF(TT!$D$207:$D$215,TALLY!A15)</f>
        <v>1</v>
      </c>
      <c r="M15" s="4">
        <f>COUNTIF(TT!$D$224:$D$231,TALLY!A15)</f>
        <v>0</v>
      </c>
      <c r="N15" s="345">
        <f>COUNTIF(TT!$D$237:$D$249,TALLY!A15)</f>
        <v>0</v>
      </c>
      <c r="O15" s="345">
        <f>COUNTIF(TT!$D$256:$D$264,TALLY!A15)</f>
        <v>0</v>
      </c>
      <c r="P15" s="345">
        <f>COUNTIF(TT!$D$271:$D$286,TALLY!A15)</f>
        <v>0</v>
      </c>
      <c r="Q15" s="4">
        <f>COUNTIF(TT!$D$293:$D$300,TALLY!A15)</f>
        <v>0</v>
      </c>
      <c r="R15" s="4">
        <f>COUNTIF(TT!$D$307:$D$319,TALLY!A15)</f>
        <v>1</v>
      </c>
      <c r="S15" s="4">
        <f>COUNTIF(TT!$D$326:$D$334,TALLY!A15)</f>
        <v>0</v>
      </c>
      <c r="T15" s="95">
        <f>COUNTIF(TT!$D$341:$D$350,TALLY!A15)</f>
        <v>0</v>
      </c>
      <c r="U15" s="95">
        <f>COUNTIF(TT!$D$357:$D$366,TALLY!A15)</f>
        <v>0</v>
      </c>
      <c r="V15" s="95">
        <f>COUNTIF(TT!$D$373:$D$383,TALLY!A15)</f>
        <v>0</v>
      </c>
      <c r="W15" s="4">
        <f>COUNTIF(TT!$D$390:$D$405,TALLY!A15)</f>
        <v>1</v>
      </c>
      <c r="X15" s="4">
        <f>COUNTIF(TT!$D$412:$D$423,TALLY!A15)</f>
        <v>0</v>
      </c>
      <c r="Y15" s="4">
        <f>COUNTIF(TT!$D$430:$D$438,TALLY!A15)</f>
        <v>0</v>
      </c>
      <c r="Z15" s="95">
        <f>COUNTIF(TT!$D$443:$D$457,TALLY!A15)</f>
        <v>0</v>
      </c>
      <c r="AA15" s="95">
        <f>COUNTIF(TT!$D$464:$D$474,TALLY!A15)</f>
        <v>0</v>
      </c>
      <c r="AB15" s="95">
        <f>COUNTIF(TT!$D$481:$D$494,TALLY!A15)</f>
        <v>0</v>
      </c>
      <c r="AC15" s="345">
        <f>COUNTIF(TT!$D$503:$D$522,TALLY!A15)</f>
        <v>0</v>
      </c>
      <c r="AD15" s="345">
        <f>COUNTIF(TT!$D$529:$D$541,TALLY!A15)</f>
        <v>0</v>
      </c>
      <c r="AE15" s="345">
        <f>COUNTIF(TT!$D$548:$D$561,TALLY!A15)</f>
        <v>0</v>
      </c>
      <c r="AF15" s="95">
        <f>COUNTIF(TT!$D$574:$D$584,TALLY!A15)</f>
        <v>0</v>
      </c>
      <c r="AG15" s="95">
        <f>COUNTIF(TT!$D$591:$D$601,TALLY!A15)</f>
        <v>0</v>
      </c>
      <c r="AH15" s="95">
        <f>COUNTIF(TT!$D$608:$D$619,TALLY!A15)</f>
        <v>0</v>
      </c>
      <c r="AI15" s="314">
        <f>COUNTIF(TT!$D$628:$D$647,TALLY!A15)</f>
        <v>1</v>
      </c>
      <c r="AJ15" s="314">
        <f>COUNTIF(TT!$D$654:$D$668,TALLY!A15)</f>
        <v>0</v>
      </c>
      <c r="AK15" s="314">
        <f>COUNTIF(TT!$D$675:$D$685,TALLY!A15)</f>
        <v>0</v>
      </c>
      <c r="AL15" s="95">
        <f>COUNTIF(TT!$D$692:$D$702,TALLY!A15)</f>
        <v>0</v>
      </c>
      <c r="AM15" s="95">
        <f>COUNTIF(TT!$D$709:$D$721,TALLY!A15)</f>
        <v>0</v>
      </c>
      <c r="AN15" s="95">
        <f>COUNTIF(TT!$D$728:$D$737,TALLY!A15)</f>
        <v>0</v>
      </c>
      <c r="AO15" s="314">
        <f>COUNTIF(TT!$D$744:$D$753,TALLY!A15)</f>
        <v>0</v>
      </c>
      <c r="AP15" s="314">
        <f>COUNTIF(TT!$D$759:$D$774,TALLY!A15)</f>
        <v>1</v>
      </c>
      <c r="AQ15" s="314">
        <f>COUNTIF(TT!$D$781:$D$789,TALLY!A15)</f>
        <v>0</v>
      </c>
      <c r="AR15" s="97" t="s">
        <v>9</v>
      </c>
      <c r="AS15" s="4">
        <f>SUM($B15:$D15)</f>
        <v>1</v>
      </c>
      <c r="AT15" s="4">
        <f>SUM(E15:G15)</f>
        <v>1</v>
      </c>
      <c r="AU15" s="4">
        <f>SUM(H15:J15)</f>
        <v>0</v>
      </c>
      <c r="AV15" s="4">
        <f>SUM(K15:M15)</f>
        <v>1</v>
      </c>
      <c r="AW15" s="4">
        <f>SUM(N15:P15)</f>
        <v>0</v>
      </c>
      <c r="AX15" s="4">
        <f>SUM($Q15:$S15)</f>
        <v>1</v>
      </c>
      <c r="AY15" s="4">
        <f>SUM(T15:V15)</f>
        <v>0</v>
      </c>
      <c r="AZ15" s="4">
        <f>SUM(W15:Y15)</f>
        <v>1</v>
      </c>
      <c r="BA15" s="314">
        <f>SUM(Z15:AB15)</f>
        <v>0</v>
      </c>
      <c r="BB15" s="314">
        <f>SUM(AC15:AE15)</f>
        <v>0</v>
      </c>
      <c r="BC15" s="314">
        <f>SUM(AF15:AH15)</f>
        <v>0</v>
      </c>
      <c r="BD15" s="4">
        <f>SUM(AI15:AK15)</f>
        <v>1</v>
      </c>
      <c r="BE15" s="4">
        <f>SUM(AL15:AN15)</f>
        <v>0</v>
      </c>
      <c r="BF15" s="4">
        <f>SUM(AO15:AQ15)</f>
        <v>1</v>
      </c>
      <c r="BG15" s="92">
        <f>SUM(AS15:BF15)</f>
        <v>7</v>
      </c>
    </row>
    <row ht="15" customHeight="1" r="16" spans="1:59">
      <c r="A16" s="97" t="s">
        <v>11</v>
      </c>
      <c r="B16" s="95">
        <f>COUNTIF(TT!$D$6:$D$15,TALLY!A16)</f>
        <v>0</v>
      </c>
      <c r="C16" s="95">
        <f>COUNTIF(TT!$D$22:$D$32,TALLY!A16)</f>
        <v>0</v>
      </c>
      <c r="D16" s="95">
        <f>COUNTIF(TT!$D$39:$D$49,TALLY!A16)</f>
        <v>0</v>
      </c>
      <c r="E16" s="4">
        <f>COUNTIF(TT!$D$57:$D$67,TALLY!A16)</f>
        <v>0</v>
      </c>
      <c r="F16" s="4">
        <f>COUNTIF(TT!$D$74:$D$86,TALLY!A16)</f>
        <v>0</v>
      </c>
      <c r="G16" s="4">
        <f>COUNTIF(TT!$D$93:$D$107,TALLY!A16)</f>
        <v>1</v>
      </c>
      <c r="H16" s="95">
        <f>COUNTIF(TT!$D$113:$D$129,TALLY!A16)</f>
        <v>0</v>
      </c>
      <c r="I16" s="95">
        <f>COUNTIF(TT!$D$135:$D$155,TALLY!A16)</f>
        <v>0</v>
      </c>
      <c r="J16" s="95">
        <f>COUNTIF(TT!$D$162:$D$173,TALLY!A16)</f>
        <v>0</v>
      </c>
      <c r="K16" s="4">
        <f>COUNTIF(TT!$D$180:$D$199,TALLY!A16)</f>
        <v>1</v>
      </c>
      <c r="L16" s="4">
        <f>COUNTIF(TT!$D$207:$D$215,TALLY!A16)</f>
        <v>0</v>
      </c>
      <c r="M16" s="4">
        <f>COUNTIF(TT!$D$224:$D$231,TALLY!A16)</f>
        <v>0</v>
      </c>
      <c r="N16" s="345">
        <f>COUNTIF(TT!$D$237:$D$249,TALLY!A16)</f>
        <v>0</v>
      </c>
      <c r="O16" s="345">
        <f>COUNTIF(TT!$D$256:$D$264,TALLY!A16)</f>
        <v>0</v>
      </c>
      <c r="P16" s="345">
        <f>COUNTIF(TT!$D$271:$D$286,TALLY!A16)</f>
        <v>0</v>
      </c>
      <c r="Q16" s="4">
        <f>COUNTIF(TT!$D$293:$D$300,TALLY!A16)</f>
        <v>0</v>
      </c>
      <c r="R16" s="4">
        <f>COUNTIF(TT!$D$307:$D$319,TALLY!A16)</f>
        <v>1</v>
      </c>
      <c r="S16" s="4">
        <f>COUNTIF(TT!$D$326:$D$334,TALLY!A16)</f>
        <v>0</v>
      </c>
      <c r="T16" s="95">
        <f>COUNTIF(TT!$D$341:$D$350,TALLY!A16)</f>
        <v>0</v>
      </c>
      <c r="U16" s="95">
        <f>COUNTIF(TT!$D$357:$D$366,TALLY!A16)</f>
        <v>0</v>
      </c>
      <c r="V16" s="95">
        <f>COUNTIF(TT!$D$373:$D$383,TALLY!A16)</f>
        <v>0</v>
      </c>
      <c r="W16" s="4">
        <f>COUNTIF(TT!$D$390:$D$405,TALLY!A16)</f>
        <v>1</v>
      </c>
      <c r="X16" s="4">
        <f>COUNTIF(TT!$D$412:$D$423,TALLY!A16)</f>
        <v>0</v>
      </c>
      <c r="Y16" s="4">
        <f>COUNTIF(TT!$D$430:$D$438,TALLY!A16)</f>
        <v>0</v>
      </c>
      <c r="Z16" s="95">
        <f>COUNTIF(TT!$D$443:$D$457,TALLY!A16)</f>
        <v>1</v>
      </c>
      <c r="AA16" s="95">
        <f>COUNTIF(TT!$D$464:$D$474,TALLY!A16)</f>
        <v>0</v>
      </c>
      <c r="AB16" s="95">
        <f>COUNTIF(TT!$D$481:$D$494,TALLY!A16)</f>
        <v>0</v>
      </c>
      <c r="AC16" s="345">
        <f>COUNTIF(TT!$D$503:$D$522,TALLY!A16)</f>
        <v>0</v>
      </c>
      <c r="AD16" s="345">
        <f>COUNTIF(TT!$D$529:$D$541,TALLY!A16)</f>
        <v>1</v>
      </c>
      <c r="AE16" s="345">
        <f>COUNTIF(TT!$D$548:$D$561,TALLY!A16)</f>
        <v>0</v>
      </c>
      <c r="AF16" s="95">
        <f>COUNTIF(TT!$D$574:$D$584,TALLY!A16)</f>
        <v>0</v>
      </c>
      <c r="AG16" s="95">
        <f>COUNTIF(TT!$D$591:$D$601,TALLY!A16)</f>
        <v>0</v>
      </c>
      <c r="AH16" s="95">
        <f>COUNTIF(TT!$D$608:$D$619,TALLY!A16)</f>
        <v>0</v>
      </c>
      <c r="AI16" s="314">
        <f>COUNTIF(TT!$D$628:$D$647,TALLY!A16)</f>
        <v>0</v>
      </c>
      <c r="AJ16" s="314">
        <f>COUNTIF(TT!$D$654:$D$668,TALLY!A16)</f>
        <v>1</v>
      </c>
      <c r="AK16" s="314">
        <f>COUNTIF(TT!$D$675:$D$685,TALLY!A16)</f>
        <v>0</v>
      </c>
      <c r="AL16" s="95">
        <f>COUNTIF(TT!$D$692:$D$702,TALLY!A16)</f>
        <v>0</v>
      </c>
      <c r="AM16" s="95">
        <f>COUNTIF(TT!$D$709:$D$721,TALLY!A16)</f>
        <v>0</v>
      </c>
      <c r="AN16" s="95">
        <f>COUNTIF(TT!$D$728:$D$737,TALLY!A16)</f>
        <v>0</v>
      </c>
      <c r="AO16" s="314">
        <f>COUNTIF(TT!$D$744:$D$753,TALLY!A16)</f>
        <v>0</v>
      </c>
      <c r="AP16" s="314">
        <f>COUNTIF(TT!$D$759:$D$774,TALLY!A16)</f>
        <v>1</v>
      </c>
      <c r="AQ16" s="314">
        <f>COUNTIF(TT!$D$781:$D$789,TALLY!A16)</f>
        <v>0</v>
      </c>
      <c r="AR16" s="97" t="s">
        <v>11</v>
      </c>
      <c r="AS16" s="4">
        <f>SUM($B16:$D16)</f>
        <v>0</v>
      </c>
      <c r="AT16" s="4">
        <f>SUM(E16:G16)</f>
        <v>1</v>
      </c>
      <c r="AU16" s="4">
        <f>SUM(H16:J16)</f>
        <v>0</v>
      </c>
      <c r="AV16" s="4">
        <f>SUM(K16:M16)</f>
        <v>1</v>
      </c>
      <c r="AW16" s="4">
        <f>SUM(N16:P16)</f>
        <v>0</v>
      </c>
      <c r="AX16" s="4">
        <f>SUM($Q16:$S16)</f>
        <v>1</v>
      </c>
      <c r="AY16" s="4">
        <f>SUM(T16:V16)</f>
        <v>0</v>
      </c>
      <c r="AZ16" s="4">
        <f>SUM(W16:Y16)</f>
        <v>1</v>
      </c>
      <c r="BA16" s="314">
        <f>SUM(Z16:AB16)</f>
        <v>1</v>
      </c>
      <c r="BB16" s="314">
        <f>SUM(AC16:AE16)</f>
        <v>1</v>
      </c>
      <c r="BC16" s="314">
        <f>SUM(AF16:AH16)</f>
        <v>0</v>
      </c>
      <c r="BD16" s="4">
        <f>SUM(AI16:AK16)</f>
        <v>1</v>
      </c>
      <c r="BE16" s="4">
        <f>SUM(AL16:AN16)</f>
        <v>0</v>
      </c>
      <c r="BF16" s="4">
        <f>SUM(AO16:AQ16)</f>
        <v>1</v>
      </c>
      <c r="BG16" s="92">
        <f>SUM(AS16:BF16)</f>
        <v>8</v>
      </c>
    </row>
    <row r="17" spans="1:59">
      <c r="A17" s="97" t="s">
        <v>35</v>
      </c>
      <c r="B17" s="95">
        <f>COUNTIF(TT!$D$6:$D$15,TALLY!A17)</f>
        <v>0</v>
      </c>
      <c r="C17" s="95">
        <f>COUNTIF(TT!$D$22:$D$32,TALLY!A17)</f>
        <v>0</v>
      </c>
      <c r="D17" s="95">
        <f>COUNTIF(TT!$D$39:$D$49,TALLY!A17)</f>
        <v>0</v>
      </c>
      <c r="E17" s="4">
        <f>COUNTIF(TT!$D$57:$D$67,TALLY!A17)</f>
        <v>0</v>
      </c>
      <c r="F17" s="4">
        <f>COUNTIF(TT!$D$74:$D$86,TALLY!A17)</f>
        <v>0</v>
      </c>
      <c r="G17" s="4">
        <f>COUNTIF(TT!$D$93:$D$107,TALLY!A17)</f>
        <v>1</v>
      </c>
      <c r="H17" s="95">
        <f>COUNTIF(TT!$D$113:$D$129,TALLY!A17)</f>
        <v>0</v>
      </c>
      <c r="I17" s="95">
        <f>COUNTIF(TT!$D$135:$D$155,TALLY!A17)</f>
        <v>0</v>
      </c>
      <c r="J17" s="95">
        <f>COUNTIF(TT!$D$162:$D$173,TALLY!A17)</f>
        <v>0</v>
      </c>
      <c r="K17" s="4">
        <f>COUNTIF(TT!$D$180:$D$199,TALLY!A17)</f>
        <v>1</v>
      </c>
      <c r="L17" s="4">
        <f>COUNTIF(TT!$D$207:$D$215,TALLY!A17)</f>
        <v>0</v>
      </c>
      <c r="M17" s="4">
        <f>COUNTIF(TT!$D$224:$D$231,TALLY!A17)</f>
        <v>0</v>
      </c>
      <c r="N17" s="345">
        <f>COUNTIF(TT!$D$237:$D$249,TALLY!A17)</f>
        <v>0</v>
      </c>
      <c r="O17" s="345">
        <f>COUNTIF(TT!$D$256:$D$264,TALLY!A17)</f>
        <v>0</v>
      </c>
      <c r="P17" s="345">
        <f>COUNTIF(TT!$D$271:$D$286,TALLY!A17)</f>
        <v>0</v>
      </c>
      <c r="Q17" s="4">
        <f>COUNTIF(TT!$D$293:$D$300,TALLY!A17)</f>
        <v>0</v>
      </c>
      <c r="R17" s="4">
        <f>COUNTIF(TT!$D$307:$D$319,TALLY!A17)</f>
        <v>1</v>
      </c>
      <c r="S17" s="4">
        <f>COUNTIF(TT!$D$326:$D$334,TALLY!A17)</f>
        <v>0</v>
      </c>
      <c r="T17" s="95">
        <f>COUNTIF(TT!$D$341:$D$350,TALLY!A17)</f>
        <v>0</v>
      </c>
      <c r="U17" s="95">
        <f>COUNTIF(TT!$D$357:$D$366,TALLY!A17)</f>
        <v>0</v>
      </c>
      <c r="V17" s="95">
        <f>COUNTIF(TT!$D$373:$D$383,TALLY!A17)</f>
        <v>0</v>
      </c>
      <c r="W17" s="4">
        <f>COUNTIF(TT!$D$390:$D$405,TALLY!A17)</f>
        <v>1</v>
      </c>
      <c r="X17" s="4">
        <f>COUNTIF(TT!$D$412:$D$423,TALLY!A17)</f>
        <v>0</v>
      </c>
      <c r="Y17" s="4">
        <f>COUNTIF(TT!$D$430:$D$438,TALLY!A17)</f>
        <v>0</v>
      </c>
      <c r="Z17" s="95">
        <f>COUNTIF(TT!$D$443:$D$457,TALLY!A17)</f>
        <v>1</v>
      </c>
      <c r="AA17" s="95">
        <f>COUNTIF(TT!$D$464:$D$474,TALLY!A17)</f>
        <v>0</v>
      </c>
      <c r="AB17" s="95">
        <f>COUNTIF(TT!$D$481:$D$494,TALLY!A17)</f>
        <v>0</v>
      </c>
      <c r="AC17" s="345">
        <f>COUNTIF(TT!$D$503:$D$522,TALLY!A17)</f>
        <v>0</v>
      </c>
      <c r="AD17" s="345">
        <f>COUNTIF(TT!$D$529:$D$541,TALLY!A17)</f>
        <v>0</v>
      </c>
      <c r="AE17" s="345">
        <f>COUNTIF(TT!$D$548:$D$561,TALLY!A17)</f>
        <v>1</v>
      </c>
      <c r="AF17" s="95">
        <f>COUNTIF(TT!$D$574:$D$584,TALLY!A17)</f>
        <v>0</v>
      </c>
      <c r="AG17" s="95">
        <f>COUNTIF(TT!$D$591:$D$601,TALLY!A17)</f>
        <v>0</v>
      </c>
      <c r="AH17" s="95">
        <f>COUNTIF(TT!$D$608:$D$619,TALLY!A17)</f>
        <v>0</v>
      </c>
      <c r="AI17" s="314">
        <f>COUNTIF(TT!$D$628:$D$647,TALLY!A17)</f>
        <v>1</v>
      </c>
      <c r="AJ17" s="314">
        <f>COUNTIF(TT!$D$654:$D$668,TALLY!A17)</f>
        <v>0</v>
      </c>
      <c r="AK17" s="314">
        <f>COUNTIF(TT!$D$675:$D$685,TALLY!A17)</f>
        <v>0</v>
      </c>
      <c r="AL17" s="95">
        <f>COUNTIF(TT!$D$692:$D$702,TALLY!A17)</f>
        <v>0</v>
      </c>
      <c r="AM17" s="95">
        <f>COUNTIF(TT!$D$709:$D$721,TALLY!A17)</f>
        <v>0</v>
      </c>
      <c r="AN17" s="95">
        <f>COUNTIF(TT!$D$728:$D$737,TALLY!A17)</f>
        <v>0</v>
      </c>
      <c r="AO17" s="314">
        <f>COUNTIF(TT!$D$744:$D$753,TALLY!A17)</f>
        <v>0</v>
      </c>
      <c r="AP17" s="314">
        <f>COUNTIF(TT!$D$759:$D$774,TALLY!A17)</f>
        <v>1</v>
      </c>
      <c r="AQ17" s="314">
        <f>COUNTIF(TT!$D$781:$D$789,TALLY!A17)</f>
        <v>0</v>
      </c>
      <c r="AR17" s="97" t="s">
        <v>35</v>
      </c>
      <c r="AS17" s="4">
        <f>SUM($B17:$D17)</f>
        <v>0</v>
      </c>
      <c r="AT17" s="4">
        <f>SUM(E17:G17)</f>
        <v>1</v>
      </c>
      <c r="AU17" s="4">
        <f>SUM(H17:J17)</f>
        <v>0</v>
      </c>
      <c r="AV17" s="4">
        <f>SUM(K17:M17)</f>
        <v>1</v>
      </c>
      <c r="AW17" s="4">
        <f>SUM(N17:P17)</f>
        <v>0</v>
      </c>
      <c r="AX17" s="4">
        <f>SUM($Q17:$S17)</f>
        <v>1</v>
      </c>
      <c r="AY17" s="4">
        <f>SUM(T17:V17)</f>
        <v>0</v>
      </c>
      <c r="AZ17" s="4">
        <f>SUM(W17:Y17)</f>
        <v>1</v>
      </c>
      <c r="BA17" s="314">
        <f>SUM(Z17:AB17)</f>
        <v>1</v>
      </c>
      <c r="BB17" s="314">
        <f>SUM(AC17:AE17)</f>
        <v>1</v>
      </c>
      <c r="BC17" s="314">
        <f>SUM(AF17:AH17)</f>
        <v>0</v>
      </c>
      <c r="BD17" s="4">
        <f>SUM(AI17:AK17)</f>
        <v>1</v>
      </c>
      <c r="BE17" s="4">
        <f>SUM(AL17:AN17)</f>
        <v>0</v>
      </c>
      <c r="BF17" s="4">
        <f>SUM(AO17:AQ17)</f>
        <v>1</v>
      </c>
      <c r="BG17" s="92">
        <f>SUM(AS17:BF17)</f>
        <v>8</v>
      </c>
    </row>
    <row r="18" spans="1:59">
      <c r="A18" s="97" t="s">
        <v>30</v>
      </c>
      <c r="B18" s="95">
        <f>COUNTIF(TT!$D$6:$D$15,TALLY!A18)</f>
        <v>1</v>
      </c>
      <c r="C18" s="95">
        <f>COUNTIF(TT!$D$22:$D$32,TALLY!A18)</f>
        <v>0</v>
      </c>
      <c r="D18" s="95">
        <f>COUNTIF(TT!$D$39:$D$49,TALLY!A18)</f>
        <v>0</v>
      </c>
      <c r="E18" s="4">
        <f>COUNTIF(TT!$D$57:$D$67,TALLY!A18)</f>
        <v>0</v>
      </c>
      <c r="F18" s="4">
        <f>COUNTIF(TT!$D$74:$D$86,TALLY!A18)</f>
        <v>0</v>
      </c>
      <c r="G18" s="4">
        <f>COUNTIF(TT!$D$93:$D$107,TALLY!A18)</f>
        <v>0</v>
      </c>
      <c r="H18" s="95">
        <f>COUNTIF(TT!$D$113:$D$129,TALLY!A18)</f>
        <v>0</v>
      </c>
      <c r="I18" s="95">
        <f>COUNTIF(TT!$D$135:$D$155,TALLY!A18)</f>
        <v>0</v>
      </c>
      <c r="J18" s="95">
        <f>COUNTIF(TT!$D$162:$D$173,TALLY!A18)</f>
        <v>0</v>
      </c>
      <c r="K18" s="4">
        <f>COUNTIF(TT!$D$180:$D$199,TALLY!A18)</f>
        <v>0</v>
      </c>
      <c r="L18" s="4">
        <f>COUNTIF(TT!$D$207:$D$215,TALLY!A18)</f>
        <v>1</v>
      </c>
      <c r="M18" s="4">
        <f>COUNTIF(TT!$D$224:$D$231,TALLY!A18)</f>
        <v>0</v>
      </c>
      <c r="N18" s="345">
        <f>COUNTIF(TT!$D$237:$D$249,TALLY!A18)</f>
        <v>1</v>
      </c>
      <c r="O18" s="345">
        <f>COUNTIF(TT!$D$256:$D$264,TALLY!A18)</f>
        <v>0</v>
      </c>
      <c r="P18" s="345">
        <f>COUNTIF(TT!$D$271:$D$286,TALLY!A18)</f>
        <v>0</v>
      </c>
      <c r="Q18" s="4">
        <f>COUNTIF(TT!$D$293:$D$300,TALLY!A18)</f>
        <v>0</v>
      </c>
      <c r="R18" s="4">
        <f>COUNTIF(TT!$D$307:$D$319,TALLY!A18)</f>
        <v>1</v>
      </c>
      <c r="S18" s="4">
        <f>COUNTIF(TT!$D$326:$D$334,TALLY!A18)</f>
        <v>0</v>
      </c>
      <c r="T18" s="95">
        <f>COUNTIF(TT!$D$341:$D$350,TALLY!A18)</f>
        <v>0</v>
      </c>
      <c r="U18" s="95">
        <f>COUNTIF(TT!$D$357:$D$366,TALLY!A18)</f>
        <v>0</v>
      </c>
      <c r="V18" s="95">
        <f>COUNTIF(TT!$D$373:$D$383,TALLY!A18)</f>
        <v>0</v>
      </c>
      <c r="W18" s="4">
        <f>COUNTIF(TT!$D$390:$D$405,TALLY!A18)</f>
        <v>0</v>
      </c>
      <c r="X18" s="4">
        <f>COUNTIF(TT!$D$412:$D$423,TALLY!A18)</f>
        <v>0</v>
      </c>
      <c r="Y18" s="4">
        <f>COUNTIF(TT!$D$430:$D$438,TALLY!A18)</f>
        <v>0</v>
      </c>
      <c r="Z18" s="95">
        <f>COUNTIF(TT!$D$443:$D$457,TALLY!A18)</f>
        <v>0</v>
      </c>
      <c r="AA18" s="95">
        <f>COUNTIF(TT!$D$464:$D$474,TALLY!A18)</f>
        <v>0</v>
      </c>
      <c r="AB18" s="95">
        <f>COUNTIF(TT!$D$481:$D$494,TALLY!A18)</f>
        <v>0</v>
      </c>
      <c r="AC18" s="345">
        <f>COUNTIF(TT!$D$503:$D$522,TALLY!A18)</f>
        <v>0</v>
      </c>
      <c r="AD18" s="345">
        <f>COUNTIF(TT!$D$529:$D$541,TALLY!A18)</f>
        <v>0</v>
      </c>
      <c r="AE18" s="345">
        <f>COUNTIF(TT!$D$548:$D$561,TALLY!A18)</f>
        <v>0</v>
      </c>
      <c r="AF18" s="95">
        <f>COUNTIF(TT!$D$574:$D$584,TALLY!A18)</f>
        <v>0</v>
      </c>
      <c r="AG18" s="95">
        <f>COUNTIF(TT!$D$591:$D$601,TALLY!A18)</f>
        <v>0</v>
      </c>
      <c r="AH18" s="95">
        <f>COUNTIF(TT!$D$608:$D$619,TALLY!A18)</f>
        <v>0</v>
      </c>
      <c r="AI18" s="314">
        <f>COUNTIF(TT!$D$628:$D$647,TALLY!A18)</f>
        <v>0</v>
      </c>
      <c r="AJ18" s="314">
        <f>COUNTIF(TT!$D$654:$D$668,TALLY!A18)</f>
        <v>1</v>
      </c>
      <c r="AK18" s="314">
        <f>COUNTIF(TT!$D$675:$D$685,TALLY!A18)</f>
        <v>0</v>
      </c>
      <c r="AL18" s="95">
        <f>COUNTIF(TT!$D$692:$D$702,TALLY!A18)</f>
        <v>1</v>
      </c>
      <c r="AM18" s="95">
        <f>COUNTIF(TT!$D$709:$D$721,TALLY!A18)</f>
        <v>0</v>
      </c>
      <c r="AN18" s="95">
        <f>COUNTIF(TT!$D$728:$D$737,TALLY!A18)</f>
        <v>0</v>
      </c>
      <c r="AO18" s="314">
        <f>COUNTIF(TT!$D$744:$D$753,TALLY!A18)</f>
        <v>0</v>
      </c>
      <c r="AP18" s="314">
        <f>COUNTIF(TT!$D$759:$D$774,TALLY!A18)</f>
        <v>1</v>
      </c>
      <c r="AQ18" s="314">
        <f>COUNTIF(TT!$D$781:$D$789,TALLY!A18)</f>
        <v>0</v>
      </c>
      <c r="AR18" s="97" t="s">
        <v>30</v>
      </c>
      <c r="AS18" s="4">
        <f>SUM($B18:$D18)</f>
        <v>1</v>
      </c>
      <c r="AT18" s="4">
        <f>SUM(E18:G18)</f>
        <v>0</v>
      </c>
      <c r="AU18" s="4">
        <f>SUM(H18:J18)</f>
        <v>0</v>
      </c>
      <c r="AV18" s="4">
        <f>SUM(K18:M18)</f>
        <v>1</v>
      </c>
      <c r="AW18" s="4">
        <f>SUM(N18:P18)</f>
        <v>1</v>
      </c>
      <c r="AX18" s="4">
        <f>SUM($Q18:$S18)</f>
        <v>1</v>
      </c>
      <c r="AY18" s="4">
        <f>SUM(T18:V18)</f>
        <v>0</v>
      </c>
      <c r="AZ18" s="4">
        <f>SUM(W18:Y18)</f>
        <v>0</v>
      </c>
      <c r="BA18" s="314">
        <f>SUM(Z18:AB18)</f>
        <v>0</v>
      </c>
      <c r="BB18" s="314">
        <f>SUM(AC18:AE18)</f>
        <v>0</v>
      </c>
      <c r="BC18" s="314">
        <f>SUM(AF18:AH18)</f>
        <v>0</v>
      </c>
      <c r="BD18" s="4">
        <f>SUM(AI18:AK18)</f>
        <v>1</v>
      </c>
      <c r="BE18" s="4">
        <f>SUM(AL18:AN18)</f>
        <v>1</v>
      </c>
      <c r="BF18" s="4">
        <f>SUM(AO18:AQ18)</f>
        <v>1</v>
      </c>
      <c r="BG18" s="92">
        <f>SUM(AS18:BF18)</f>
        <v>7</v>
      </c>
    </row>
    <row r="19" spans="1:59">
      <c r="A19" s="97" t="s">
        <v>1467</v>
      </c>
      <c r="B19" s="95">
        <f>COUNTIF(TT!$D$6:$D$15,TALLY!A19)</f>
        <v>1</v>
      </c>
      <c r="C19" s="95">
        <f>COUNTIF(TT!$D$22:$D$32,TALLY!A19)</f>
        <v>0</v>
      </c>
      <c r="D19" s="95">
        <f>COUNTIF(TT!$D$39:$D$49,TALLY!A19)</f>
        <v>0</v>
      </c>
      <c r="E19" s="4">
        <f>COUNTIF(TT!$D$57:$D$67,TALLY!A19)</f>
        <v>1</v>
      </c>
      <c r="F19" s="4">
        <f>COUNTIF(TT!$D$74:$D$86,TALLY!A19)</f>
        <v>0</v>
      </c>
      <c r="G19" s="4">
        <f>COUNTIF(TT!$D$93:$D$107,TALLY!A19)</f>
        <v>0</v>
      </c>
      <c r="H19" s="95">
        <f>COUNTIF(TT!$D$113:$D$129,TALLY!A19)</f>
        <v>0</v>
      </c>
      <c r="I19" s="95">
        <f>COUNTIF(TT!$D$135:$D$155,TALLY!A19)</f>
        <v>0</v>
      </c>
      <c r="J19" s="95">
        <f>COUNTIF(TT!$D$162:$D$173,TALLY!A19)</f>
        <v>0</v>
      </c>
      <c r="K19" s="4">
        <f>COUNTIF(TT!$D$180:$D$199,TALLY!A19)</f>
        <v>0</v>
      </c>
      <c r="L19" s="4">
        <f>COUNTIF(TT!$D$207:$D$215,TALLY!A19)</f>
        <v>1</v>
      </c>
      <c r="M19" s="4">
        <f>COUNTIF(TT!$D$224:$D$231,TALLY!A19)</f>
        <v>0</v>
      </c>
      <c r="N19" s="345">
        <f>COUNTIF(TT!$D$237:$D$249,TALLY!A19)</f>
        <v>0</v>
      </c>
      <c r="O19" s="345">
        <f>COUNTIF(TT!$D$256:$D$264,TALLY!A19)</f>
        <v>0</v>
      </c>
      <c r="P19" s="345">
        <f>COUNTIF(TT!$D$271:$D$286,TALLY!A19)</f>
        <v>0</v>
      </c>
      <c r="Q19" s="4">
        <f>COUNTIF(TT!$D$293:$D$300,TALLY!A19)</f>
        <v>0</v>
      </c>
      <c r="R19" s="4">
        <f>COUNTIF(TT!$D$307:$D$319,TALLY!A19)</f>
        <v>1</v>
      </c>
      <c r="S19" s="4">
        <f>COUNTIF(TT!$D$326:$D$334,TALLY!A19)</f>
        <v>0</v>
      </c>
      <c r="T19" s="95">
        <f>COUNTIF(TT!$D$341:$D$350,TALLY!A19)</f>
        <v>0</v>
      </c>
      <c r="U19" s="95">
        <f>COUNTIF(TT!$D$357:$D$366,TALLY!A19)</f>
        <v>0</v>
      </c>
      <c r="V19" s="95">
        <f>COUNTIF(TT!$D$373:$D$383,TALLY!A19)</f>
        <v>0</v>
      </c>
      <c r="W19" s="4">
        <f>COUNTIF(TT!$D$390:$D$405,TALLY!A19)</f>
        <v>0</v>
      </c>
      <c r="X19" s="4">
        <f>COUNTIF(TT!$D$412:$D$423,TALLY!A19)</f>
        <v>0</v>
      </c>
      <c r="Y19" s="4">
        <f>COUNTIF(TT!$D$430:$D$438,TALLY!A19)</f>
        <v>0</v>
      </c>
      <c r="Z19" s="95">
        <f>COUNTIF(TT!$D$443:$D$457,TALLY!A19)</f>
        <v>0</v>
      </c>
      <c r="AA19" s="95">
        <f>COUNTIF(TT!$D$464:$D$474,TALLY!A19)</f>
        <v>0</v>
      </c>
      <c r="AB19" s="95">
        <f>COUNTIF(TT!$D$481:$D$494,TALLY!A19)</f>
        <v>0</v>
      </c>
      <c r="AC19" s="345">
        <f>COUNTIF(TT!$D$503:$D$522,TALLY!A19)</f>
        <v>0</v>
      </c>
      <c r="AD19" s="345">
        <f>COUNTIF(TT!$D$529:$D$541,TALLY!A19)</f>
        <v>1</v>
      </c>
      <c r="AE19" s="345">
        <f>COUNTIF(TT!$D$548:$D$561,TALLY!A19)</f>
        <v>0</v>
      </c>
      <c r="AF19" s="95">
        <f>COUNTIF(TT!$D$574:$D$584,TALLY!A19)</f>
        <v>0</v>
      </c>
      <c r="AG19" s="95">
        <f>COUNTIF(TT!$D$591:$D$601,TALLY!A19)</f>
        <v>0</v>
      </c>
      <c r="AH19" s="95">
        <f>COUNTIF(TT!$D$608:$D$619,TALLY!A19)</f>
        <v>0</v>
      </c>
      <c r="AI19" s="314">
        <f>COUNTIF(TT!$D$628:$D$647,TALLY!A19)</f>
        <v>1</v>
      </c>
      <c r="AJ19" s="314">
        <f>COUNTIF(TT!$D$654:$D$668,TALLY!A19)</f>
        <v>0</v>
      </c>
      <c r="AK19" s="314">
        <f>COUNTIF(TT!$D$675:$D$685,TALLY!A19)</f>
        <v>0</v>
      </c>
      <c r="AL19" s="95">
        <f>COUNTIF(TT!$D$692:$D$702,TALLY!A19)</f>
        <v>1</v>
      </c>
      <c r="AM19" s="95">
        <f>COUNTIF(TT!$D$709:$D$721,TALLY!A19)</f>
        <v>0</v>
      </c>
      <c r="AN19" s="95">
        <f>COUNTIF(TT!$D$728:$D$737,TALLY!A19)</f>
        <v>0</v>
      </c>
      <c r="AO19" s="314">
        <f>COUNTIF(TT!$D$744:$D$753,TALLY!A19)</f>
        <v>0</v>
      </c>
      <c r="AP19" s="314">
        <f>COUNTIF(TT!$D$759:$D$774,TALLY!A19)</f>
        <v>1</v>
      </c>
      <c r="AQ19" s="314">
        <f>COUNTIF(TT!$D$781:$D$789,TALLY!A19)</f>
        <v>0</v>
      </c>
      <c r="AR19" s="97" t="s">
        <v>1467</v>
      </c>
      <c r="AS19" s="4">
        <f>SUM($B19:$D19)</f>
        <v>1</v>
      </c>
      <c r="AT19" s="4">
        <f>SUM(E19:G19)</f>
        <v>1</v>
      </c>
      <c r="AU19" s="4">
        <f>SUM(H19:J19)</f>
        <v>0</v>
      </c>
      <c r="AV19" s="4">
        <f>SUM(K19:M19)</f>
        <v>1</v>
      </c>
      <c r="AW19" s="4">
        <f>SUM(N19:P19)</f>
        <v>0</v>
      </c>
      <c r="AX19" s="4">
        <f>SUM($Q19:$S19)</f>
        <v>1</v>
      </c>
      <c r="AY19" s="4">
        <f>SUM(T19:V19)</f>
        <v>0</v>
      </c>
      <c r="AZ19" s="4">
        <f>SUM(W19:Y19)</f>
        <v>0</v>
      </c>
      <c r="BA19" s="314">
        <f>SUM(Z19:AB19)</f>
        <v>0</v>
      </c>
      <c r="BB19" s="314">
        <f>SUM(AC19:AE19)</f>
        <v>1</v>
      </c>
      <c r="BC19" s="314">
        <f>SUM(AF19:AH19)</f>
        <v>0</v>
      </c>
      <c r="BD19" s="4">
        <f>SUM(AI19:AK19)</f>
        <v>1</v>
      </c>
      <c r="BE19" s="4">
        <f>SUM(AL19:AN19)</f>
        <v>1</v>
      </c>
      <c r="BF19" s="4">
        <f>SUM(AO19:AQ19)</f>
        <v>1</v>
      </c>
      <c r="BG19" s="92">
        <f>SUM(AS19:BF19)</f>
        <v>8</v>
      </c>
    </row>
    <row r="20" spans="1:59">
      <c r="A20" s="97" t="s">
        <v>31</v>
      </c>
      <c r="B20" s="95">
        <f>COUNTIF(TT!$D$6:$D$15,TALLY!A20)</f>
        <v>0</v>
      </c>
      <c r="C20" s="95">
        <f>COUNTIF(TT!$D$22:$D$32,TALLY!A20)</f>
        <v>0</v>
      </c>
      <c r="D20" s="95">
        <f>COUNTIF(TT!$D$39:$D$49,TALLY!A20)</f>
        <v>1</v>
      </c>
      <c r="E20" s="4">
        <f>COUNTIF(TT!$D$57:$D$67,TALLY!A20)</f>
        <v>0</v>
      </c>
      <c r="F20" s="4">
        <f>COUNTIF(TT!$D$74:$D$86,TALLY!A20)</f>
        <v>0</v>
      </c>
      <c r="G20" s="4">
        <f>COUNTIF(TT!$D$93:$D$107,TALLY!A20)</f>
        <v>1</v>
      </c>
      <c r="H20" s="95">
        <f>COUNTIF(TT!$D$113:$D$129,TALLY!A20)</f>
        <v>0</v>
      </c>
      <c r="I20" s="95">
        <f>COUNTIF(TT!$D$135:$D$155,TALLY!A20)</f>
        <v>0</v>
      </c>
      <c r="J20" s="95">
        <f>COUNTIF(TT!$D$162:$D$173,TALLY!A20)</f>
        <v>0</v>
      </c>
      <c r="K20" s="4">
        <f>COUNTIF(TT!$D$180:$D$199,TALLY!A20)</f>
        <v>0</v>
      </c>
      <c r="L20" s="4">
        <f>COUNTIF(TT!$D$207:$D$215,TALLY!A20)</f>
        <v>1</v>
      </c>
      <c r="M20" s="4">
        <f>COUNTIF(TT!$D$224:$D$231,TALLY!A20)</f>
        <v>0</v>
      </c>
      <c r="N20" s="345">
        <f>COUNTIF(TT!$D$237:$D$249,TALLY!A20)</f>
        <v>0</v>
      </c>
      <c r="O20" s="345">
        <f>COUNTIF(TT!$D$256:$D$264,TALLY!A20)</f>
        <v>0</v>
      </c>
      <c r="P20" s="345">
        <f>COUNTIF(TT!$D$271:$D$286,TALLY!A20)</f>
        <v>0</v>
      </c>
      <c r="Q20" s="4">
        <f>COUNTIF(TT!$D$293:$D$300,TALLY!A20)</f>
        <v>0</v>
      </c>
      <c r="R20" s="4">
        <f>COUNTIF(TT!$D$307:$D$319,TALLY!A20)</f>
        <v>1</v>
      </c>
      <c r="S20" s="4">
        <f>COUNTIF(TT!$D$326:$D$334,TALLY!A20)</f>
        <v>0</v>
      </c>
      <c r="T20" s="95">
        <f>COUNTIF(TT!$D$341:$D$350,TALLY!A20)</f>
        <v>0</v>
      </c>
      <c r="U20" s="95">
        <f>COUNTIF(TT!$D$357:$D$366,TALLY!A20)</f>
        <v>0</v>
      </c>
      <c r="V20" s="95">
        <f>COUNTIF(TT!$D$373:$D$383,TALLY!A20)</f>
        <v>0</v>
      </c>
      <c r="W20" s="4">
        <f>COUNTIF(TT!$D$390:$D$405,TALLY!A20)</f>
        <v>0</v>
      </c>
      <c r="X20" s="4">
        <f>COUNTIF(TT!$D$412:$D$423,TALLY!A20)</f>
        <v>0</v>
      </c>
      <c r="Y20" s="4">
        <f>COUNTIF(TT!$D$430:$D$438,TALLY!A20)</f>
        <v>0</v>
      </c>
      <c r="Z20" s="95">
        <f>COUNTIF(TT!$D$443:$D$457,TALLY!A20)</f>
        <v>0</v>
      </c>
      <c r="AA20" s="95">
        <f>COUNTIF(TT!$D$464:$D$474,TALLY!A20)</f>
        <v>0</v>
      </c>
      <c r="AB20" s="95">
        <f>COUNTIF(TT!$D$481:$D$494,TALLY!A20)</f>
        <v>0</v>
      </c>
      <c r="AC20" s="345">
        <f>COUNTIF(TT!$D$503:$D$522,TALLY!A20)</f>
        <v>0</v>
      </c>
      <c r="AD20" s="345">
        <f>COUNTIF(TT!$D$529:$D$541,TALLY!A20)</f>
        <v>0</v>
      </c>
      <c r="AE20" s="345">
        <f>COUNTIF(TT!$D$548:$D$561,TALLY!A20)</f>
        <v>0</v>
      </c>
      <c r="AF20" s="95">
        <f>COUNTIF(TT!$D$574:$D$584,TALLY!A20)</f>
        <v>0</v>
      </c>
      <c r="AG20" s="95">
        <f>COUNTIF(TT!$D$591:$D$601,TALLY!A20)</f>
        <v>0</v>
      </c>
      <c r="AH20" s="95">
        <f>COUNTIF(TT!$D$608:$D$619,TALLY!A20)</f>
        <v>0</v>
      </c>
      <c r="AI20" s="314">
        <f>COUNTIF(TT!$D$628:$D$647,TALLY!A20)</f>
        <v>1</v>
      </c>
      <c r="AJ20" s="314">
        <f>COUNTIF(TT!$D$654:$D$668,TALLY!A20)</f>
        <v>0</v>
      </c>
      <c r="AK20" s="314">
        <f>COUNTIF(TT!$D$675:$D$685,TALLY!A20)</f>
        <v>0</v>
      </c>
      <c r="AL20" s="95">
        <f>COUNTIF(TT!$D$692:$D$702,TALLY!A20)</f>
        <v>0</v>
      </c>
      <c r="AM20" s="95">
        <f>COUNTIF(TT!$D$709:$D$721,TALLY!A20)</f>
        <v>1</v>
      </c>
      <c r="AN20" s="95">
        <f>COUNTIF(TT!$D$728:$D$737,TALLY!A20)</f>
        <v>0</v>
      </c>
      <c r="AO20" s="314">
        <f>COUNTIF(TT!$D$744:$D$753,TALLY!A20)</f>
        <v>0</v>
      </c>
      <c r="AP20" s="314">
        <f>COUNTIF(TT!$D$759:$D$774,TALLY!A20)</f>
        <v>0</v>
      </c>
      <c r="AQ20" s="314">
        <f>COUNTIF(TT!$D$781:$D$789,TALLY!A20)</f>
        <v>0</v>
      </c>
      <c r="AR20" s="97" t="s">
        <v>31</v>
      </c>
      <c r="AS20" s="4">
        <f>SUM($B20:$D20)</f>
        <v>1</v>
      </c>
      <c r="AT20" s="4">
        <f>SUM(E20:G20)</f>
        <v>1</v>
      </c>
      <c r="AU20" s="4">
        <f>SUM(H20:J20)</f>
        <v>0</v>
      </c>
      <c r="AV20" s="4">
        <f>SUM(K20:M20)</f>
        <v>1</v>
      </c>
      <c r="AW20" s="4">
        <f>SUM(N20:P20)</f>
        <v>0</v>
      </c>
      <c r="AX20" s="4">
        <f>SUM($Q20:$S20)</f>
        <v>1</v>
      </c>
      <c r="AY20" s="4">
        <f>SUM(T20:V20)</f>
        <v>0</v>
      </c>
      <c r="AZ20" s="4">
        <f>SUM(W20:Y20)</f>
        <v>0</v>
      </c>
      <c r="BA20" s="314">
        <f>SUM(Z20:AB20)</f>
        <v>0</v>
      </c>
      <c r="BB20" s="314">
        <f>SUM(AC20:AE20)</f>
        <v>0</v>
      </c>
      <c r="BC20" s="314">
        <f>SUM(AF20:AH20)</f>
        <v>0</v>
      </c>
      <c r="BD20" s="4">
        <f>SUM(AI20:AK20)</f>
        <v>1</v>
      </c>
      <c r="BE20" s="4">
        <f>SUM(AL20:AN20)</f>
        <v>1</v>
      </c>
      <c r="BF20" s="4">
        <f>SUM(AO20:AQ20)</f>
        <v>0</v>
      </c>
      <c r="BG20" s="92">
        <f>SUM(AS20:BF20)</f>
        <v>6</v>
      </c>
    </row>
    <row r="21" spans="1:59">
      <c r="A21" s="94" t="s">
        <v>43</v>
      </c>
      <c r="B21" s="95">
        <f>COUNTIF(TT!$D$6:$D$15,TALLY!A21)</f>
        <v>0</v>
      </c>
      <c r="C21" s="95">
        <f>COUNTIF(TT!$D$22:$D$32,TALLY!A21)</f>
        <v>0</v>
      </c>
      <c r="D21" s="95">
        <f>COUNTIF(TT!$D$39:$D$49,TALLY!A21)</f>
        <v>0</v>
      </c>
      <c r="E21" s="4">
        <f>COUNTIF(TT!$D$57:$D$67,TALLY!A21)</f>
        <v>1</v>
      </c>
      <c r="F21" s="4">
        <f>COUNTIF(TT!$D$74:$D$86,TALLY!A21)</f>
        <v>0</v>
      </c>
      <c r="G21" s="4">
        <f>COUNTIF(TT!$D$93:$D$107,TALLY!A21)</f>
        <v>0</v>
      </c>
      <c r="H21" s="95">
        <f>COUNTIF(TT!$D$113:$D$129,TALLY!A21)</f>
        <v>0</v>
      </c>
      <c r="I21" s="95">
        <f>COUNTIF(TT!$D$135:$D$155,TALLY!A21)</f>
        <v>1</v>
      </c>
      <c r="J21" s="95">
        <f>COUNTIF(TT!$D$162:$D$173,TALLY!A21)</f>
        <v>0</v>
      </c>
      <c r="K21" s="4">
        <f>COUNTIF(TT!$D$180:$D$199,TALLY!A21)</f>
        <v>0</v>
      </c>
      <c r="L21" s="4">
        <f>COUNTIF(TT!$D$207:$D$215,TALLY!A21)</f>
        <v>0</v>
      </c>
      <c r="M21" s="4">
        <f>COUNTIF(TT!$D$224:$D$231,TALLY!A21)</f>
        <v>1</v>
      </c>
      <c r="N21" s="345">
        <f>COUNTIF(TT!$D$237:$D$249,TALLY!A21)</f>
        <v>0</v>
      </c>
      <c r="O21" s="345">
        <f>COUNTIF(TT!$D$256:$D$264,TALLY!A21)</f>
        <v>0</v>
      </c>
      <c r="P21" s="345">
        <f>COUNTIF(TT!$D$271:$D$286,TALLY!A21)</f>
        <v>1</v>
      </c>
      <c r="Q21" s="4">
        <f>COUNTIF(TT!$D$293:$D$300,TALLY!A21)</f>
        <v>0</v>
      </c>
      <c r="R21" s="4">
        <f>COUNTIF(TT!$D$307:$D$319,TALLY!A21)</f>
        <v>0</v>
      </c>
      <c r="S21" s="4">
        <f>COUNTIF(TT!$D$326:$D$334,TALLY!A21)</f>
        <v>1</v>
      </c>
      <c r="T21" s="95">
        <f>COUNTIF(TT!$D$341:$D$350,TALLY!A21)</f>
        <v>0</v>
      </c>
      <c r="U21" s="95">
        <f>COUNTIF(TT!$D$357:$D$366,TALLY!A21)</f>
        <v>0</v>
      </c>
      <c r="V21" s="95">
        <f>COUNTIF(TT!$D$373:$D$383,TALLY!A21)</f>
        <v>0</v>
      </c>
      <c r="W21" s="4">
        <f>COUNTIF(TT!$D$390:$D$405,TALLY!A21)</f>
        <v>0</v>
      </c>
      <c r="X21" s="4">
        <f>COUNTIF(TT!$D$412:$D$423,TALLY!A21)</f>
        <v>0</v>
      </c>
      <c r="Y21" s="4">
        <f>COUNTIF(TT!$D$430:$D$438,TALLY!A21)</f>
        <v>0</v>
      </c>
      <c r="Z21" s="95">
        <f>COUNTIF(TT!$D$443:$D$457,TALLY!A21)</f>
        <v>0</v>
      </c>
      <c r="AA21" s="95">
        <f>COUNTIF(TT!$D$464:$D$474,TALLY!A21)</f>
        <v>0</v>
      </c>
      <c r="AB21" s="95">
        <f>COUNTIF(TT!$D$481:$D$494,TALLY!A21)</f>
        <v>0</v>
      </c>
      <c r="AC21" s="345">
        <f>COUNTIF(TT!$D$503:$D$522,TALLY!A21)</f>
        <v>0</v>
      </c>
      <c r="AD21" s="345">
        <f>COUNTIF(TT!$D$529:$D$541,TALLY!A21)</f>
        <v>1</v>
      </c>
      <c r="AE21" s="345">
        <f>COUNTIF(TT!$D$548:$D$561,TALLY!A21)</f>
        <v>0</v>
      </c>
      <c r="AF21" s="95">
        <f>COUNTIF(TT!$D$574:$D$584,TALLY!A21)</f>
        <v>0</v>
      </c>
      <c r="AG21" s="95">
        <f>COUNTIF(TT!$D$591:$D$601,TALLY!A21)</f>
        <v>0</v>
      </c>
      <c r="AH21" s="95">
        <f>COUNTIF(TT!$D$608:$D$619,TALLY!A21)</f>
        <v>1</v>
      </c>
      <c r="AI21" s="314">
        <f>COUNTIF(TT!$D$628:$D$647,TALLY!A21)</f>
        <v>0</v>
      </c>
      <c r="AJ21" s="314">
        <f>COUNTIF(TT!$D$654:$D$668,TALLY!A21)</f>
        <v>0</v>
      </c>
      <c r="AK21" s="314">
        <f>COUNTIF(TT!$D$675:$D$685,TALLY!A21)</f>
        <v>0</v>
      </c>
      <c r="AL21" s="95">
        <f>COUNTIF(TT!$D$692:$D$702,TALLY!A21)</f>
        <v>1</v>
      </c>
      <c r="AM21" s="95">
        <f>COUNTIF(TT!$D$709:$D$721,TALLY!A21)</f>
        <v>0</v>
      </c>
      <c r="AN21" s="95">
        <f>COUNTIF(TT!$D$728:$D$737,TALLY!A21)</f>
        <v>0</v>
      </c>
      <c r="AO21" s="314">
        <f>COUNTIF(TT!$D$744:$D$753,TALLY!A21)</f>
        <v>0</v>
      </c>
      <c r="AP21" s="314">
        <f>COUNTIF(TT!$D$759:$D$774,TALLY!A21)</f>
        <v>0</v>
      </c>
      <c r="AQ21" s="314">
        <f>COUNTIF(TT!$D$781:$D$789,TALLY!A21)</f>
        <v>0</v>
      </c>
      <c r="AR21" s="94" t="s">
        <v>43</v>
      </c>
      <c r="AS21" s="4">
        <f>SUM($B21:$D21)</f>
        <v>0</v>
      </c>
      <c r="AT21" s="4">
        <f>SUM(E21:G21)</f>
        <v>1</v>
      </c>
      <c r="AU21" s="4">
        <f>SUM(H21:J21)</f>
        <v>1</v>
      </c>
      <c r="AV21" s="4">
        <f>SUM(K21:M21)</f>
        <v>1</v>
      </c>
      <c r="AW21" s="4">
        <f>SUM(N21:P21)</f>
        <v>1</v>
      </c>
      <c r="AX21" s="4">
        <f>SUM($Q21:$S21)</f>
        <v>1</v>
      </c>
      <c r="AY21" s="4">
        <f>SUM(T21:V21)</f>
        <v>0</v>
      </c>
      <c r="AZ21" s="4">
        <f>SUM(W21:Y21)</f>
        <v>0</v>
      </c>
      <c r="BA21" s="314">
        <f>SUM(Z21:AB21)</f>
        <v>0</v>
      </c>
      <c r="BB21" s="314">
        <f>SUM(AC21:AE21)</f>
        <v>1</v>
      </c>
      <c r="BC21" s="314">
        <f>SUM(AF21:AH21)</f>
        <v>1</v>
      </c>
      <c r="BD21" s="4">
        <f>SUM(AI21:AK21)</f>
        <v>0</v>
      </c>
      <c r="BE21" s="4">
        <f>SUM(AL21:AN21)</f>
        <v>1</v>
      </c>
      <c r="BF21" s="4">
        <f>SUM(AO21:AQ21)</f>
        <v>0</v>
      </c>
      <c r="BG21" s="92">
        <f>SUM(AS21:BF21)</f>
        <v>8</v>
      </c>
    </row>
    <row r="22" spans="1:59">
      <c r="A22" s="94" t="s">
        <v>80</v>
      </c>
      <c r="B22" s="95">
        <f>COUNTIF(TT!$D$6:$D$15,TALLY!A22)</f>
        <v>0</v>
      </c>
      <c r="C22" s="95">
        <f>COUNTIF(TT!$D$22:$D$32,TALLY!A22)</f>
        <v>0</v>
      </c>
      <c r="D22" s="95">
        <f>COUNTIF(TT!$D$39:$D$49,TALLY!A22)</f>
        <v>0</v>
      </c>
      <c r="E22" s="4">
        <f>COUNTIF(TT!$D$57:$D$67,TALLY!A22)</f>
        <v>1</v>
      </c>
      <c r="F22" s="4">
        <f>COUNTIF(TT!$D$74:$D$86,TALLY!A22)</f>
        <v>0</v>
      </c>
      <c r="G22" s="4">
        <f>COUNTIF(TT!$D$93:$D$107,TALLY!A22)</f>
        <v>0</v>
      </c>
      <c r="H22" s="95">
        <f>COUNTIF(TT!$D$113:$D$129,TALLY!A22)</f>
        <v>0</v>
      </c>
      <c r="I22" s="95">
        <f>COUNTIF(TT!$D$135:$D$155,TALLY!A22)</f>
        <v>1</v>
      </c>
      <c r="J22" s="95">
        <f>COUNTIF(TT!$D$162:$D$173,TALLY!A22)</f>
        <v>0</v>
      </c>
      <c r="K22" s="4">
        <f>COUNTIF(TT!$D$180:$D$199,TALLY!A22)</f>
        <v>0</v>
      </c>
      <c r="L22" s="4">
        <f>COUNTIF(TT!$D$207:$D$215,TALLY!A22)</f>
        <v>0</v>
      </c>
      <c r="M22" s="4">
        <f>COUNTIF(TT!$D$224:$D$231,TALLY!A22)</f>
        <v>0</v>
      </c>
      <c r="N22" s="345">
        <f>COUNTIF(TT!$D$237:$D$249,TALLY!A22)</f>
        <v>0</v>
      </c>
      <c r="O22" s="345">
        <f>COUNTIF(TT!$D$256:$D$264,TALLY!A22)</f>
        <v>0</v>
      </c>
      <c r="P22" s="345">
        <f>COUNTIF(TT!$D$271:$D$286,TALLY!A22)</f>
        <v>0</v>
      </c>
      <c r="Q22" s="4">
        <f>COUNTIF(TT!$D$293:$D$300,TALLY!A22)</f>
        <v>0</v>
      </c>
      <c r="R22" s="4">
        <f>COUNTIF(TT!$D$307:$D$319,TALLY!A22)</f>
        <v>0</v>
      </c>
      <c r="S22" s="4">
        <f>COUNTIF(TT!$D$326:$D$334,TALLY!A22)</f>
        <v>1</v>
      </c>
      <c r="T22" s="95">
        <f>COUNTIF(TT!$D$341:$D$350,TALLY!A22)</f>
        <v>0</v>
      </c>
      <c r="U22" s="95">
        <f>COUNTIF(TT!$D$357:$D$366,TALLY!A22)</f>
        <v>1</v>
      </c>
      <c r="V22" s="95">
        <f>COUNTIF(TT!$D$373:$D$383,TALLY!A22)</f>
        <v>0</v>
      </c>
      <c r="W22" s="4">
        <f>COUNTIF(TT!$D$390:$D$405,TALLY!A22)</f>
        <v>0</v>
      </c>
      <c r="X22" s="4">
        <f>COUNTIF(TT!$D$412:$D$423,TALLY!A22)</f>
        <v>0</v>
      </c>
      <c r="Y22" s="4">
        <f>COUNTIF(TT!$D$430:$D$438,TALLY!A22)</f>
        <v>0</v>
      </c>
      <c r="Z22" s="95">
        <f>COUNTIF(TT!$D$443:$D$457,TALLY!A22)</f>
        <v>0</v>
      </c>
      <c r="AA22" s="95">
        <f>COUNTIF(TT!$D$464:$D$474,TALLY!A22)</f>
        <v>0</v>
      </c>
      <c r="AB22" s="95">
        <f>COUNTIF(TT!$D$481:$D$494,TALLY!A22)</f>
        <v>1</v>
      </c>
      <c r="AC22" s="345">
        <f>COUNTIF(TT!$D$503:$D$522,TALLY!A22)</f>
        <v>1</v>
      </c>
      <c r="AD22" s="345">
        <f>COUNTIF(TT!$D$529:$D$541,TALLY!A22)</f>
        <v>0</v>
      </c>
      <c r="AE22" s="345">
        <f>COUNTIF(TT!$D$548:$D$561,TALLY!A22)</f>
        <v>0</v>
      </c>
      <c r="AF22" s="95">
        <f>COUNTIF(TT!$D$574:$D$584,TALLY!A22)</f>
        <v>1</v>
      </c>
      <c r="AG22" s="95">
        <f>COUNTIF(TT!$D$591:$D$601,TALLY!A22)</f>
        <v>0</v>
      </c>
      <c r="AH22" s="95">
        <f>COUNTIF(TT!$D$608:$D$619,TALLY!A22)</f>
        <v>0</v>
      </c>
      <c r="AI22" s="314">
        <f>COUNTIF(TT!$D$628:$D$647,TALLY!A22)</f>
        <v>0</v>
      </c>
      <c r="AJ22" s="314">
        <f>COUNTIF(TT!$D$654:$D$668,TALLY!A22)</f>
        <v>0</v>
      </c>
      <c r="AK22" s="314">
        <f>COUNTIF(TT!$D$675:$D$685,TALLY!A22)</f>
        <v>0</v>
      </c>
      <c r="AL22" s="95">
        <f>COUNTIF(TT!$D$692:$D$702,TALLY!A22)</f>
        <v>1</v>
      </c>
      <c r="AM22" s="95">
        <f>COUNTIF(TT!$D$709:$D$721,TALLY!A22)</f>
        <v>0</v>
      </c>
      <c r="AN22" s="95">
        <f>COUNTIF(TT!$D$728:$D$737,TALLY!A22)</f>
        <v>0</v>
      </c>
      <c r="AO22" s="314">
        <f>COUNTIF(TT!$D$744:$D$753,TALLY!A22)</f>
        <v>0</v>
      </c>
      <c r="AP22" s="314">
        <f>COUNTIF(TT!$D$759:$D$774,TALLY!A22)</f>
        <v>0</v>
      </c>
      <c r="AQ22" s="314">
        <f>COUNTIF(TT!$D$781:$D$789,TALLY!A22)</f>
        <v>0</v>
      </c>
      <c r="AR22" s="94" t="s">
        <v>80</v>
      </c>
      <c r="AS22" s="4">
        <f>SUM($B22:$D22)</f>
        <v>0</v>
      </c>
      <c r="AT22" s="4">
        <f>SUM(E22:G22)</f>
        <v>1</v>
      </c>
      <c r="AU22" s="4">
        <f>SUM(H22:J22)</f>
        <v>1</v>
      </c>
      <c r="AV22" s="4">
        <f>SUM(K22:M22)</f>
        <v>0</v>
      </c>
      <c r="AW22" s="4">
        <f>SUM(N22:P22)</f>
        <v>0</v>
      </c>
      <c r="AX22" s="4">
        <f>SUM($Q22:$S22)</f>
        <v>1</v>
      </c>
      <c r="AY22" s="4">
        <f>SUM(T22:V22)</f>
        <v>1</v>
      </c>
      <c r="AZ22" s="4">
        <f>SUM(W22:Y22)</f>
        <v>0</v>
      </c>
      <c r="BA22" s="314">
        <f>SUM(Z22:AB22)</f>
        <v>1</v>
      </c>
      <c r="BB22" s="314">
        <f>SUM(AC22:AE22)</f>
        <v>1</v>
      </c>
      <c r="BC22" s="314">
        <f>SUM(AF22:AH22)</f>
        <v>1</v>
      </c>
      <c r="BD22" s="4">
        <f>SUM(AI22:AK22)</f>
        <v>0</v>
      </c>
      <c r="BE22" s="4">
        <f>SUM(AL22:AN22)</f>
        <v>1</v>
      </c>
      <c r="BF22" s="4">
        <f>SUM(AO22:AQ22)</f>
        <v>0</v>
      </c>
      <c r="BG22" s="92">
        <f>SUM(AS22:BF22)</f>
        <v>8</v>
      </c>
    </row>
    <row r="23" spans="1:59">
      <c r="A23" s="94" t="s">
        <v>101</v>
      </c>
      <c r="B23" s="95">
        <f>COUNTIF(TT!$D$6:$D$15,TALLY!A23)</f>
        <v>0</v>
      </c>
      <c r="C23" s="95">
        <f>COUNTIF(TT!$D$22:$D$32,TALLY!A23)</f>
        <v>0</v>
      </c>
      <c r="D23" s="95">
        <f>COUNTIF(TT!$D$39:$D$49,TALLY!A23)</f>
        <v>0</v>
      </c>
      <c r="E23" s="4">
        <f>COUNTIF(TT!$D$57:$D$67,TALLY!A23)</f>
        <v>0</v>
      </c>
      <c r="F23" s="4">
        <f>COUNTIF(TT!$D$74:$D$86,TALLY!A23)</f>
        <v>0</v>
      </c>
      <c r="G23" s="4">
        <f>COUNTIF(TT!$D$93:$D$107,TALLY!A23)</f>
        <v>0</v>
      </c>
      <c r="H23" s="95">
        <f>COUNTIF(TT!$D$113:$D$129,TALLY!A23)</f>
        <v>1</v>
      </c>
      <c r="I23" s="95">
        <f>COUNTIF(TT!$D$135:$D$155,TALLY!A23)</f>
        <v>0</v>
      </c>
      <c r="J23" s="95">
        <f>COUNTIF(TT!$D$162:$D$173,TALLY!A23)</f>
        <v>0</v>
      </c>
      <c r="K23" s="4">
        <f>COUNTIF(TT!$D$180:$D$199,TALLY!A23)</f>
        <v>1</v>
      </c>
      <c r="L23" s="4">
        <f>COUNTIF(TT!$D$207:$D$215,TALLY!A23)</f>
        <v>0</v>
      </c>
      <c r="M23" s="4">
        <f>COUNTIF(TT!$D$224:$D$231,TALLY!A23)</f>
        <v>0</v>
      </c>
      <c r="N23" s="345">
        <f>COUNTIF(TT!$D$237:$D$249,TALLY!A23)</f>
        <v>0</v>
      </c>
      <c r="O23" s="345">
        <f>COUNTIF(TT!$D$256:$D$264,TALLY!A23)</f>
        <v>0</v>
      </c>
      <c r="P23" s="345">
        <f>COUNTIF(TT!$D$271:$D$286,TALLY!A23)</f>
        <v>0</v>
      </c>
      <c r="Q23" s="4">
        <f>COUNTIF(TT!$D$293:$D$300,TALLY!A23)</f>
        <v>0</v>
      </c>
      <c r="R23" s="4">
        <f>COUNTIF(TT!$D$307:$D$319,TALLY!A23)</f>
        <v>0</v>
      </c>
      <c r="S23" s="4">
        <f>COUNTIF(TT!$D$326:$D$334,TALLY!A23)</f>
        <v>0</v>
      </c>
      <c r="T23" s="95">
        <f>COUNTIF(TT!$D$341:$D$350,TALLY!A23)</f>
        <v>0</v>
      </c>
      <c r="U23" s="95">
        <f>COUNTIF(TT!$D$357:$D$366,TALLY!A23)</f>
        <v>1</v>
      </c>
      <c r="V23" s="95">
        <f>COUNTIF(TT!$D$373:$D$383,TALLY!A23)</f>
        <v>0</v>
      </c>
      <c r="W23" s="4">
        <f>COUNTIF(TT!$D$390:$D$405,TALLY!A23)</f>
        <v>1</v>
      </c>
      <c r="X23" s="4">
        <f>COUNTIF(TT!$D$412:$D$423,TALLY!A23)</f>
        <v>0</v>
      </c>
      <c r="Y23" s="4">
        <f>COUNTIF(TT!$D$430:$D$438,TALLY!A23)</f>
        <v>0</v>
      </c>
      <c r="Z23" s="95">
        <f>COUNTIF(TT!$D$443:$D$457,TALLY!A23)</f>
        <v>0</v>
      </c>
      <c r="AA23" s="95">
        <f>COUNTIF(TT!$D$464:$D$474,TALLY!A23)</f>
        <v>0</v>
      </c>
      <c r="AB23" s="95">
        <f>COUNTIF(TT!$D$481:$D$494,TALLY!A23)</f>
        <v>1</v>
      </c>
      <c r="AC23" s="345">
        <f>COUNTIF(TT!$D$503:$D$522,TALLY!A23)</f>
        <v>0</v>
      </c>
      <c r="AD23" s="345">
        <f>COUNTIF(TT!$D$529:$D$541,TALLY!A23)</f>
        <v>0</v>
      </c>
      <c r="AE23" s="345">
        <f>COUNTIF(TT!$D$548:$D$561,TALLY!A23)</f>
        <v>0</v>
      </c>
      <c r="AF23" s="95">
        <f>COUNTIF(TT!$D$574:$D$584,TALLY!A23)</f>
        <v>0</v>
      </c>
      <c r="AG23" s="95">
        <f>COUNTIF(TT!$D$591:$D$601,TALLY!A23)</f>
        <v>1</v>
      </c>
      <c r="AH23" s="95">
        <f>COUNTIF(TT!$D$608:$D$619,TALLY!A23)</f>
        <v>0</v>
      </c>
      <c r="AI23" s="314">
        <f>COUNTIF(TT!$D$628:$D$647,TALLY!A23)</f>
        <v>1</v>
      </c>
      <c r="AJ23" s="314">
        <f>COUNTIF(TT!$D$654:$D$668,TALLY!A23)</f>
        <v>0</v>
      </c>
      <c r="AK23" s="314">
        <f>COUNTIF(TT!$D$675:$D$685,TALLY!A23)</f>
        <v>0</v>
      </c>
      <c r="AL23" s="95">
        <f>COUNTIF(TT!$D$692:$D$702,TALLY!A23)</f>
        <v>0</v>
      </c>
      <c r="AM23" s="95">
        <f>COUNTIF(TT!$D$709:$D$721,TALLY!A23)</f>
        <v>0</v>
      </c>
      <c r="AN23" s="95">
        <f>COUNTIF(TT!$D$728:$D$737,TALLY!A23)</f>
        <v>0</v>
      </c>
      <c r="AO23" s="314">
        <f>COUNTIF(TT!$D$744:$D$753,TALLY!A23)</f>
        <v>0</v>
      </c>
      <c r="AP23" s="314">
        <f>COUNTIF(TT!$D$759:$D$774,TALLY!A23)</f>
        <v>0</v>
      </c>
      <c r="AQ23" s="314">
        <f>COUNTIF(TT!$D$781:$D$789,TALLY!A23)</f>
        <v>0</v>
      </c>
      <c r="AR23" s="94" t="s">
        <v>101</v>
      </c>
      <c r="AS23" s="4">
        <f>SUM($B23:$D23)</f>
        <v>0</v>
      </c>
      <c r="AT23" s="4">
        <f>SUM(E23:G23)</f>
        <v>0</v>
      </c>
      <c r="AU23" s="4">
        <f>SUM(H23:J23)</f>
        <v>1</v>
      </c>
      <c r="AV23" s="4">
        <f>SUM(K23:M23)</f>
        <v>1</v>
      </c>
      <c r="AW23" s="4">
        <f>SUM(N23:P23)</f>
        <v>0</v>
      </c>
      <c r="AX23" s="4">
        <f>SUM($Q23:$S23)</f>
        <v>0</v>
      </c>
      <c r="AY23" s="4">
        <f>SUM(T23:V23)</f>
        <v>1</v>
      </c>
      <c r="AZ23" s="4">
        <f>SUM(W23:Y23)</f>
        <v>1</v>
      </c>
      <c r="BA23" s="314">
        <f>SUM(Z23:AB23)</f>
        <v>1</v>
      </c>
      <c r="BB23" s="314">
        <f>SUM(AC23:AE23)</f>
        <v>0</v>
      </c>
      <c r="BC23" s="314">
        <f>SUM(AF23:AH23)</f>
        <v>1</v>
      </c>
      <c r="BD23" s="4">
        <f>SUM(AI23:AK23)</f>
        <v>1</v>
      </c>
      <c r="BE23" s="4">
        <f>SUM(AL23:AN23)</f>
        <v>0</v>
      </c>
      <c r="BF23" s="4">
        <f>SUM(AO23:AQ23)</f>
        <v>0</v>
      </c>
      <c r="BG23" s="92">
        <f>SUM(AS23:BF23)</f>
        <v>7</v>
      </c>
    </row>
    <row r="24" spans="1:59">
      <c r="A24" s="94" t="s">
        <v>86</v>
      </c>
      <c r="B24" s="95">
        <f>COUNTIF(TT!$D$6:$D$15,TALLY!A24)</f>
        <v>1</v>
      </c>
      <c r="C24" s="95">
        <f>COUNTIF(TT!$D$22:$D$32,TALLY!A24)</f>
        <v>0</v>
      </c>
      <c r="D24" s="95">
        <f>COUNTIF(TT!$D$39:$D$49,TALLY!A24)</f>
        <v>0</v>
      </c>
      <c r="E24" s="4">
        <f>COUNTIF(TT!$D$57:$D$67,TALLY!A24)</f>
        <v>0</v>
      </c>
      <c r="F24" s="4">
        <f>COUNTIF(TT!$D$74:$D$86,TALLY!A24)</f>
        <v>0</v>
      </c>
      <c r="G24" s="4">
        <f>COUNTIF(TT!$D$93:$D$107,TALLY!A24)</f>
        <v>0</v>
      </c>
      <c r="H24" s="95">
        <f>COUNTIF(TT!$D$113:$D$129,TALLY!A24)</f>
        <v>1</v>
      </c>
      <c r="I24" s="95">
        <f>COUNTIF(TT!$D$135:$D$155,TALLY!A24)</f>
        <v>0</v>
      </c>
      <c r="J24" s="95">
        <f>COUNTIF(TT!$D$162:$D$173,TALLY!A24)</f>
        <v>0</v>
      </c>
      <c r="K24" s="4">
        <f>COUNTIF(TT!$D$180:$D$199,TALLY!A24)</f>
        <v>0</v>
      </c>
      <c r="L24" s="4">
        <f>COUNTIF(TT!$D$207:$D$215,TALLY!A24)</f>
        <v>0</v>
      </c>
      <c r="M24" s="4">
        <f>COUNTIF(TT!$D$224:$D$231,TALLY!A24)</f>
        <v>0</v>
      </c>
      <c r="N24" s="345">
        <f>COUNTIF(TT!$D$237:$D$249,TALLY!A24)</f>
        <v>0</v>
      </c>
      <c r="O24" s="345">
        <f>COUNTIF(TT!$D$256:$D$264,TALLY!A24)</f>
        <v>0</v>
      </c>
      <c r="P24" s="345">
        <f>COUNTIF(TT!$D$271:$D$286,TALLY!A24)</f>
        <v>1</v>
      </c>
      <c r="Q24" s="4">
        <f>COUNTIF(TT!$D$293:$D$300,TALLY!A24)</f>
        <v>0</v>
      </c>
      <c r="R24" s="4">
        <f>COUNTIF(TT!$D$307:$D$319,TALLY!A24)</f>
        <v>0</v>
      </c>
      <c r="S24" s="4">
        <f>COUNTIF(TT!$D$326:$D$334,TALLY!A24)</f>
        <v>0</v>
      </c>
      <c r="T24" s="95">
        <f>COUNTIF(TT!$D$341:$D$350,TALLY!A24)</f>
        <v>0</v>
      </c>
      <c r="U24" s="95">
        <f>COUNTIF(TT!$D$357:$D$366,TALLY!A24)</f>
        <v>0</v>
      </c>
      <c r="V24" s="95">
        <f>COUNTIF(TT!$D$373:$D$383,TALLY!A24)</f>
        <v>0</v>
      </c>
      <c r="W24" s="4">
        <f>COUNTIF(TT!$D$390:$D$405,TALLY!A24)</f>
        <v>1</v>
      </c>
      <c r="X24" s="4">
        <f>COUNTIF(TT!$D$412:$D$423,TALLY!A24)</f>
        <v>0</v>
      </c>
      <c r="Y24" s="4">
        <f>COUNTIF(TT!$D$430:$D$438,TALLY!A24)</f>
        <v>0</v>
      </c>
      <c r="Z24" s="95">
        <f>COUNTIF(TT!$D$443:$D$457,TALLY!A24)</f>
        <v>0</v>
      </c>
      <c r="AA24" s="95">
        <f>COUNTIF(TT!$D$464:$D$474,TALLY!A24)</f>
        <v>0</v>
      </c>
      <c r="AB24" s="95">
        <f>COUNTIF(TT!$D$481:$D$494,TALLY!A24)</f>
        <v>1</v>
      </c>
      <c r="AC24" s="345">
        <f>COUNTIF(TT!$D$503:$D$522,TALLY!A24)</f>
        <v>1</v>
      </c>
      <c r="AD24" s="345">
        <f>COUNTIF(TT!$D$529:$D$541,TALLY!A24)</f>
        <v>0</v>
      </c>
      <c r="AE24" s="345">
        <f>COUNTIF(TT!$D$548:$D$561,TALLY!A24)</f>
        <v>0</v>
      </c>
      <c r="AF24" s="95">
        <f>COUNTIF(TT!$D$574:$D$584,TALLY!A24)</f>
        <v>0</v>
      </c>
      <c r="AG24" s="95">
        <f>COUNTIF(TT!$D$591:$D$601,TALLY!A24)</f>
        <v>0</v>
      </c>
      <c r="AH24" s="95">
        <f>COUNTIF(TT!$D$608:$D$619,TALLY!A24)</f>
        <v>1</v>
      </c>
      <c r="AI24" s="314">
        <f>COUNTIF(TT!$D$628:$D$647,TALLY!A24)</f>
        <v>0</v>
      </c>
      <c r="AJ24" s="314">
        <f>COUNTIF(TT!$D$654:$D$668,TALLY!A24)</f>
        <v>0</v>
      </c>
      <c r="AK24" s="314">
        <f>COUNTIF(TT!$D$675:$D$685,TALLY!A24)</f>
        <v>0</v>
      </c>
      <c r="AL24" s="95">
        <f>COUNTIF(TT!$D$692:$D$702,TALLY!A24)</f>
        <v>0</v>
      </c>
      <c r="AM24" s="95">
        <f>COUNTIF(TT!$D$709:$D$721,TALLY!A24)</f>
        <v>1</v>
      </c>
      <c r="AN24" s="95">
        <f>COUNTIF(TT!$D$728:$D$737,TALLY!A24)</f>
        <v>0</v>
      </c>
      <c r="AO24" s="314">
        <f>COUNTIF(TT!$D$744:$D$753,TALLY!A24)</f>
        <v>0</v>
      </c>
      <c r="AP24" s="314">
        <f>COUNTIF(TT!$D$759:$D$774,TALLY!A24)</f>
        <v>1</v>
      </c>
      <c r="AQ24" s="314">
        <f>COUNTIF(TT!$D$781:$D$789,TALLY!A24)</f>
        <v>0</v>
      </c>
      <c r="AR24" s="94" t="s">
        <v>86</v>
      </c>
      <c r="AS24" s="4">
        <f>SUM($B24:$D24)</f>
        <v>1</v>
      </c>
      <c r="AT24" s="4">
        <f>SUM(E24:G24)</f>
        <v>0</v>
      </c>
      <c r="AU24" s="4">
        <f>SUM(H24:J24)</f>
        <v>1</v>
      </c>
      <c r="AV24" s="4">
        <f>SUM(K24:M24)</f>
        <v>0</v>
      </c>
      <c r="AW24" s="4">
        <f>SUM(N24:P24)</f>
        <v>1</v>
      </c>
      <c r="AX24" s="4">
        <f>SUM($Q24:$S24)</f>
        <v>0</v>
      </c>
      <c r="AY24" s="4">
        <f>SUM(T24:V24)</f>
        <v>0</v>
      </c>
      <c r="AZ24" s="4">
        <f>SUM(W24:Y24)</f>
        <v>1</v>
      </c>
      <c r="BA24" s="314">
        <f>SUM(Z24:AB24)</f>
        <v>1</v>
      </c>
      <c r="BB24" s="314">
        <f>SUM(AC24:AE24)</f>
        <v>1</v>
      </c>
      <c r="BC24" s="314">
        <f>SUM(AF24:AH24)</f>
        <v>1</v>
      </c>
      <c r="BD24" s="4">
        <f>SUM(AI24:AK24)</f>
        <v>0</v>
      </c>
      <c r="BE24" s="4">
        <f>SUM(AL24:AN24)</f>
        <v>1</v>
      </c>
      <c r="BF24" s="4">
        <f>SUM(AO24:AQ24)</f>
        <v>1</v>
      </c>
      <c r="BG24" s="92">
        <f>SUM(AS24:BF24)</f>
        <v>9</v>
      </c>
    </row>
    <row r="25" spans="1:59">
      <c r="A25" s="94" t="s">
        <v>84</v>
      </c>
      <c r="B25" s="95">
        <f>COUNTIF(TT!$D$6:$D$15,TALLY!A25)</f>
        <v>0</v>
      </c>
      <c r="C25" s="95">
        <f>COUNTIF(TT!$D$22:$D$32,TALLY!A25)</f>
        <v>1</v>
      </c>
      <c r="D25" s="95">
        <f>COUNTIF(TT!$D$39:$D$49,TALLY!A25)</f>
        <v>0</v>
      </c>
      <c r="E25" s="4">
        <f>COUNTIF(TT!$D$57:$D$67,TALLY!A25)</f>
        <v>0</v>
      </c>
      <c r="F25" s="4">
        <f>COUNTIF(TT!$D$74:$D$86,TALLY!A25)</f>
        <v>0</v>
      </c>
      <c r="G25" s="4">
        <f>COUNTIF(TT!$D$93:$D$107,TALLY!A25)</f>
        <v>0</v>
      </c>
      <c r="H25" s="95">
        <f>COUNTIF(TT!$D$113:$D$129,TALLY!A25)</f>
        <v>0</v>
      </c>
      <c r="I25" s="95">
        <f>COUNTIF(TT!$D$135:$D$155,TALLY!A25)</f>
        <v>1</v>
      </c>
      <c r="J25" s="95">
        <f>COUNTIF(TT!$D$162:$D$173,TALLY!A25)</f>
        <v>0</v>
      </c>
      <c r="K25" s="4">
        <f>COUNTIF(TT!$D$180:$D$199,TALLY!A25)</f>
        <v>0</v>
      </c>
      <c r="L25" s="4">
        <f>COUNTIF(TT!$D$207:$D$215,TALLY!A25)</f>
        <v>0</v>
      </c>
      <c r="M25" s="4">
        <f>COUNTIF(TT!$D$224:$D$231,TALLY!A25)</f>
        <v>0</v>
      </c>
      <c r="N25" s="345">
        <f>COUNTIF(TT!$D$237:$D$249,TALLY!A25)</f>
        <v>0</v>
      </c>
      <c r="O25" s="345">
        <f>COUNTIF(TT!$D$256:$D$264,TALLY!A25)</f>
        <v>1</v>
      </c>
      <c r="P25" s="345">
        <f>COUNTIF(TT!$D$271:$D$286,TALLY!A25)</f>
        <v>0</v>
      </c>
      <c r="Q25" s="4">
        <f>COUNTIF(TT!$D$293:$D$300,TALLY!A25)</f>
        <v>0</v>
      </c>
      <c r="R25" s="4">
        <f>COUNTIF(TT!$D$307:$D$319,TALLY!A25)</f>
        <v>0</v>
      </c>
      <c r="S25" s="4">
        <f>COUNTIF(TT!$D$326:$D$334,TALLY!A25)</f>
        <v>1</v>
      </c>
      <c r="T25" s="95">
        <f>COUNTIF(TT!$D$341:$D$350,TALLY!A25)</f>
        <v>0</v>
      </c>
      <c r="U25" s="95">
        <f>COUNTIF(TT!$D$357:$D$366,TALLY!A25)</f>
        <v>0</v>
      </c>
      <c r="V25" s="95">
        <f>COUNTIF(TT!$D$373:$D$383,TALLY!A25)</f>
        <v>0</v>
      </c>
      <c r="W25" s="4">
        <f>COUNTIF(TT!$D$390:$D$405,TALLY!A25)</f>
        <v>0</v>
      </c>
      <c r="X25" s="4">
        <f>COUNTIF(TT!$D$412:$D$423,TALLY!A25)</f>
        <v>0</v>
      </c>
      <c r="Y25" s="4">
        <f>COUNTIF(TT!$D$430:$D$438,TALLY!A25)</f>
        <v>0</v>
      </c>
      <c r="Z25" s="95">
        <f>COUNTIF(TT!$D$443:$D$457,TALLY!A25)</f>
        <v>0</v>
      </c>
      <c r="AA25" s="95">
        <f>COUNTIF(TT!$D$464:$D$474,TALLY!A25)</f>
        <v>0</v>
      </c>
      <c r="AB25" s="95">
        <f>COUNTIF(TT!$D$481:$D$494,TALLY!A25)</f>
        <v>0</v>
      </c>
      <c r="AC25" s="345">
        <f>COUNTIF(TT!$D$503:$D$522,TALLY!A25)</f>
        <v>0</v>
      </c>
      <c r="AD25" s="345">
        <f>COUNTIF(TT!$D$529:$D$541,TALLY!A25)</f>
        <v>0</v>
      </c>
      <c r="AE25" s="345">
        <f>COUNTIF(TT!$D$548:$D$561,TALLY!A25)</f>
        <v>0</v>
      </c>
      <c r="AF25" s="95">
        <f>COUNTIF(TT!$D$574:$D$584,TALLY!A25)</f>
        <v>0</v>
      </c>
      <c r="AG25" s="95">
        <f>COUNTIF(TT!$D$591:$D$601,TALLY!A25)</f>
        <v>1</v>
      </c>
      <c r="AH25" s="95">
        <f>COUNTIF(TT!$D$608:$D$619,TALLY!A25)</f>
        <v>0</v>
      </c>
      <c r="AI25" s="314">
        <f>COUNTIF(TT!$D$628:$D$647,TALLY!A25)</f>
        <v>0</v>
      </c>
      <c r="AJ25" s="314">
        <f>COUNTIF(TT!$D$654:$D$668,TALLY!A25)</f>
        <v>1</v>
      </c>
      <c r="AK25" s="314">
        <f>COUNTIF(TT!$D$675:$D$685,TALLY!A25)</f>
        <v>0</v>
      </c>
      <c r="AL25" s="95">
        <f>COUNTIF(TT!$D$692:$D$702,TALLY!A25)</f>
        <v>0</v>
      </c>
      <c r="AM25" s="95">
        <f>COUNTIF(TT!$D$709:$D$721,TALLY!A25)</f>
        <v>0</v>
      </c>
      <c r="AN25" s="95">
        <f>COUNTIF(TT!$D$728:$D$737,TALLY!A25)</f>
        <v>0</v>
      </c>
      <c r="AO25" s="314">
        <f>COUNTIF(TT!$D$744:$D$753,TALLY!A25)</f>
        <v>0</v>
      </c>
      <c r="AP25" s="314">
        <f>COUNTIF(TT!$D$759:$D$774,TALLY!A25)</f>
        <v>0</v>
      </c>
      <c r="AQ25" s="314">
        <f>COUNTIF(TT!$D$781:$D$789,TALLY!A25)</f>
        <v>1</v>
      </c>
      <c r="AR25" s="94" t="s">
        <v>84</v>
      </c>
      <c r="AS25" s="4">
        <f>SUM($B25:$D25)</f>
        <v>1</v>
      </c>
      <c r="AT25" s="4">
        <f>SUM(E25:G25)</f>
        <v>0</v>
      </c>
      <c r="AU25" s="4">
        <f>SUM(H25:J25)</f>
        <v>1</v>
      </c>
      <c r="AV25" s="4">
        <f>SUM(K25:M25)</f>
        <v>0</v>
      </c>
      <c r="AW25" s="4">
        <f>SUM(N25:P25)</f>
        <v>1</v>
      </c>
      <c r="AX25" s="4">
        <f>SUM($Q25:$S25)</f>
        <v>1</v>
      </c>
      <c r="AY25" s="4">
        <f>SUM(T25:V25)</f>
        <v>0</v>
      </c>
      <c r="AZ25" s="4">
        <f>SUM(W25:Y25)</f>
        <v>0</v>
      </c>
      <c r="BA25" s="314">
        <f>SUM(Z25:AB25)</f>
        <v>0</v>
      </c>
      <c r="BB25" s="314">
        <f>SUM(AC25:AE25)</f>
        <v>0</v>
      </c>
      <c r="BC25" s="314">
        <f>SUM(AF25:AH25)</f>
        <v>1</v>
      </c>
      <c r="BD25" s="4">
        <f>SUM(AI25:AK25)</f>
        <v>1</v>
      </c>
      <c r="BE25" s="4">
        <f>SUM(AL25:AN25)</f>
        <v>0</v>
      </c>
      <c r="BF25" s="4">
        <f>SUM(AO25:AQ25)</f>
        <v>1</v>
      </c>
      <c r="BG25" s="92">
        <f>SUM(AS25:BF25)</f>
        <v>7</v>
      </c>
    </row>
    <row r="26" spans="1:59">
      <c r="A26" s="94" t="s">
        <v>39</v>
      </c>
      <c r="B26" s="95">
        <f>COUNTIF(TT!$D$6:$D$15,TALLY!A26)</f>
        <v>0</v>
      </c>
      <c r="C26" s="95">
        <f>COUNTIF(TT!$D$22:$D$32,TALLY!A26)</f>
        <v>0</v>
      </c>
      <c r="D26" s="95">
        <f>COUNTIF(TT!$D$39:$D$49,TALLY!A26)</f>
        <v>1</v>
      </c>
      <c r="E26" s="4">
        <f>COUNTIF(TT!$D$57:$D$67,TALLY!A26)</f>
        <v>0</v>
      </c>
      <c r="F26" s="4">
        <f>COUNTIF(TT!$D$74:$D$86,TALLY!A26)</f>
        <v>0</v>
      </c>
      <c r="G26" s="4">
        <f>COUNTIF(TT!$D$93:$D$107,TALLY!A26)</f>
        <v>0</v>
      </c>
      <c r="H26" s="95">
        <f>COUNTIF(TT!$D$113:$D$129,TALLY!A26)</f>
        <v>0</v>
      </c>
      <c r="I26" s="95">
        <f>COUNTIF(TT!$D$135:$D$155,TALLY!A26)</f>
        <v>0</v>
      </c>
      <c r="J26" s="95">
        <f>COUNTIF(TT!$D$162:$D$173,TALLY!A26)</f>
        <v>1</v>
      </c>
      <c r="K26" s="4">
        <f>COUNTIF(TT!$D$180:$D$199,TALLY!A26)</f>
        <v>0</v>
      </c>
      <c r="L26" s="4">
        <f>COUNTIF(TT!$D$207:$D$215,TALLY!A26)</f>
        <v>0</v>
      </c>
      <c r="M26" s="4">
        <f>COUNTIF(TT!$D$224:$D$231,TALLY!A26)</f>
        <v>0</v>
      </c>
      <c r="N26" s="345">
        <f>COUNTIF(TT!$D$237:$D$249,TALLY!A26)</f>
        <v>1</v>
      </c>
      <c r="O26" s="345">
        <f>COUNTIF(TT!$D$256:$D$264,TALLY!A26)</f>
        <v>0</v>
      </c>
      <c r="P26" s="345">
        <f>COUNTIF(TT!$D$271:$D$286,TALLY!A26)</f>
        <v>0</v>
      </c>
      <c r="Q26" s="4">
        <f>COUNTIF(TT!$D$293:$D$300,TALLY!A26)</f>
        <v>1</v>
      </c>
      <c r="R26" s="4">
        <f>COUNTIF(TT!$D$307:$D$319,TALLY!A26)</f>
        <v>0</v>
      </c>
      <c r="S26" s="4">
        <f>COUNTIF(TT!$D$326:$D$334,TALLY!A26)</f>
        <v>0</v>
      </c>
      <c r="T26" s="95">
        <f>COUNTIF(TT!$D$341:$D$350,TALLY!A26)</f>
        <v>0</v>
      </c>
      <c r="U26" s="95">
        <f>COUNTIF(TT!$D$357:$D$366,TALLY!A26)</f>
        <v>0</v>
      </c>
      <c r="V26" s="95">
        <f>COUNTIF(TT!$D$373:$D$383,TALLY!A26)</f>
        <v>0</v>
      </c>
      <c r="W26" s="4">
        <f>COUNTIF(TT!$D$390:$D$405,TALLY!A26)</f>
        <v>0</v>
      </c>
      <c r="X26" s="4">
        <f>COUNTIF(TT!$D$412:$D$423,TALLY!A26)</f>
        <v>0</v>
      </c>
      <c r="Y26" s="4">
        <f>COUNTIF(TT!$D$430:$D$438,TALLY!A26)</f>
        <v>0</v>
      </c>
      <c r="Z26" s="95">
        <f>COUNTIF(TT!$D$443:$D$457,TALLY!A26)</f>
        <v>0</v>
      </c>
      <c r="AA26" s="95">
        <f>COUNTIF(TT!$D$464:$D$474,TALLY!A26)</f>
        <v>0</v>
      </c>
      <c r="AB26" s="95">
        <f>COUNTIF(TT!$D$481:$D$494,TALLY!A26)</f>
        <v>1</v>
      </c>
      <c r="AC26" s="345">
        <f>COUNTIF(TT!$D$503:$D$522,TALLY!A26)</f>
        <v>0</v>
      </c>
      <c r="AD26" s="345">
        <f>COUNTIF(TT!$D$529:$D$541,TALLY!A26)</f>
        <v>0</v>
      </c>
      <c r="AE26" s="345">
        <f>COUNTIF(TT!$D$548:$D$561,TALLY!A26)</f>
        <v>0</v>
      </c>
      <c r="AF26" s="95">
        <f>COUNTIF(TT!$D$574:$D$584,TALLY!A26)</f>
        <v>0</v>
      </c>
      <c r="AG26" s="95">
        <f>COUNTIF(TT!$D$591:$D$601,TALLY!A26)</f>
        <v>1</v>
      </c>
      <c r="AH26" s="95">
        <f>COUNTIF(TT!$D$608:$D$619,TALLY!A26)</f>
        <v>0</v>
      </c>
      <c r="AI26" s="314">
        <f>COUNTIF(TT!$D$628:$D$647,TALLY!A26)</f>
        <v>1</v>
      </c>
      <c r="AJ26" s="314">
        <f>COUNTIF(TT!$D$654:$D$668,TALLY!A26)</f>
        <v>0</v>
      </c>
      <c r="AK26" s="314">
        <f>COUNTIF(TT!$D$675:$D$685,TALLY!A26)</f>
        <v>0</v>
      </c>
      <c r="AL26" s="95">
        <f>COUNTIF(TT!$D$692:$D$702,TALLY!A26)</f>
        <v>0</v>
      </c>
      <c r="AM26" s="95">
        <f>COUNTIF(TT!$D$709:$D$721,TALLY!A26)</f>
        <v>0</v>
      </c>
      <c r="AN26" s="95">
        <f>COUNTIF(TT!$D$728:$D$737,TALLY!A26)</f>
        <v>0</v>
      </c>
      <c r="AO26" s="314">
        <f>COUNTIF(TT!$D$744:$D$753,TALLY!A26)</f>
        <v>1</v>
      </c>
      <c r="AP26" s="314">
        <f>COUNTIF(TT!$D$759:$D$774,TALLY!A26)</f>
        <v>0</v>
      </c>
      <c r="AQ26" s="314">
        <f>COUNTIF(TT!$D$781:$D$789,TALLY!A26)</f>
        <v>0</v>
      </c>
      <c r="AR26" s="94" t="s">
        <v>39</v>
      </c>
      <c r="AS26" s="4">
        <f>SUM($B26:$D26)</f>
        <v>1</v>
      </c>
      <c r="AT26" s="4">
        <f>SUM(E26:G26)</f>
        <v>0</v>
      </c>
      <c r="AU26" s="4">
        <f>SUM(H26:J26)</f>
        <v>1</v>
      </c>
      <c r="AV26" s="4">
        <f>SUM(K26:M26)</f>
        <v>0</v>
      </c>
      <c r="AW26" s="4">
        <f>SUM(N26:P26)</f>
        <v>1</v>
      </c>
      <c r="AX26" s="4">
        <f>SUM($Q26:$S26)</f>
        <v>1</v>
      </c>
      <c r="AY26" s="4">
        <f>SUM(T26:V26)</f>
        <v>0</v>
      </c>
      <c r="AZ26" s="4">
        <f>SUM(W26:Y26)</f>
        <v>0</v>
      </c>
      <c r="BA26" s="314">
        <f>SUM(Z26:AB26)</f>
        <v>1</v>
      </c>
      <c r="BB26" s="314">
        <f>SUM(AC26:AE26)</f>
        <v>0</v>
      </c>
      <c r="BC26" s="314">
        <f>SUM(AF26:AH26)</f>
        <v>1</v>
      </c>
      <c r="BD26" s="4">
        <f>SUM(AI26:AK26)</f>
        <v>1</v>
      </c>
      <c r="BE26" s="4">
        <f>SUM(AL26:AN26)</f>
        <v>0</v>
      </c>
      <c r="BF26" s="4">
        <f>SUM(AO26:AQ26)</f>
        <v>1</v>
      </c>
      <c r="BG26" s="92">
        <f>SUM(AS26:BF26)</f>
        <v>8</v>
      </c>
    </row>
    <row r="27" spans="1:59">
      <c r="A27" s="94" t="s">
        <v>87</v>
      </c>
      <c r="B27" s="95">
        <f>COUNTIF(TT!$D$6:$D$15,TALLY!A27)</f>
        <v>1</v>
      </c>
      <c r="C27" s="95">
        <f>COUNTIF(TT!$D$22:$D$32,TALLY!A27)</f>
        <v>0</v>
      </c>
      <c r="D27" s="95">
        <f>COUNTIF(TT!$D$39:$D$49,TALLY!A27)</f>
        <v>0</v>
      </c>
      <c r="E27" s="4">
        <f>COUNTIF(TT!$D$57:$D$67,TALLY!A27)</f>
        <v>0</v>
      </c>
      <c r="F27" s="4">
        <f>COUNTIF(TT!$D$74:$D$86,TALLY!A27)</f>
        <v>0</v>
      </c>
      <c r="G27" s="4">
        <f>COUNTIF(TT!$D$93:$D$107,TALLY!A27)</f>
        <v>0</v>
      </c>
      <c r="H27" s="95">
        <f>COUNTIF(TT!$D$113:$D$129,TALLY!A27)</f>
        <v>1</v>
      </c>
      <c r="I27" s="95">
        <f>COUNTIF(TT!$D$135:$D$155,TALLY!A27)</f>
        <v>0</v>
      </c>
      <c r="J27" s="95">
        <f>COUNTIF(TT!$D$162:$D$173,TALLY!A27)</f>
        <v>0</v>
      </c>
      <c r="K27" s="4">
        <f>COUNTIF(TT!$D$180:$D$199,TALLY!A27)</f>
        <v>0</v>
      </c>
      <c r="L27" s="4">
        <f>COUNTIF(TT!$D$207:$D$215,TALLY!A27)</f>
        <v>0</v>
      </c>
      <c r="M27" s="4">
        <f>COUNTIF(TT!$D$224:$D$231,TALLY!A27)</f>
        <v>1</v>
      </c>
      <c r="N27" s="345">
        <f>COUNTIF(TT!$D$237:$D$249,TALLY!A27)</f>
        <v>0</v>
      </c>
      <c r="O27" s="345">
        <f>COUNTIF(TT!$D$256:$D$264,TALLY!A27)</f>
        <v>0</v>
      </c>
      <c r="P27" s="345">
        <f>COUNTIF(TT!$D$271:$D$286,TALLY!A27)</f>
        <v>0</v>
      </c>
      <c r="Q27" s="4">
        <f>COUNTIF(TT!$D$293:$D$300,TALLY!A27)</f>
        <v>0</v>
      </c>
      <c r="R27" s="4">
        <f>COUNTIF(TT!$D$307:$D$319,TALLY!A27)</f>
        <v>0</v>
      </c>
      <c r="S27" s="4">
        <f>COUNTIF(TT!$D$326:$D$334,TALLY!A27)</f>
        <v>1</v>
      </c>
      <c r="T27" s="95">
        <f>COUNTIF(TT!$D$341:$D$350,TALLY!A27)</f>
        <v>0</v>
      </c>
      <c r="U27" s="95">
        <f>COUNTIF(TT!$D$357:$D$366,TALLY!A27)</f>
        <v>0</v>
      </c>
      <c r="V27" s="95">
        <f>COUNTIF(TT!$D$373:$D$383,TALLY!A27)</f>
        <v>0</v>
      </c>
      <c r="W27" s="4">
        <f>COUNTIF(TT!$D$390:$D$405,TALLY!A27)</f>
        <v>0</v>
      </c>
      <c r="X27" s="4">
        <f>COUNTIF(TT!$D$412:$D$423,TALLY!A27)</f>
        <v>1</v>
      </c>
      <c r="Y27" s="4">
        <f>COUNTIF(TT!$D$430:$D$438,TALLY!A27)</f>
        <v>0</v>
      </c>
      <c r="Z27" s="95">
        <f>COUNTIF(TT!$D$443:$D$457,TALLY!A27)</f>
        <v>0</v>
      </c>
      <c r="AA27" s="95">
        <f>COUNTIF(TT!$D$464:$D$474,TALLY!A27)</f>
        <v>0</v>
      </c>
      <c r="AB27" s="95">
        <f>COUNTIF(TT!$D$481:$D$494,TALLY!A27)</f>
        <v>1</v>
      </c>
      <c r="AC27" s="345">
        <f>COUNTIF(TT!$D$503:$D$522,TALLY!A27)</f>
        <v>1</v>
      </c>
      <c r="AD27" s="345">
        <f>COUNTIF(TT!$D$529:$D$541,TALLY!A27)</f>
        <v>0</v>
      </c>
      <c r="AE27" s="345">
        <f>COUNTIF(TT!$D$548:$D$561,TALLY!A27)</f>
        <v>0</v>
      </c>
      <c r="AF27" s="95">
        <f>COUNTIF(TT!$D$574:$D$584,TALLY!A27)</f>
        <v>0</v>
      </c>
      <c r="AG27" s="95">
        <f>COUNTIF(TT!$D$591:$D$601,TALLY!A27)</f>
        <v>0</v>
      </c>
      <c r="AH27" s="95">
        <f>COUNTIF(TT!$D$608:$D$619,TALLY!A27)</f>
        <v>1</v>
      </c>
      <c r="AI27" s="314">
        <f>COUNTIF(TT!$D$628:$D$647,TALLY!A27)</f>
        <v>0</v>
      </c>
      <c r="AJ27" s="314">
        <f>COUNTIF(TT!$D$654:$D$668,TALLY!A27)</f>
        <v>0</v>
      </c>
      <c r="AK27" s="314">
        <f>COUNTIF(TT!$D$675:$D$685,TALLY!A27)</f>
        <v>0</v>
      </c>
      <c r="AL27" s="95">
        <f>COUNTIF(TT!$D$692:$D$702,TALLY!A27)</f>
        <v>0</v>
      </c>
      <c r="AM27" s="95">
        <f>COUNTIF(TT!$D$709:$D$721,TALLY!A27)</f>
        <v>0</v>
      </c>
      <c r="AN27" s="95">
        <f>COUNTIF(TT!$D$728:$D$737,TALLY!A27)</f>
        <v>0</v>
      </c>
      <c r="AO27" s="314">
        <f>COUNTIF(TT!$D$744:$D$753,TALLY!A27)</f>
        <v>0</v>
      </c>
      <c r="AP27" s="314">
        <f>COUNTIF(TT!$D$759:$D$774,TALLY!A27)</f>
        <v>1</v>
      </c>
      <c r="AQ27" s="314">
        <f>COUNTIF(TT!$D$781:$D$789,TALLY!A27)</f>
        <v>0</v>
      </c>
      <c r="AR27" s="94" t="s">
        <v>87</v>
      </c>
      <c r="AS27" s="4">
        <f>SUM($B27:$D27)</f>
        <v>1</v>
      </c>
      <c r="AT27" s="4">
        <f>SUM(E27:G27)</f>
        <v>0</v>
      </c>
      <c r="AU27" s="4">
        <f>SUM(H27:J27)</f>
        <v>1</v>
      </c>
      <c r="AV27" s="4">
        <f>SUM(K27:M27)</f>
        <v>1</v>
      </c>
      <c r="AW27" s="4">
        <f>SUM(N27:P27)</f>
        <v>0</v>
      </c>
      <c r="AX27" s="4">
        <f>SUM($Q27:$S27)</f>
        <v>1</v>
      </c>
      <c r="AY27" s="4">
        <f>SUM(T27:V27)</f>
        <v>0</v>
      </c>
      <c r="AZ27" s="4">
        <f>SUM(W27:Y27)</f>
        <v>1</v>
      </c>
      <c r="BA27" s="314">
        <f>SUM(Z27:AB27)</f>
        <v>1</v>
      </c>
      <c r="BB27" s="314">
        <f>SUM(AC27:AE27)</f>
        <v>1</v>
      </c>
      <c r="BC27" s="314">
        <f>SUM(AF27:AH27)</f>
        <v>1</v>
      </c>
      <c r="BD27" s="4">
        <f>SUM(AI27:AK27)</f>
        <v>0</v>
      </c>
      <c r="BE27" s="4">
        <f>SUM(AL27:AN27)</f>
        <v>0</v>
      </c>
      <c r="BF27" s="4">
        <f>SUM(AO27:AQ27)</f>
        <v>1</v>
      </c>
      <c r="BG27" s="92">
        <f>SUM(AS27:BF27)</f>
        <v>9</v>
      </c>
    </row>
    <row r="28" spans="1:59">
      <c r="A28" s="94" t="s">
        <v>98</v>
      </c>
      <c r="B28" s="95">
        <f>COUNTIF(TT!$D$6:$D$15,TALLY!A28)</f>
        <v>1</v>
      </c>
      <c r="C28" s="95">
        <f>COUNTIF(TT!$D$22:$D$32,TALLY!A28)</f>
        <v>0</v>
      </c>
      <c r="D28" s="95">
        <f>COUNTIF(TT!$D$39:$D$49,TALLY!A28)</f>
        <v>0</v>
      </c>
      <c r="E28" s="4">
        <f>COUNTIF(TT!$D$57:$D$67,TALLY!A28)</f>
        <v>0</v>
      </c>
      <c r="F28" s="4">
        <f>COUNTIF(TT!$D$74:$D$86,TALLY!A28)</f>
        <v>0</v>
      </c>
      <c r="G28" s="4">
        <f>COUNTIF(TT!$D$93:$D$107,TALLY!A28)</f>
        <v>0</v>
      </c>
      <c r="H28" s="95">
        <f>COUNTIF(TT!$D$113:$D$129,TALLY!A28)</f>
        <v>1</v>
      </c>
      <c r="I28" s="95">
        <f>COUNTIF(TT!$D$135:$D$155,TALLY!A28)</f>
        <v>0</v>
      </c>
      <c r="J28" s="95">
        <f>COUNTIF(TT!$D$162:$D$173,TALLY!A28)</f>
        <v>0</v>
      </c>
      <c r="K28" s="4">
        <f>COUNTIF(TT!$D$180:$D$199,TALLY!A28)</f>
        <v>1</v>
      </c>
      <c r="L28" s="4">
        <f>COUNTIF(TT!$D$207:$D$215,TALLY!A28)</f>
        <v>0</v>
      </c>
      <c r="M28" s="4">
        <f>COUNTIF(TT!$D$224:$D$231,TALLY!A28)</f>
        <v>0</v>
      </c>
      <c r="N28" s="345">
        <f>COUNTIF(TT!$D$237:$D$249,TALLY!A28)</f>
        <v>0</v>
      </c>
      <c r="O28" s="345">
        <f>COUNTIF(TT!$D$256:$D$264,TALLY!A28)</f>
        <v>1</v>
      </c>
      <c r="P28" s="345">
        <f>COUNTIF(TT!$D$271:$D$286,TALLY!A28)</f>
        <v>0</v>
      </c>
      <c r="Q28" s="4">
        <f>COUNTIF(TT!$D$293:$D$300,TALLY!A28)</f>
        <v>1</v>
      </c>
      <c r="R28" s="4">
        <f>COUNTIF(TT!$D$307:$D$319,TALLY!A28)</f>
        <v>0</v>
      </c>
      <c r="S28" s="4">
        <f>COUNTIF(TT!$D$326:$D$334,TALLY!A28)</f>
        <v>0</v>
      </c>
      <c r="T28" s="95">
        <f>COUNTIF(TT!$D$341:$D$350,TALLY!A28)</f>
        <v>0</v>
      </c>
      <c r="U28" s="95">
        <f>COUNTIF(TT!$D$357:$D$366,TALLY!A28)</f>
        <v>0</v>
      </c>
      <c r="V28" s="95">
        <f>COUNTIF(TT!$D$373:$D$383,TALLY!A28)</f>
        <v>0</v>
      </c>
      <c r="W28" s="4">
        <f>COUNTIF(TT!$D$390:$D$405,TALLY!A28)</f>
        <v>0</v>
      </c>
      <c r="X28" s="4">
        <f>COUNTIF(TT!$D$412:$D$423,TALLY!A28)</f>
        <v>0</v>
      </c>
      <c r="Y28" s="4">
        <f>COUNTIF(TT!$D$430:$D$438,TALLY!A28)</f>
        <v>0</v>
      </c>
      <c r="Z28" s="95">
        <f>COUNTIF(TT!$D$443:$D$457,TALLY!A28)</f>
        <v>0</v>
      </c>
      <c r="AA28" s="95">
        <f>COUNTIF(TT!$D$464:$D$474,TALLY!A28)</f>
        <v>1</v>
      </c>
      <c r="AB28" s="95">
        <f>COUNTIF(TT!$D$481:$D$494,TALLY!A28)</f>
        <v>0</v>
      </c>
      <c r="AC28" s="345">
        <f>COUNTIF(TT!$D$503:$D$522,TALLY!A28)</f>
        <v>1</v>
      </c>
      <c r="AD28" s="345">
        <f>COUNTIF(TT!$D$529:$D$541,TALLY!A28)</f>
        <v>0</v>
      </c>
      <c r="AE28" s="345">
        <f>COUNTIF(TT!$D$548:$D$561,TALLY!A28)</f>
        <v>0</v>
      </c>
      <c r="AF28" s="95">
        <f>COUNTIF(TT!$D$574:$D$584,TALLY!A28)</f>
        <v>0</v>
      </c>
      <c r="AG28" s="95">
        <f>COUNTIF(TT!$D$591:$D$601,TALLY!A28)</f>
        <v>0</v>
      </c>
      <c r="AH28" s="95">
        <f>COUNTIF(TT!$D$608:$D$619,TALLY!A28)</f>
        <v>0</v>
      </c>
      <c r="AI28" s="314">
        <f>COUNTIF(TT!$D$628:$D$647,TALLY!A28)</f>
        <v>0</v>
      </c>
      <c r="AJ28" s="314">
        <f>COUNTIF(TT!$D$654:$D$668,TALLY!A28)</f>
        <v>0</v>
      </c>
      <c r="AK28" s="314">
        <f>COUNTIF(TT!$D$675:$D$685,TALLY!A28)</f>
        <v>0</v>
      </c>
      <c r="AL28" s="95">
        <f>COUNTIF(TT!$D$692:$D$702,TALLY!A28)</f>
        <v>0</v>
      </c>
      <c r="AM28" s="95">
        <f>COUNTIF(TT!$D$709:$D$721,TALLY!A28)</f>
        <v>0</v>
      </c>
      <c r="AN28" s="95">
        <f>COUNTIF(TT!$D$728:$D$737,TALLY!A28)</f>
        <v>1</v>
      </c>
      <c r="AO28" s="314">
        <f>COUNTIF(TT!$D$744:$D$753,TALLY!A28)</f>
        <v>0</v>
      </c>
      <c r="AP28" s="314">
        <f>COUNTIF(TT!$D$759:$D$774,TALLY!A28)</f>
        <v>0</v>
      </c>
      <c r="AQ28" s="314">
        <f>COUNTIF(TT!$D$781:$D$789,TALLY!A28)</f>
        <v>0</v>
      </c>
      <c r="AR28" s="94" t="s">
        <v>98</v>
      </c>
      <c r="AS28" s="4">
        <f>SUM($B28:$D28)</f>
        <v>1</v>
      </c>
      <c r="AT28" s="4">
        <f>SUM(E28:G28)</f>
        <v>0</v>
      </c>
      <c r="AU28" s="4">
        <f>SUM(H28:J28)</f>
        <v>1</v>
      </c>
      <c r="AV28" s="4">
        <f>SUM(K28:M28)</f>
        <v>1</v>
      </c>
      <c r="AW28" s="4">
        <f>SUM(N28:P28)</f>
        <v>1</v>
      </c>
      <c r="AX28" s="4">
        <f>SUM($Q28:$S28)</f>
        <v>1</v>
      </c>
      <c r="AY28" s="4">
        <f>SUM(T28:V28)</f>
        <v>0</v>
      </c>
      <c r="AZ28" s="4">
        <f>SUM(W28:Y28)</f>
        <v>0</v>
      </c>
      <c r="BA28" s="314">
        <f>SUM(Z28:AB28)</f>
        <v>1</v>
      </c>
      <c r="BB28" s="314">
        <f>SUM(AC28:AE28)</f>
        <v>1</v>
      </c>
      <c r="BC28" s="314">
        <f>SUM(AF28:AH28)</f>
        <v>0</v>
      </c>
      <c r="BD28" s="4">
        <f>SUM(AI28:AK28)</f>
        <v>0</v>
      </c>
      <c r="BE28" s="4">
        <f>SUM(AL28:AN28)</f>
        <v>1</v>
      </c>
      <c r="BF28" s="4">
        <f>SUM(AO28:AQ28)</f>
        <v>0</v>
      </c>
      <c r="BG28" s="92">
        <f>SUM(AS28:BF28)</f>
        <v>8</v>
      </c>
    </row>
    <row r="29" spans="1:59">
      <c r="A29" s="94" t="s">
        <v>73</v>
      </c>
      <c r="B29" s="95">
        <f>COUNTIF(TT!$D$6:$D$15,TALLY!A29)</f>
        <v>0</v>
      </c>
      <c r="C29" s="95">
        <f>COUNTIF(TT!$D$22:$D$32,TALLY!A29)</f>
        <v>1</v>
      </c>
      <c r="D29" s="95">
        <f>COUNTIF(TT!$D$39:$D$49,TALLY!A29)</f>
        <v>0</v>
      </c>
      <c r="E29" s="4">
        <f>COUNTIF(TT!$D$57:$D$67,TALLY!A29)</f>
        <v>0</v>
      </c>
      <c r="F29" s="4">
        <f>COUNTIF(TT!$D$74:$D$86,TALLY!A29)</f>
        <v>0</v>
      </c>
      <c r="G29" s="4">
        <f>COUNTIF(TT!$D$93:$D$107,TALLY!A29)</f>
        <v>1</v>
      </c>
      <c r="H29" s="95">
        <f>COUNTIF(TT!$D$113:$D$129,TALLY!A29)</f>
        <v>0</v>
      </c>
      <c r="I29" s="95">
        <f>COUNTIF(TT!$D$135:$D$155,TALLY!A29)</f>
        <v>0</v>
      </c>
      <c r="J29" s="95">
        <f>COUNTIF(TT!$D$162:$D$173,TALLY!A29)</f>
        <v>0</v>
      </c>
      <c r="K29" s="4">
        <f>COUNTIF(TT!$D$180:$D$199,TALLY!A29)</f>
        <v>0</v>
      </c>
      <c r="L29" s="4">
        <f>COUNTIF(TT!$D$207:$D$215,TALLY!A29)</f>
        <v>0</v>
      </c>
      <c r="M29" s="4">
        <f>COUNTIF(TT!$D$224:$D$231,TALLY!A29)</f>
        <v>0</v>
      </c>
      <c r="N29" s="345">
        <f>COUNTIF(TT!$D$237:$D$249,TALLY!A29)</f>
        <v>0</v>
      </c>
      <c r="O29" s="345">
        <f>COUNTIF(TT!$D$256:$D$264,TALLY!A29)</f>
        <v>1</v>
      </c>
      <c r="P29" s="345">
        <f>COUNTIF(TT!$D$271:$D$286,TALLY!A29)</f>
        <v>0</v>
      </c>
      <c r="Q29" s="4">
        <f>COUNTIF(TT!$D$293:$D$300,TALLY!A29)</f>
        <v>0</v>
      </c>
      <c r="R29" s="4">
        <f>COUNTIF(TT!$D$307:$D$319,TALLY!A29)</f>
        <v>0</v>
      </c>
      <c r="S29" s="4">
        <f>COUNTIF(TT!$D$326:$D$334,TALLY!A29)</f>
        <v>1</v>
      </c>
      <c r="T29" s="95">
        <f>COUNTIF(TT!$D$341:$D$350,TALLY!A29)</f>
        <v>0</v>
      </c>
      <c r="U29" s="95">
        <f>COUNTIF(TT!$D$357:$D$366,TALLY!A29)</f>
        <v>0</v>
      </c>
      <c r="V29" s="95">
        <f>COUNTIF(TT!$D$373:$D$383,TALLY!A29)</f>
        <v>0</v>
      </c>
      <c r="W29" s="4">
        <f>COUNTIF(TT!$D$390:$D$405,TALLY!A29)</f>
        <v>0</v>
      </c>
      <c r="X29" s="4">
        <f>COUNTIF(TT!$D$412:$D$423,TALLY!A29)</f>
        <v>1</v>
      </c>
      <c r="Y29" s="4">
        <f>COUNTIF(TT!$D$430:$D$438,TALLY!A29)</f>
        <v>0</v>
      </c>
      <c r="Z29" s="95">
        <f>COUNTIF(TT!$D$443:$D$457,TALLY!A29)</f>
        <v>0</v>
      </c>
      <c r="AA29" s="95">
        <f>COUNTIF(TT!$D$464:$D$474,TALLY!A29)</f>
        <v>0</v>
      </c>
      <c r="AB29" s="95">
        <f>COUNTIF(TT!$D$481:$D$494,TALLY!A29)</f>
        <v>0</v>
      </c>
      <c r="AC29" s="345">
        <f>COUNTIF(TT!$D$503:$D$522,TALLY!A29)</f>
        <v>0</v>
      </c>
      <c r="AD29" s="345">
        <f>COUNTIF(TT!$D$529:$D$541,TALLY!A29)</f>
        <v>0</v>
      </c>
      <c r="AE29" s="345">
        <f>COUNTIF(TT!$D$548:$D$561,TALLY!A29)</f>
        <v>0</v>
      </c>
      <c r="AF29" s="95">
        <f>COUNTIF(TT!$D$574:$D$584,TALLY!A29)</f>
        <v>0</v>
      </c>
      <c r="AG29" s="95">
        <f>COUNTIF(TT!$D$591:$D$601,TALLY!A29)</f>
        <v>0</v>
      </c>
      <c r="AH29" s="95">
        <f>COUNTIF(TT!$D$608:$D$619,TALLY!A29)</f>
        <v>0</v>
      </c>
      <c r="AI29" s="314">
        <f>COUNTIF(TT!$D$628:$D$647,TALLY!A29)</f>
        <v>1</v>
      </c>
      <c r="AJ29" s="314">
        <f>COUNTIF(TT!$D$654:$D$668,TALLY!A29)</f>
        <v>0</v>
      </c>
      <c r="AK29" s="314">
        <f>COUNTIF(TT!$D$675:$D$685,TALLY!A29)</f>
        <v>0</v>
      </c>
      <c r="AL29" s="95">
        <f>COUNTIF(TT!$D$692:$D$702,TALLY!A29)</f>
        <v>0</v>
      </c>
      <c r="AM29" s="95">
        <f>COUNTIF(TT!$D$709:$D$721,TALLY!A29)</f>
        <v>0</v>
      </c>
      <c r="AN29" s="95">
        <f>COUNTIF(TT!$D$728:$D$737,TALLY!A29)</f>
        <v>0</v>
      </c>
      <c r="AO29" s="314">
        <f>COUNTIF(TT!$D$744:$D$753,TALLY!A29)</f>
        <v>0</v>
      </c>
      <c r="AP29" s="314">
        <f>COUNTIF(TT!$D$759:$D$774,TALLY!A29)</f>
        <v>0</v>
      </c>
      <c r="AQ29" s="314">
        <f>COUNTIF(TT!$D$781:$D$789,TALLY!A29)</f>
        <v>1</v>
      </c>
      <c r="AR29" s="94" t="s">
        <v>73</v>
      </c>
      <c r="AS29" s="4">
        <f>SUM($B29:$D29)</f>
        <v>1</v>
      </c>
      <c r="AT29" s="4">
        <f>SUM(E29:G29)</f>
        <v>1</v>
      </c>
      <c r="AU29" s="4">
        <f>SUM(H29:J29)</f>
        <v>0</v>
      </c>
      <c r="AV29" s="4">
        <f>SUM(K29:M29)</f>
        <v>0</v>
      </c>
      <c r="AW29" s="4">
        <f>SUM(N29:P29)</f>
        <v>1</v>
      </c>
      <c r="AX29" s="4">
        <f>SUM($Q29:$S29)</f>
        <v>1</v>
      </c>
      <c r="AY29" s="4">
        <f>SUM(T29:V29)</f>
        <v>0</v>
      </c>
      <c r="AZ29" s="4">
        <f>SUM(W29:Y29)</f>
        <v>1</v>
      </c>
      <c r="BA29" s="314">
        <f>SUM(Z29:AB29)</f>
        <v>0</v>
      </c>
      <c r="BB29" s="314">
        <f>SUM(AC29:AE29)</f>
        <v>0</v>
      </c>
      <c r="BC29" s="314">
        <f>SUM(AF29:AH29)</f>
        <v>0</v>
      </c>
      <c r="BD29" s="4">
        <f>SUM(AI29:AK29)</f>
        <v>1</v>
      </c>
      <c r="BE29" s="4">
        <f>SUM(AL29:AN29)</f>
        <v>0</v>
      </c>
      <c r="BF29" s="4">
        <f>SUM(AO29:AQ29)</f>
        <v>1</v>
      </c>
      <c r="BG29" s="92">
        <f>SUM(AS29:BF29)</f>
        <v>7</v>
      </c>
    </row>
    <row r="30" spans="1:59">
      <c r="A30" s="94" t="s">
        <v>85</v>
      </c>
      <c r="B30" s="95">
        <f>COUNTIF(TT!$D$6:$D$15,TALLY!A30)</f>
        <v>0</v>
      </c>
      <c r="C30" s="95">
        <f>COUNTIF(TT!$D$22:$D$32,TALLY!A30)</f>
        <v>0</v>
      </c>
      <c r="D30" s="95">
        <f>COUNTIF(TT!$D$39:$D$49,TALLY!A30)</f>
        <v>0</v>
      </c>
      <c r="E30" s="4">
        <f>COUNTIF(TT!$D$57:$D$67,TALLY!A30)</f>
        <v>1</v>
      </c>
      <c r="F30" s="4">
        <f>COUNTIF(TT!$D$74:$D$86,TALLY!A30)</f>
        <v>0</v>
      </c>
      <c r="G30" s="4">
        <f>COUNTIF(TT!$D$93:$D$107,TALLY!A30)</f>
        <v>0</v>
      </c>
      <c r="H30" s="95">
        <f>COUNTIF(TT!$D$113:$D$129,TALLY!A30)</f>
        <v>0</v>
      </c>
      <c r="I30" s="95">
        <f>COUNTIF(TT!$D$135:$D$155,TALLY!A30)</f>
        <v>1</v>
      </c>
      <c r="J30" s="95">
        <f>COUNTIF(TT!$D$162:$D$173,TALLY!A30)</f>
        <v>0</v>
      </c>
      <c r="K30" s="4">
        <f>COUNTIF(TT!$D$180:$D$199,TALLY!A30)</f>
        <v>0</v>
      </c>
      <c r="L30" s="4">
        <f>COUNTIF(TT!$D$207:$D$215,TALLY!A30)</f>
        <v>0</v>
      </c>
      <c r="M30" s="4">
        <f>COUNTIF(TT!$D$224:$D$231,TALLY!A30)</f>
        <v>0</v>
      </c>
      <c r="N30" s="345">
        <f>COUNTIF(TT!$D$237:$D$249,TALLY!A30)</f>
        <v>0</v>
      </c>
      <c r="O30" s="345">
        <f>COUNTIF(TT!$D$256:$D$264,TALLY!A30)</f>
        <v>0</v>
      </c>
      <c r="P30" s="345">
        <f>COUNTIF(TT!$D$271:$D$286,TALLY!A30)</f>
        <v>0</v>
      </c>
      <c r="Q30" s="4">
        <f>COUNTIF(TT!$D$293:$D$300,TALLY!A30)</f>
        <v>0</v>
      </c>
      <c r="R30" s="4">
        <f>COUNTIF(TT!$D$307:$D$319,TALLY!A30)</f>
        <v>0</v>
      </c>
      <c r="S30" s="4">
        <f>COUNTIF(TT!$D$326:$D$334,TALLY!A30)</f>
        <v>1</v>
      </c>
      <c r="T30" s="95">
        <f>COUNTIF(TT!$D$341:$D$350,TALLY!A30)</f>
        <v>0</v>
      </c>
      <c r="U30" s="95">
        <f>COUNTIF(TT!$D$357:$D$366,TALLY!A30)</f>
        <v>0</v>
      </c>
      <c r="V30" s="95">
        <f>COUNTIF(TT!$D$373:$D$383,TALLY!A30)</f>
        <v>0</v>
      </c>
      <c r="W30" s="4">
        <f>COUNTIF(TT!$D$390:$D$405,TALLY!A30)</f>
        <v>1</v>
      </c>
      <c r="X30" s="4">
        <f>COUNTIF(TT!$D$412:$D$423,TALLY!A30)</f>
        <v>0</v>
      </c>
      <c r="Y30" s="4">
        <f>COUNTIF(TT!$D$430:$D$438,TALLY!A30)</f>
        <v>0</v>
      </c>
      <c r="Z30" s="95">
        <f>COUNTIF(TT!$D$443:$D$457,TALLY!A30)</f>
        <v>0</v>
      </c>
      <c r="AA30" s="95">
        <f>COUNTIF(TT!$D$464:$D$474,TALLY!A30)</f>
        <v>1</v>
      </c>
      <c r="AB30" s="95">
        <f>COUNTIF(TT!$D$481:$D$494,TALLY!A30)</f>
        <v>0</v>
      </c>
      <c r="AC30" s="345">
        <f>COUNTIF(TT!$D$503:$D$522,TALLY!A30)</f>
        <v>1</v>
      </c>
      <c r="AD30" s="345">
        <f>COUNTIF(TT!$D$529:$D$541,TALLY!A30)</f>
        <v>0</v>
      </c>
      <c r="AE30" s="345">
        <f>COUNTIF(TT!$D$548:$D$561,TALLY!A30)</f>
        <v>0</v>
      </c>
      <c r="AF30" s="95">
        <f>COUNTIF(TT!$D$574:$D$584,TALLY!A30)</f>
        <v>0</v>
      </c>
      <c r="AG30" s="95">
        <f>COUNTIF(TT!$D$591:$D$601,TALLY!A30)</f>
        <v>1</v>
      </c>
      <c r="AH30" s="95">
        <f>COUNTIF(TT!$D$608:$D$619,TALLY!A30)</f>
        <v>0</v>
      </c>
      <c r="AI30" s="314">
        <f>COUNTIF(TT!$D$628:$D$647,TALLY!A30)</f>
        <v>0</v>
      </c>
      <c r="AJ30" s="314">
        <f>COUNTIF(TT!$D$654:$D$668,TALLY!A30)</f>
        <v>0</v>
      </c>
      <c r="AK30" s="314">
        <f>COUNTIF(TT!$D$675:$D$685,TALLY!A30)</f>
        <v>0</v>
      </c>
      <c r="AL30" s="95">
        <f>COUNTIF(TT!$D$692:$D$702,TALLY!A30)</f>
        <v>0</v>
      </c>
      <c r="AM30" s="95">
        <f>COUNTIF(TT!$D$709:$D$721,TALLY!A30)</f>
        <v>1</v>
      </c>
      <c r="AN30" s="95">
        <f>COUNTIF(TT!$D$728:$D$737,TALLY!A30)</f>
        <v>0</v>
      </c>
      <c r="AO30" s="314">
        <f>COUNTIF(TT!$D$744:$D$753,TALLY!A30)</f>
        <v>0</v>
      </c>
      <c r="AP30" s="314">
        <f>COUNTIF(TT!$D$759:$D$774,TALLY!A30)</f>
        <v>0</v>
      </c>
      <c r="AQ30" s="314">
        <f>COUNTIF(TT!$D$781:$D$789,TALLY!A30)</f>
        <v>0</v>
      </c>
      <c r="AR30" s="94" t="s">
        <v>85</v>
      </c>
      <c r="AS30" s="4">
        <f>SUM($B30:$D30)</f>
        <v>0</v>
      </c>
      <c r="AT30" s="4">
        <f>SUM(E30:G30)</f>
        <v>1</v>
      </c>
      <c r="AU30" s="4">
        <f>SUM(H30:J30)</f>
        <v>1</v>
      </c>
      <c r="AV30" s="4">
        <f>SUM(K30:M30)</f>
        <v>0</v>
      </c>
      <c r="AW30" s="4">
        <f>SUM(N30:P30)</f>
        <v>0</v>
      </c>
      <c r="AX30" s="4">
        <f>SUM($Q30:$S30)</f>
        <v>1</v>
      </c>
      <c r="AY30" s="4">
        <f>SUM(T30:V30)</f>
        <v>0</v>
      </c>
      <c r="AZ30" s="4">
        <f>SUM(W30:Y30)</f>
        <v>1</v>
      </c>
      <c r="BA30" s="314">
        <f>SUM(Z30:AB30)</f>
        <v>1</v>
      </c>
      <c r="BB30" s="314">
        <f>SUM(AC30:AE30)</f>
        <v>1</v>
      </c>
      <c r="BC30" s="314">
        <f>SUM(AF30:AH30)</f>
        <v>1</v>
      </c>
      <c r="BD30" s="4">
        <f>SUM(AI30:AK30)</f>
        <v>0</v>
      </c>
      <c r="BE30" s="4">
        <f>SUM(AL30:AN30)</f>
        <v>1</v>
      </c>
      <c r="BF30" s="4">
        <f>SUM(AO30:AQ30)</f>
        <v>0</v>
      </c>
      <c r="BG30" s="92">
        <f>SUM(AS30:BF30)</f>
        <v>8</v>
      </c>
    </row>
    <row r="31" spans="1:59">
      <c r="A31" s="94" t="s">
        <v>102</v>
      </c>
      <c r="B31" s="95">
        <f>COUNTIF(TT!$D$6:$D$15,TALLY!A31)</f>
        <v>0</v>
      </c>
      <c r="C31" s="95">
        <f>COUNTIF(TT!$D$22:$D$32,TALLY!A31)</f>
        <v>0</v>
      </c>
      <c r="D31" s="95">
        <f>COUNTIF(TT!$D$39:$D$49,TALLY!A31)</f>
        <v>0</v>
      </c>
      <c r="E31" s="4">
        <f>COUNTIF(TT!$D$57:$D$67,TALLY!A31)</f>
        <v>1</v>
      </c>
      <c r="F31" s="4">
        <f>COUNTIF(TT!$D$74:$D$86,TALLY!A31)</f>
        <v>0</v>
      </c>
      <c r="G31" s="4">
        <f>COUNTIF(TT!$D$93:$D$107,TALLY!A31)</f>
        <v>0</v>
      </c>
      <c r="H31" s="95">
        <f>COUNTIF(TT!$D$113:$D$129,TALLY!A31)</f>
        <v>1</v>
      </c>
      <c r="I31" s="95">
        <f>COUNTIF(TT!$D$135:$D$155,TALLY!A31)</f>
        <v>0</v>
      </c>
      <c r="J31" s="95">
        <f>COUNTIF(TT!$D$162:$D$173,TALLY!A31)</f>
        <v>0</v>
      </c>
      <c r="K31" s="4">
        <f>COUNTIF(TT!$D$180:$D$199,TALLY!A31)</f>
        <v>1</v>
      </c>
      <c r="L31" s="4">
        <f>COUNTIF(TT!$D$207:$D$215,TALLY!A31)</f>
        <v>0</v>
      </c>
      <c r="M31" s="4">
        <f>COUNTIF(TT!$D$224:$D$231,TALLY!A31)</f>
        <v>0</v>
      </c>
      <c r="N31" s="345">
        <f>COUNTIF(TT!$D$237:$D$249,TALLY!A31)</f>
        <v>0</v>
      </c>
      <c r="O31" s="345">
        <f>COUNTIF(TT!$D$256:$D$264,TALLY!A31)</f>
        <v>0</v>
      </c>
      <c r="P31" s="345">
        <f>COUNTIF(TT!$D$271:$D$286,TALLY!A31)</f>
        <v>0</v>
      </c>
      <c r="Q31" s="4">
        <f>COUNTIF(TT!$D$293:$D$300,TALLY!A31)</f>
        <v>0</v>
      </c>
      <c r="R31" s="4">
        <f>COUNTIF(TT!$D$307:$D$319,TALLY!A31)</f>
        <v>0</v>
      </c>
      <c r="S31" s="4">
        <f>COUNTIF(TT!$D$326:$D$334,TALLY!A31)</f>
        <v>1</v>
      </c>
      <c r="T31" s="95">
        <f>COUNTIF(TT!$D$341:$D$350,TALLY!A31)</f>
        <v>0</v>
      </c>
      <c r="U31" s="95">
        <f>COUNTIF(TT!$D$357:$D$366,TALLY!A31)</f>
        <v>1</v>
      </c>
      <c r="V31" s="95">
        <f>COUNTIF(TT!$D$373:$D$383,TALLY!A31)</f>
        <v>0</v>
      </c>
      <c r="W31" s="4">
        <f>COUNTIF(TT!$D$390:$D$405,TALLY!A31)</f>
        <v>0</v>
      </c>
      <c r="X31" s="4">
        <f>COUNTIF(TT!$D$412:$D$423,TALLY!A31)</f>
        <v>0</v>
      </c>
      <c r="Y31" s="4">
        <f>COUNTIF(TT!$D$430:$D$438,TALLY!A31)</f>
        <v>0</v>
      </c>
      <c r="Z31" s="95">
        <f>COUNTIF(TT!$D$443:$D$457,TALLY!A31)</f>
        <v>0</v>
      </c>
      <c r="AA31" s="95">
        <f>COUNTIF(TT!$D$464:$D$474,TALLY!A31)</f>
        <v>0</v>
      </c>
      <c r="AB31" s="95">
        <f>COUNTIF(TT!$D$481:$D$494,TALLY!A31)</f>
        <v>1</v>
      </c>
      <c r="AC31" s="345">
        <f>COUNTIF(TT!$D$503:$D$522,TALLY!A31)</f>
        <v>0</v>
      </c>
      <c r="AD31" s="345">
        <f>COUNTIF(TT!$D$529:$D$541,TALLY!A31)</f>
        <v>0</v>
      </c>
      <c r="AE31" s="345">
        <f>COUNTIF(TT!$D$548:$D$561,TALLY!A31)</f>
        <v>0</v>
      </c>
      <c r="AF31" s="95">
        <f>COUNTIF(TT!$D$574:$D$584,TALLY!A31)</f>
        <v>0</v>
      </c>
      <c r="AG31" s="95">
        <f>COUNTIF(TT!$D$591:$D$601,TALLY!A31)</f>
        <v>1</v>
      </c>
      <c r="AH31" s="95">
        <f>COUNTIF(TT!$D$608:$D$619,TALLY!A31)</f>
        <v>0</v>
      </c>
      <c r="AI31" s="314">
        <f>COUNTIF(TT!$D$628:$D$647,TALLY!A31)</f>
        <v>1</v>
      </c>
      <c r="AJ31" s="314">
        <f>COUNTIF(TT!$D$654:$D$668,TALLY!A31)</f>
        <v>0</v>
      </c>
      <c r="AK31" s="314">
        <f>COUNTIF(TT!$D$675:$D$685,TALLY!A31)</f>
        <v>0</v>
      </c>
      <c r="AL31" s="95">
        <f>COUNTIF(TT!$D$692:$D$702,TALLY!A31)</f>
        <v>0</v>
      </c>
      <c r="AM31" s="95">
        <f>COUNTIF(TT!$D$709:$D$721,TALLY!A31)</f>
        <v>0</v>
      </c>
      <c r="AN31" s="95">
        <f>COUNTIF(TT!$D$728:$D$737,TALLY!A31)</f>
        <v>0</v>
      </c>
      <c r="AO31" s="314">
        <f>COUNTIF(TT!$D$744:$D$753,TALLY!A31)</f>
        <v>0</v>
      </c>
      <c r="AP31" s="314">
        <f>COUNTIF(TT!$D$759:$D$774,TALLY!A31)</f>
        <v>0</v>
      </c>
      <c r="AQ31" s="314">
        <f>COUNTIF(TT!$D$781:$D$789,TALLY!A31)</f>
        <v>0</v>
      </c>
      <c r="AR31" s="94" t="s">
        <v>102</v>
      </c>
      <c r="AS31" s="4">
        <f>SUM($B31:$D31)</f>
        <v>0</v>
      </c>
      <c r="AT31" s="4">
        <f>SUM(E31:G31)</f>
        <v>1</v>
      </c>
      <c r="AU31" s="4">
        <f>SUM(H31:J31)</f>
        <v>1</v>
      </c>
      <c r="AV31" s="4">
        <f>SUM(K31:M31)</f>
        <v>1</v>
      </c>
      <c r="AW31" s="4">
        <f>SUM(N31:P31)</f>
        <v>0</v>
      </c>
      <c r="AX31" s="4">
        <f>SUM($Q31:$S31)</f>
        <v>1</v>
      </c>
      <c r="AY31" s="4">
        <f>SUM(T31:V31)</f>
        <v>1</v>
      </c>
      <c r="AZ31" s="4">
        <f>SUM(W31:Y31)</f>
        <v>0</v>
      </c>
      <c r="BA31" s="314">
        <f>SUM(Z31:AB31)</f>
        <v>1</v>
      </c>
      <c r="BB31" s="314">
        <f>SUM(AC31:AE31)</f>
        <v>0</v>
      </c>
      <c r="BC31" s="314">
        <f>SUM(AF31:AH31)</f>
        <v>1</v>
      </c>
      <c r="BD31" s="4">
        <f>SUM(AI31:AK31)</f>
        <v>1</v>
      </c>
      <c r="BE31" s="4">
        <f>SUM(AL31:AN31)</f>
        <v>0</v>
      </c>
      <c r="BF31" s="4">
        <f>SUM(AO31:AQ31)</f>
        <v>0</v>
      </c>
      <c r="BG31" s="92">
        <f>SUM(AS31:BF31)</f>
        <v>8</v>
      </c>
    </row>
    <row r="32" spans="1:59">
      <c r="A32" s="94" t="s">
        <v>103</v>
      </c>
      <c r="B32" s="95">
        <f>COUNTIF(TT!$D$6:$D$15,TALLY!A32)</f>
        <v>1</v>
      </c>
      <c r="C32" s="95">
        <f>COUNTIF(TT!$D$22:$D$32,TALLY!A32)</f>
        <v>0</v>
      </c>
      <c r="D32" s="95">
        <f>COUNTIF(TT!$D$39:$D$49,TALLY!A32)</f>
        <v>0</v>
      </c>
      <c r="E32" s="4">
        <f>COUNTIF(TT!$D$57:$D$67,TALLY!A32)</f>
        <v>0</v>
      </c>
      <c r="F32" s="4">
        <f>COUNTIF(TT!$D$74:$D$86,TALLY!A32)</f>
        <v>0</v>
      </c>
      <c r="G32" s="4">
        <f>COUNTIF(TT!$D$93:$D$107,TALLY!A32)</f>
        <v>0</v>
      </c>
      <c r="H32" s="95">
        <f>COUNTIF(TT!$D$113:$D$129,TALLY!A32)</f>
        <v>1</v>
      </c>
      <c r="I32" s="95">
        <f>COUNTIF(TT!$D$135:$D$155,TALLY!A32)</f>
        <v>0</v>
      </c>
      <c r="J32" s="95">
        <f>COUNTIF(TT!$D$162:$D$173,TALLY!A32)</f>
        <v>0</v>
      </c>
      <c r="K32" s="4">
        <f>COUNTIF(TT!$D$180:$D$199,TALLY!A32)</f>
        <v>1</v>
      </c>
      <c r="L32" s="4">
        <f>COUNTIF(TT!$D$207:$D$215,TALLY!A32)</f>
        <v>0</v>
      </c>
      <c r="M32" s="4">
        <f>COUNTIF(TT!$D$224:$D$231,TALLY!A32)</f>
        <v>0</v>
      </c>
      <c r="N32" s="345">
        <f>COUNTIF(TT!$D$237:$D$249,TALLY!A32)</f>
        <v>0</v>
      </c>
      <c r="O32" s="345">
        <f>COUNTIF(TT!$D$256:$D$264,TALLY!A32)</f>
        <v>0</v>
      </c>
      <c r="P32" s="345">
        <f>COUNTIF(TT!$D$271:$D$286,TALLY!A32)</f>
        <v>1</v>
      </c>
      <c r="Q32" s="4">
        <f>COUNTIF(TT!$D$293:$D$300,TALLY!A32)</f>
        <v>0</v>
      </c>
      <c r="R32" s="4">
        <f>COUNTIF(TT!$D$307:$D$319,TALLY!A32)</f>
        <v>0</v>
      </c>
      <c r="S32" s="4">
        <f>COUNTIF(TT!$D$326:$D$334,TALLY!A32)</f>
        <v>0</v>
      </c>
      <c r="T32" s="95">
        <f>COUNTIF(TT!$D$341:$D$350,TALLY!A32)</f>
        <v>0</v>
      </c>
      <c r="U32" s="95">
        <f>COUNTIF(TT!$D$357:$D$366,TALLY!A32)</f>
        <v>1</v>
      </c>
      <c r="V32" s="95">
        <f>COUNTIF(TT!$D$373:$D$383,TALLY!A32)</f>
        <v>0</v>
      </c>
      <c r="W32" s="4">
        <f>COUNTIF(TT!$D$390:$D$405,TALLY!A32)</f>
        <v>0</v>
      </c>
      <c r="X32" s="4">
        <f>COUNTIF(TT!$D$412:$D$423,TALLY!A32)</f>
        <v>0</v>
      </c>
      <c r="Y32" s="4">
        <f>COUNTIF(TT!$D$430:$D$438,TALLY!A32)</f>
        <v>0</v>
      </c>
      <c r="Z32" s="95">
        <f>COUNTIF(TT!$D$443:$D$457,TALLY!A32)</f>
        <v>0</v>
      </c>
      <c r="AA32" s="95">
        <f>COUNTIF(TT!$D$464:$D$474,TALLY!A32)</f>
        <v>0</v>
      </c>
      <c r="AB32" s="95">
        <f>COUNTIF(TT!$D$481:$D$494,TALLY!A32)</f>
        <v>1</v>
      </c>
      <c r="AC32" s="345">
        <f>COUNTIF(TT!$D$503:$D$522,TALLY!A32)</f>
        <v>0</v>
      </c>
      <c r="AD32" s="345">
        <f>COUNTIF(TT!$D$529:$D$541,TALLY!A32)</f>
        <v>1</v>
      </c>
      <c r="AE32" s="345">
        <f>COUNTIF(TT!$D$548:$D$561,TALLY!A32)</f>
        <v>0</v>
      </c>
      <c r="AF32" s="95">
        <f>COUNTIF(TT!$D$574:$D$584,TALLY!A32)</f>
        <v>0</v>
      </c>
      <c r="AG32" s="95">
        <f>COUNTIF(TT!$D$591:$D$601,TALLY!A32)</f>
        <v>1</v>
      </c>
      <c r="AH32" s="95">
        <f>COUNTIF(TT!$D$608:$D$619,TALLY!A32)</f>
        <v>0</v>
      </c>
      <c r="AI32" s="314">
        <f>COUNTIF(TT!$D$628:$D$647,TALLY!A32)</f>
        <v>1</v>
      </c>
      <c r="AJ32" s="314">
        <f>COUNTIF(TT!$D$654:$D$668,TALLY!A32)</f>
        <v>0</v>
      </c>
      <c r="AK32" s="314">
        <f>COUNTIF(TT!$D$675:$D$685,TALLY!A32)</f>
        <v>0</v>
      </c>
      <c r="AL32" s="95">
        <f>COUNTIF(TT!$D$692:$D$702,TALLY!A32)</f>
        <v>0</v>
      </c>
      <c r="AM32" s="95">
        <f>COUNTIF(TT!$D$709:$D$721,TALLY!A32)</f>
        <v>0</v>
      </c>
      <c r="AN32" s="95">
        <f>COUNTIF(TT!$D$728:$D$737,TALLY!A32)</f>
        <v>0</v>
      </c>
      <c r="AO32" s="314">
        <f>COUNTIF(TT!$D$744:$D$753,TALLY!A32)</f>
        <v>0</v>
      </c>
      <c r="AP32" s="314">
        <f>COUNTIF(TT!$D$759:$D$774,TALLY!A32)</f>
        <v>0</v>
      </c>
      <c r="AQ32" s="314">
        <f>COUNTIF(TT!$D$781:$D$789,TALLY!A32)</f>
        <v>0</v>
      </c>
      <c r="AR32" s="94" t="s">
        <v>103</v>
      </c>
      <c r="AS32" s="4">
        <f>SUM($B32:$D32)</f>
        <v>1</v>
      </c>
      <c r="AT32" s="4">
        <f>SUM(E32:G32)</f>
        <v>0</v>
      </c>
      <c r="AU32" s="4">
        <f>SUM(H32:J32)</f>
        <v>1</v>
      </c>
      <c r="AV32" s="4">
        <f>SUM(K32:M32)</f>
        <v>1</v>
      </c>
      <c r="AW32" s="4">
        <f>SUM(N32:P32)</f>
        <v>1</v>
      </c>
      <c r="AX32" s="4">
        <f>SUM($Q32:$S32)</f>
        <v>0</v>
      </c>
      <c r="AY32" s="4">
        <f>SUM(T32:V32)</f>
        <v>1</v>
      </c>
      <c r="AZ32" s="4">
        <f>SUM(W32:Y32)</f>
        <v>0</v>
      </c>
      <c r="BA32" s="314">
        <f>SUM(Z32:AB32)</f>
        <v>1</v>
      </c>
      <c r="BB32" s="314">
        <f>SUM(AC32:AE32)</f>
        <v>1</v>
      </c>
      <c r="BC32" s="314">
        <f>SUM(AF32:AH32)</f>
        <v>1</v>
      </c>
      <c r="BD32" s="4">
        <f>SUM(AI32:AK32)</f>
        <v>1</v>
      </c>
      <c r="BE32" s="4">
        <f>SUM(AL32:AN32)</f>
        <v>0</v>
      </c>
      <c r="BF32" s="4">
        <f>SUM(AO32:AQ32)</f>
        <v>0</v>
      </c>
      <c r="BG32" s="92">
        <f>SUM(AS32:BF32)</f>
        <v>9</v>
      </c>
    </row>
    <row r="33" spans="1:59">
      <c r="A33" s="94" t="s">
        <v>82</v>
      </c>
      <c r="B33" s="95">
        <f>COUNTIF(TT!$D$6:$D$15,TALLY!A33)</f>
        <v>1</v>
      </c>
      <c r="C33" s="95">
        <f>COUNTIF(TT!$D$22:$D$32,TALLY!A33)</f>
        <v>0</v>
      </c>
      <c r="D33" s="95">
        <f>COUNTIF(TT!$D$39:$D$49,TALLY!A33)</f>
        <v>0</v>
      </c>
      <c r="E33" s="4">
        <f>COUNTIF(TT!$D$57:$D$67,TALLY!A33)</f>
        <v>0</v>
      </c>
      <c r="F33" s="4">
        <f>COUNTIF(TT!$D$74:$D$86,TALLY!A33)</f>
        <v>1</v>
      </c>
      <c r="G33" s="4">
        <f>COUNTIF(TT!$D$93:$D$107,TALLY!A33)</f>
        <v>0</v>
      </c>
      <c r="H33" s="95">
        <f>COUNTIF(TT!$D$113:$D$129,TALLY!A33)</f>
        <v>0</v>
      </c>
      <c r="I33" s="95">
        <f>COUNTIF(TT!$D$135:$D$155,TALLY!A33)</f>
        <v>0</v>
      </c>
      <c r="J33" s="95">
        <f>COUNTIF(TT!$D$162:$D$173,TALLY!A33)</f>
        <v>1</v>
      </c>
      <c r="K33" s="4">
        <f>COUNTIF(TT!$D$180:$D$199,TALLY!A33)</f>
        <v>0</v>
      </c>
      <c r="L33" s="4">
        <f>COUNTIF(TT!$D$207:$D$215,TALLY!A33)</f>
        <v>0</v>
      </c>
      <c r="M33" s="4">
        <f>COUNTIF(TT!$D$224:$D$231,TALLY!A33)</f>
        <v>0</v>
      </c>
      <c r="N33" s="345">
        <f>COUNTIF(TT!$D$237:$D$249,TALLY!A33)</f>
        <v>0</v>
      </c>
      <c r="O33" s="345">
        <f>COUNTIF(TT!$D$256:$D$264,TALLY!A33)</f>
        <v>0</v>
      </c>
      <c r="P33" s="345">
        <f>COUNTIF(TT!$D$271:$D$286,TALLY!A33)</f>
        <v>0</v>
      </c>
      <c r="Q33" s="4">
        <f>COUNTIF(TT!$D$293:$D$300,TALLY!A33)</f>
        <v>0</v>
      </c>
      <c r="R33" s="4">
        <f>COUNTIF(TT!$D$307:$D$319,TALLY!A33)</f>
        <v>0</v>
      </c>
      <c r="S33" s="4">
        <f>COUNTIF(TT!$D$326:$D$334,TALLY!A33)</f>
        <v>0</v>
      </c>
      <c r="T33" s="95">
        <f>COUNTIF(TT!$D$341:$D$350,TALLY!A33)</f>
        <v>0</v>
      </c>
      <c r="U33" s="95">
        <f>COUNTIF(TT!$D$357:$D$366,TALLY!A33)</f>
        <v>1</v>
      </c>
      <c r="V33" s="95">
        <f>COUNTIF(TT!$D$373:$D$383,TALLY!A33)</f>
        <v>0</v>
      </c>
      <c r="W33" s="4">
        <f>COUNTIF(TT!$D$390:$D$405,TALLY!A33)</f>
        <v>0</v>
      </c>
      <c r="X33" s="4">
        <f>COUNTIF(TT!$D$412:$D$423,TALLY!A33)</f>
        <v>0</v>
      </c>
      <c r="Y33" s="4">
        <f>COUNTIF(TT!$D$430:$D$438,TALLY!A33)</f>
        <v>0</v>
      </c>
      <c r="Z33" s="95">
        <f>COUNTIF(TT!$D$443:$D$457,TALLY!A33)</f>
        <v>0</v>
      </c>
      <c r="AA33" s="95">
        <f>COUNTIF(TT!$D$464:$D$474,TALLY!A33)</f>
        <v>0</v>
      </c>
      <c r="AB33" s="95">
        <f>COUNTIF(TT!$D$481:$D$494,TALLY!A33)</f>
        <v>1</v>
      </c>
      <c r="AC33" s="345">
        <f>COUNTIF(TT!$D$503:$D$522,TALLY!A33)</f>
        <v>1</v>
      </c>
      <c r="AD33" s="345">
        <f>COUNTIF(TT!$D$529:$D$541,TALLY!A33)</f>
        <v>0</v>
      </c>
      <c r="AE33" s="345">
        <f>COUNTIF(TT!$D$548:$D$561,TALLY!A33)</f>
        <v>0</v>
      </c>
      <c r="AF33" s="95">
        <f>COUNTIF(TT!$D$574:$D$584,TALLY!A33)</f>
        <v>1</v>
      </c>
      <c r="AG33" s="95">
        <f>COUNTIF(TT!$D$591:$D$601,TALLY!A33)</f>
        <v>0</v>
      </c>
      <c r="AH33" s="95">
        <f>COUNTIF(TT!$D$608:$D$619,TALLY!A33)</f>
        <v>0</v>
      </c>
      <c r="AI33" s="314">
        <f>COUNTIF(TT!$D$628:$D$647,TALLY!A33)</f>
        <v>0</v>
      </c>
      <c r="AJ33" s="314">
        <f>COUNTIF(TT!$D$654:$D$668,TALLY!A33)</f>
        <v>0</v>
      </c>
      <c r="AK33" s="314">
        <f>COUNTIF(TT!$D$675:$D$685,TALLY!A33)</f>
        <v>0</v>
      </c>
      <c r="AL33" s="95">
        <f>COUNTIF(TT!$D$692:$D$702,TALLY!A33)</f>
        <v>1</v>
      </c>
      <c r="AM33" s="95">
        <f>COUNTIF(TT!$D$709:$D$721,TALLY!A33)</f>
        <v>0</v>
      </c>
      <c r="AN33" s="95">
        <f>COUNTIF(TT!$D$728:$D$737,TALLY!A33)</f>
        <v>0</v>
      </c>
      <c r="AO33" s="314">
        <f>COUNTIF(TT!$D$744:$D$753,TALLY!A33)</f>
        <v>0</v>
      </c>
      <c r="AP33" s="314">
        <f>COUNTIF(TT!$D$759:$D$774,TALLY!A33)</f>
        <v>0</v>
      </c>
      <c r="AQ33" s="314">
        <f>COUNTIF(TT!$D$781:$D$789,TALLY!A33)</f>
        <v>0</v>
      </c>
      <c r="AR33" s="94" t="s">
        <v>82</v>
      </c>
      <c r="AS33" s="4">
        <f>SUM($B33:$D33)</f>
        <v>1</v>
      </c>
      <c r="AT33" s="4">
        <f>SUM(E33:G33)</f>
        <v>1</v>
      </c>
      <c r="AU33" s="4">
        <f>SUM(H33:J33)</f>
        <v>1</v>
      </c>
      <c r="AV33" s="4">
        <f>SUM(K33:M33)</f>
        <v>0</v>
      </c>
      <c r="AW33" s="4">
        <f>SUM(N33:P33)</f>
        <v>0</v>
      </c>
      <c r="AX33" s="4">
        <f>SUM($Q33:$S33)</f>
        <v>0</v>
      </c>
      <c r="AY33" s="4">
        <f>SUM(T33:V33)</f>
        <v>1</v>
      </c>
      <c r="AZ33" s="4">
        <f>SUM(W33:Y33)</f>
        <v>0</v>
      </c>
      <c r="BA33" s="314">
        <f>SUM(Z33:AB33)</f>
        <v>1</v>
      </c>
      <c r="BB33" s="314">
        <f>SUM(AC33:AE33)</f>
        <v>1</v>
      </c>
      <c r="BC33" s="314">
        <f>SUM(AF33:AH33)</f>
        <v>1</v>
      </c>
      <c r="BD33" s="4">
        <f>SUM(AI33:AK33)</f>
        <v>0</v>
      </c>
      <c r="BE33" s="4">
        <f>SUM(AL33:AN33)</f>
        <v>1</v>
      </c>
      <c r="BF33" s="4">
        <f>SUM(AO33:AQ33)</f>
        <v>0</v>
      </c>
      <c r="BG33" s="92">
        <f>SUM(AS33:BF33)</f>
        <v>8</v>
      </c>
    </row>
    <row r="34" spans="1:59">
      <c r="A34" s="94" t="s">
        <v>72</v>
      </c>
      <c r="B34" s="95">
        <f>COUNTIF(TT!$D$6:$D$15,TALLY!A34)</f>
        <v>0</v>
      </c>
      <c r="C34" s="95">
        <f>COUNTIF(TT!$D$22:$D$32,TALLY!A34)</f>
        <v>1</v>
      </c>
      <c r="D34" s="95">
        <f>COUNTIF(TT!$D$39:$D$49,TALLY!A34)</f>
        <v>0</v>
      </c>
      <c r="E34" s="4">
        <f>COUNTIF(TT!$D$57:$D$67,TALLY!A34)</f>
        <v>0</v>
      </c>
      <c r="F34" s="4">
        <f>COUNTIF(TT!$D$74:$D$86,TALLY!A34)</f>
        <v>0</v>
      </c>
      <c r="G34" s="4">
        <f>COUNTIF(TT!$D$93:$D$107,TALLY!A34)</f>
        <v>1</v>
      </c>
      <c r="H34" s="95">
        <f>COUNTIF(TT!$D$113:$D$129,TALLY!A34)</f>
        <v>0</v>
      </c>
      <c r="I34" s="95">
        <f>COUNTIF(TT!$D$135:$D$155,TALLY!A34)</f>
        <v>0</v>
      </c>
      <c r="J34" s="95">
        <f>COUNTIF(TT!$D$162:$D$173,TALLY!A34)</f>
        <v>0</v>
      </c>
      <c r="K34" s="4">
        <f>COUNTIF(TT!$D$180:$D$199,TALLY!A34)</f>
        <v>1</v>
      </c>
      <c r="L34" s="4">
        <f>COUNTIF(TT!$D$207:$D$215,TALLY!A34)</f>
        <v>0</v>
      </c>
      <c r="M34" s="4">
        <f>COUNTIF(TT!$D$224:$D$231,TALLY!A34)</f>
        <v>0</v>
      </c>
      <c r="N34" s="345">
        <f>COUNTIF(TT!$D$237:$D$249,TALLY!A34)</f>
        <v>0</v>
      </c>
      <c r="O34" s="345">
        <f>COUNTIF(TT!$D$256:$D$264,TALLY!A34)</f>
        <v>0</v>
      </c>
      <c r="P34" s="345">
        <f>COUNTIF(TT!$D$271:$D$286,TALLY!A34)</f>
        <v>1</v>
      </c>
      <c r="Q34" s="4">
        <f>COUNTIF(TT!$D$293:$D$300,TALLY!A34)</f>
        <v>0</v>
      </c>
      <c r="R34" s="4">
        <f>COUNTIF(TT!$D$307:$D$319,TALLY!A34)</f>
        <v>0</v>
      </c>
      <c r="S34" s="4">
        <f>COUNTIF(TT!$D$326:$D$334,TALLY!A34)</f>
        <v>0</v>
      </c>
      <c r="T34" s="95">
        <f>COUNTIF(TT!$D$341:$D$350,TALLY!A34)</f>
        <v>0</v>
      </c>
      <c r="U34" s="95">
        <f>COUNTIF(TT!$D$357:$D$366,TALLY!A34)</f>
        <v>0</v>
      </c>
      <c r="V34" s="95">
        <f>COUNTIF(TT!$D$373:$D$383,TALLY!A34)</f>
        <v>0</v>
      </c>
      <c r="W34" s="4">
        <f>COUNTIF(TT!$D$390:$D$405,TALLY!A34)</f>
        <v>1</v>
      </c>
      <c r="X34" s="4">
        <f>COUNTIF(TT!$D$412:$D$423,TALLY!A34)</f>
        <v>0</v>
      </c>
      <c r="Y34" s="4">
        <f>COUNTIF(TT!$D$430:$D$438,TALLY!A34)</f>
        <v>0</v>
      </c>
      <c r="Z34" s="95">
        <f>COUNTIF(TT!$D$443:$D$457,TALLY!A34)</f>
        <v>1</v>
      </c>
      <c r="AA34" s="95">
        <f>COUNTIF(TT!$D$464:$D$474,TALLY!A34)</f>
        <v>0</v>
      </c>
      <c r="AB34" s="95">
        <f>COUNTIF(TT!$D$481:$D$494,TALLY!A34)</f>
        <v>0</v>
      </c>
      <c r="AC34" s="345">
        <f>COUNTIF(TT!$D$503:$D$522,TALLY!A34)</f>
        <v>0</v>
      </c>
      <c r="AD34" s="345">
        <f>COUNTIF(TT!$D$529:$D$541,TALLY!A34)</f>
        <v>0</v>
      </c>
      <c r="AE34" s="345">
        <f>COUNTIF(TT!$D$548:$D$561,TALLY!A34)</f>
        <v>0</v>
      </c>
      <c r="AF34" s="95">
        <f>COUNTIF(TT!$D$574:$D$584,TALLY!A34)</f>
        <v>1</v>
      </c>
      <c r="AG34" s="95">
        <f>COUNTIF(TT!$D$591:$D$601,TALLY!A34)</f>
        <v>0</v>
      </c>
      <c r="AH34" s="95">
        <f>COUNTIF(TT!$D$608:$D$619,TALLY!A34)</f>
        <v>0</v>
      </c>
      <c r="AI34" s="314">
        <f>COUNTIF(TT!$D$628:$D$647,TALLY!A34)</f>
        <v>1</v>
      </c>
      <c r="AJ34" s="314">
        <f>COUNTIF(TT!$D$654:$D$668,TALLY!A34)</f>
        <v>0</v>
      </c>
      <c r="AK34" s="314">
        <f>COUNTIF(TT!$D$675:$D$685,TALLY!A34)</f>
        <v>0</v>
      </c>
      <c r="AL34" s="95">
        <f>COUNTIF(TT!$D$692:$D$702,TALLY!A34)</f>
        <v>0</v>
      </c>
      <c r="AM34" s="95">
        <f>COUNTIF(TT!$D$709:$D$721,TALLY!A34)</f>
        <v>0</v>
      </c>
      <c r="AN34" s="95">
        <f>COUNTIF(TT!$D$728:$D$737,TALLY!A34)</f>
        <v>0</v>
      </c>
      <c r="AO34" s="314">
        <f>COUNTIF(TT!$D$744:$D$753,TALLY!A34)</f>
        <v>0</v>
      </c>
      <c r="AP34" s="314">
        <f>COUNTIF(TT!$D$759:$D$774,TALLY!A34)</f>
        <v>0</v>
      </c>
      <c r="AQ34" s="314">
        <f>COUNTIF(TT!$D$781:$D$789,TALLY!A34)</f>
        <v>0</v>
      </c>
      <c r="AR34" s="94" t="s">
        <v>72</v>
      </c>
      <c r="AS34" s="4">
        <f>SUM($B34:$D34)</f>
        <v>1</v>
      </c>
      <c r="AT34" s="4">
        <f>SUM(E34:G34)</f>
        <v>1</v>
      </c>
      <c r="AU34" s="4">
        <f>SUM(H34:J34)</f>
        <v>0</v>
      </c>
      <c r="AV34" s="4">
        <f>SUM(K34:M34)</f>
        <v>1</v>
      </c>
      <c r="AW34" s="4">
        <f>SUM(N34:P34)</f>
        <v>1</v>
      </c>
      <c r="AX34" s="4">
        <f>SUM($Q34:$S34)</f>
        <v>0</v>
      </c>
      <c r="AY34" s="4">
        <f>SUM(T34:V34)</f>
        <v>0</v>
      </c>
      <c r="AZ34" s="4">
        <f>SUM(W34:Y34)</f>
        <v>1</v>
      </c>
      <c r="BA34" s="314">
        <f>SUM(Z34:AB34)</f>
        <v>1</v>
      </c>
      <c r="BB34" s="314">
        <f>SUM(AC34:AE34)</f>
        <v>0</v>
      </c>
      <c r="BC34" s="314">
        <f>SUM(AF34:AH34)</f>
        <v>1</v>
      </c>
      <c r="BD34" s="4">
        <f>SUM(AI34:AK34)</f>
        <v>1</v>
      </c>
      <c r="BE34" s="4">
        <f>SUM(AL34:AN34)</f>
        <v>0</v>
      </c>
      <c r="BF34" s="4">
        <f>SUM(AO34:AQ34)</f>
        <v>0</v>
      </c>
      <c r="BG34" s="92">
        <f>SUM(AS34:BF34)</f>
        <v>8</v>
      </c>
    </row>
    <row r="35" spans="1:59">
      <c r="A35" s="94" t="s">
        <v>104</v>
      </c>
      <c r="B35" s="95">
        <f>COUNTIF(TT!$D$6:$D$15,TALLY!A35)</f>
        <v>0</v>
      </c>
      <c r="C35" s="95">
        <f>COUNTIF(TT!$D$22:$D$32,TALLY!A35)</f>
        <v>1</v>
      </c>
      <c r="D35" s="95">
        <f>COUNTIF(TT!$D$39:$D$49,TALLY!A35)</f>
        <v>0</v>
      </c>
      <c r="E35" s="4">
        <f>COUNTIF(TT!$D$57:$D$67,TALLY!A35)</f>
        <v>0</v>
      </c>
      <c r="F35" s="4">
        <f>COUNTIF(TT!$D$74:$D$86,TALLY!A35)</f>
        <v>0</v>
      </c>
      <c r="G35" s="4">
        <f>COUNTIF(TT!$D$93:$D$107,TALLY!A35)</f>
        <v>0</v>
      </c>
      <c r="H35" s="95">
        <f>COUNTIF(TT!$D$113:$D$129,TALLY!A35)</f>
        <v>1</v>
      </c>
      <c r="I35" s="95">
        <f>COUNTIF(TT!$D$135:$D$155,TALLY!A35)</f>
        <v>0</v>
      </c>
      <c r="J35" s="95">
        <f>COUNTIF(TT!$D$162:$D$173,TALLY!A35)</f>
        <v>0</v>
      </c>
      <c r="K35" s="4">
        <f>COUNTIF(TT!$D$180:$D$199,TALLY!A35)</f>
        <v>1</v>
      </c>
      <c r="L35" s="4">
        <f>COUNTIF(TT!$D$207:$D$215,TALLY!A35)</f>
        <v>0</v>
      </c>
      <c r="M35" s="4">
        <f>COUNTIF(TT!$D$224:$D$231,TALLY!A35)</f>
        <v>0</v>
      </c>
      <c r="N35" s="345">
        <f>COUNTIF(TT!$D$237:$D$249,TALLY!A35)</f>
        <v>0</v>
      </c>
      <c r="O35" s="345">
        <f>COUNTIF(TT!$D$256:$D$264,TALLY!A35)</f>
        <v>0</v>
      </c>
      <c r="P35" s="345">
        <f>COUNTIF(TT!$D$271:$D$286,TALLY!A35)</f>
        <v>1</v>
      </c>
      <c r="Q35" s="4">
        <f>COUNTIF(TT!$D$293:$D$300,TALLY!A35)</f>
        <v>0</v>
      </c>
      <c r="R35" s="4">
        <f>COUNTIF(TT!$D$307:$D$319,TALLY!A35)</f>
        <v>0</v>
      </c>
      <c r="S35" s="4">
        <f>COUNTIF(TT!$D$326:$D$334,TALLY!A35)</f>
        <v>0</v>
      </c>
      <c r="T35" s="95">
        <f>COUNTIF(TT!$D$341:$D$350,TALLY!A35)</f>
        <v>0</v>
      </c>
      <c r="U35" s="95">
        <f>COUNTIF(TT!$D$357:$D$366,TALLY!A35)</f>
        <v>0</v>
      </c>
      <c r="V35" s="95">
        <f>COUNTIF(TT!$D$373:$D$383,TALLY!A35)</f>
        <v>0</v>
      </c>
      <c r="W35" s="4">
        <f>COUNTIF(TT!$D$390:$D$405,TALLY!A35)</f>
        <v>1</v>
      </c>
      <c r="X35" s="4">
        <f>COUNTIF(TT!$D$412:$D$423,TALLY!A35)</f>
        <v>0</v>
      </c>
      <c r="Y35" s="4">
        <f>COUNTIF(TT!$D$430:$D$438,TALLY!A35)</f>
        <v>0</v>
      </c>
      <c r="Z35" s="95">
        <f>COUNTIF(TT!$D$443:$D$457,TALLY!A35)</f>
        <v>1</v>
      </c>
      <c r="AA35" s="95">
        <f>COUNTIF(TT!$D$464:$D$474,TALLY!A35)</f>
        <v>0</v>
      </c>
      <c r="AB35" s="95">
        <f>COUNTIF(TT!$D$481:$D$494,TALLY!A35)</f>
        <v>0</v>
      </c>
      <c r="AC35" s="345">
        <f>COUNTIF(TT!$D$503:$D$522,TALLY!A35)</f>
        <v>1</v>
      </c>
      <c r="AD35" s="345">
        <f>COUNTIF(TT!$D$529:$D$541,TALLY!A35)</f>
        <v>0</v>
      </c>
      <c r="AE35" s="345">
        <f>COUNTIF(TT!$D$548:$D$561,TALLY!A35)</f>
        <v>0</v>
      </c>
      <c r="AF35" s="95">
        <f>COUNTIF(TT!$D$574:$D$584,TALLY!A35)</f>
        <v>1</v>
      </c>
      <c r="AG35" s="95">
        <f>COUNTIF(TT!$D$591:$D$601,TALLY!A35)</f>
        <v>0</v>
      </c>
      <c r="AH35" s="95">
        <f>COUNTIF(TT!$D$608:$D$619,TALLY!A35)</f>
        <v>0</v>
      </c>
      <c r="AI35" s="314">
        <f>COUNTIF(TT!$D$628:$D$647,TALLY!A35)</f>
        <v>0</v>
      </c>
      <c r="AJ35" s="314">
        <f>COUNTIF(TT!$D$654:$D$668,TALLY!A35)</f>
        <v>0</v>
      </c>
      <c r="AK35" s="314">
        <f>COUNTIF(TT!$D$675:$D$685,TALLY!A35)</f>
        <v>0</v>
      </c>
      <c r="AL35" s="95">
        <f>COUNTIF(TT!$D$692:$D$702,TALLY!A35)</f>
        <v>0</v>
      </c>
      <c r="AM35" s="95">
        <f>COUNTIF(TT!$D$709:$D$721,TALLY!A35)</f>
        <v>0</v>
      </c>
      <c r="AN35" s="95">
        <f>COUNTIF(TT!$D$728:$D$737,TALLY!A35)</f>
        <v>0</v>
      </c>
      <c r="AO35" s="314">
        <f>COUNTIF(TT!$D$744:$D$753,TALLY!A35)</f>
        <v>0</v>
      </c>
      <c r="AP35" s="314">
        <f>COUNTIF(TT!$D$759:$D$774,TALLY!A35)</f>
        <v>1</v>
      </c>
      <c r="AQ35" s="314">
        <f>COUNTIF(TT!$D$781:$D$789,TALLY!A35)</f>
        <v>0</v>
      </c>
      <c r="AR35" s="94" t="s">
        <v>104</v>
      </c>
      <c r="AS35" s="4">
        <f>SUM($B35:$D35)</f>
        <v>1</v>
      </c>
      <c r="AT35" s="4">
        <f>SUM(E35:G35)</f>
        <v>0</v>
      </c>
      <c r="AU35" s="4">
        <f>SUM(H35:J35)</f>
        <v>1</v>
      </c>
      <c r="AV35" s="4">
        <f>SUM(K35:M35)</f>
        <v>1</v>
      </c>
      <c r="AW35" s="4">
        <f>SUM(N35:P35)</f>
        <v>1</v>
      </c>
      <c r="AX35" s="4">
        <f>SUM($Q35:$S35)</f>
        <v>0</v>
      </c>
      <c r="AY35" s="4">
        <f>SUM(T35:V35)</f>
        <v>0</v>
      </c>
      <c r="AZ35" s="4">
        <f>SUM(W35:Y35)</f>
        <v>1</v>
      </c>
      <c r="BA35" s="314">
        <f>SUM(Z35:AB35)</f>
        <v>1</v>
      </c>
      <c r="BB35" s="314">
        <f>SUM(AC35:AE35)</f>
        <v>1</v>
      </c>
      <c r="BC35" s="314">
        <f>SUM(AF35:AH35)</f>
        <v>1</v>
      </c>
      <c r="BD35" s="4">
        <f>SUM(AI35:AK35)</f>
        <v>0</v>
      </c>
      <c r="BE35" s="4">
        <f>SUM(AL35:AN35)</f>
        <v>0</v>
      </c>
      <c r="BF35" s="4">
        <f>SUM(AO35:AQ35)</f>
        <v>1</v>
      </c>
      <c r="BG35" s="92">
        <f>SUM(AS35:BF35)</f>
        <v>9</v>
      </c>
    </row>
    <row r="36" spans="1:59">
      <c r="A36" s="94" t="s">
        <v>40</v>
      </c>
      <c r="B36" s="95">
        <f>COUNTIF(TT!$D$6:$D$15,TALLY!A36)</f>
        <v>0</v>
      </c>
      <c r="C36" s="95">
        <f>COUNTIF(TT!$D$22:$D$32,TALLY!A36)</f>
        <v>0</v>
      </c>
      <c r="D36" s="95">
        <f>COUNTIF(TT!$D$39:$D$49,TALLY!A36)</f>
        <v>1</v>
      </c>
      <c r="E36" s="4">
        <f>COUNTIF(TT!$D$57:$D$67,TALLY!A36)</f>
        <v>0</v>
      </c>
      <c r="F36" s="4">
        <f>COUNTIF(TT!$D$74:$D$86,TALLY!A36)</f>
        <v>1</v>
      </c>
      <c r="G36" s="4">
        <f>COUNTIF(TT!$D$93:$D$107,TALLY!A36)</f>
        <v>0</v>
      </c>
      <c r="H36" s="95">
        <f>COUNTIF(TT!$D$113:$D$129,TALLY!A36)</f>
        <v>0</v>
      </c>
      <c r="I36" s="95">
        <f>COUNTIF(TT!$D$135:$D$155,TALLY!A36)</f>
        <v>0</v>
      </c>
      <c r="J36" s="95">
        <f>COUNTIF(TT!$D$162:$D$173,TALLY!A36)</f>
        <v>1</v>
      </c>
      <c r="K36" s="4">
        <f>COUNTIF(TT!$D$180:$D$199,TALLY!A36)</f>
        <v>0</v>
      </c>
      <c r="L36" s="4">
        <f>COUNTIF(TT!$D$207:$D$215,TALLY!A36)</f>
        <v>0</v>
      </c>
      <c r="M36" s="4">
        <f>COUNTIF(TT!$D$224:$D$231,TALLY!A36)</f>
        <v>0</v>
      </c>
      <c r="N36" s="345">
        <f>COUNTIF(TT!$D$237:$D$249,TALLY!A36)</f>
        <v>0</v>
      </c>
      <c r="O36" s="345">
        <f>COUNTIF(TT!$D$256:$D$264,TALLY!A36)</f>
        <v>0</v>
      </c>
      <c r="P36" s="345">
        <f>COUNTIF(TT!$D$271:$D$286,TALLY!A36)</f>
        <v>0</v>
      </c>
      <c r="Q36" s="4">
        <f>COUNTIF(TT!$D$293:$D$300,TALLY!A36)</f>
        <v>0</v>
      </c>
      <c r="R36" s="4">
        <f>COUNTIF(TT!$D$307:$D$319,TALLY!A36)</f>
        <v>0</v>
      </c>
      <c r="S36" s="4">
        <f>COUNTIF(TT!$D$326:$D$334,TALLY!A36)</f>
        <v>0</v>
      </c>
      <c r="T36" s="95">
        <f>COUNTIF(TT!$D$341:$D$350,TALLY!A36)</f>
        <v>0</v>
      </c>
      <c r="U36" s="95">
        <f>COUNTIF(TT!$D$357:$D$366,TALLY!A36)</f>
        <v>0</v>
      </c>
      <c r="V36" s="95">
        <f>COUNTIF(TT!$D$373:$D$383,TALLY!A36)</f>
        <v>1</v>
      </c>
      <c r="W36" s="4">
        <f>COUNTIF(TT!$D$390:$D$405,TALLY!A36)</f>
        <v>1</v>
      </c>
      <c r="X36" s="4">
        <f>COUNTIF(TT!$D$412:$D$423,TALLY!A36)</f>
        <v>0</v>
      </c>
      <c r="Y36" s="4">
        <f>COUNTIF(TT!$D$430:$D$438,TALLY!A36)</f>
        <v>0</v>
      </c>
      <c r="Z36" s="95">
        <f>COUNTIF(TT!$D$443:$D$457,TALLY!A36)</f>
        <v>0</v>
      </c>
      <c r="AA36" s="95">
        <f>COUNTIF(TT!$D$464:$D$474,TALLY!A36)</f>
        <v>0</v>
      </c>
      <c r="AB36" s="95">
        <f>COUNTIF(TT!$D$481:$D$494,TALLY!A36)</f>
        <v>0</v>
      </c>
      <c r="AC36" s="345">
        <f>COUNTIF(TT!$D$503:$D$522,TALLY!A36)</f>
        <v>0</v>
      </c>
      <c r="AD36" s="345">
        <f>COUNTIF(TT!$D$529:$D$541,TALLY!A36)</f>
        <v>0</v>
      </c>
      <c r="AE36" s="345">
        <f>COUNTIF(TT!$D$548:$D$561,TALLY!A36)</f>
        <v>0</v>
      </c>
      <c r="AF36" s="95">
        <f>COUNTIF(TT!$D$574:$D$584,TALLY!A36)</f>
        <v>0</v>
      </c>
      <c r="AG36" s="95">
        <f>COUNTIF(TT!$D$591:$D$601,TALLY!A36)</f>
        <v>1</v>
      </c>
      <c r="AH36" s="95">
        <f>COUNTIF(TT!$D$608:$D$619,TALLY!A36)</f>
        <v>0</v>
      </c>
      <c r="AI36" s="314">
        <f>COUNTIF(TT!$D$628:$D$647,TALLY!A36)</f>
        <v>1</v>
      </c>
      <c r="AJ36" s="314">
        <f>COUNTIF(TT!$D$654:$D$668,TALLY!A36)</f>
        <v>0</v>
      </c>
      <c r="AK36" s="314">
        <f>COUNTIF(TT!$D$675:$D$685,TALLY!A36)</f>
        <v>0</v>
      </c>
      <c r="AL36" s="95">
        <f>COUNTIF(TT!$D$692:$D$702,TALLY!A36)</f>
        <v>0</v>
      </c>
      <c r="AM36" s="95">
        <f>COUNTIF(TT!$D$709:$D$721,TALLY!A36)</f>
        <v>0</v>
      </c>
      <c r="AN36" s="95">
        <f>COUNTIF(TT!$D$728:$D$737,TALLY!A36)</f>
        <v>0</v>
      </c>
      <c r="AO36" s="314">
        <f>COUNTIF(TT!$D$744:$D$753,TALLY!A36)</f>
        <v>1</v>
      </c>
      <c r="AP36" s="314">
        <f>COUNTIF(TT!$D$759:$D$774,TALLY!A36)</f>
        <v>0</v>
      </c>
      <c r="AQ36" s="314">
        <f>COUNTIF(TT!$D$781:$D$789,TALLY!A36)</f>
        <v>0</v>
      </c>
      <c r="AR36" s="94" t="s">
        <v>40</v>
      </c>
      <c r="AS36" s="4">
        <f>SUM($B36:$D36)</f>
        <v>1</v>
      </c>
      <c r="AT36" s="4">
        <f>SUM(E36:G36)</f>
        <v>1</v>
      </c>
      <c r="AU36" s="4">
        <f>SUM(H36:J36)</f>
        <v>1</v>
      </c>
      <c r="AV36" s="4">
        <f>SUM(K36:M36)</f>
        <v>0</v>
      </c>
      <c r="AW36" s="4">
        <f>SUM(N36:P36)</f>
        <v>0</v>
      </c>
      <c r="AX36" s="4">
        <f>SUM($Q36:$S36)</f>
        <v>0</v>
      </c>
      <c r="AY36" s="4">
        <f>SUM(T36:V36)</f>
        <v>1</v>
      </c>
      <c r="AZ36" s="4">
        <f>SUM(W36:Y36)</f>
        <v>1</v>
      </c>
      <c r="BA36" s="314">
        <f>SUM(Z36:AB36)</f>
        <v>0</v>
      </c>
      <c r="BB36" s="314">
        <f>SUM(AC36:AE36)</f>
        <v>0</v>
      </c>
      <c r="BC36" s="314">
        <f>SUM(AF36:AH36)</f>
        <v>1</v>
      </c>
      <c r="BD36" s="4">
        <f>SUM(AI36:AK36)</f>
        <v>1</v>
      </c>
      <c r="BE36" s="4">
        <f>SUM(AL36:AN36)</f>
        <v>0</v>
      </c>
      <c r="BF36" s="4">
        <f>SUM(AO36:AQ36)</f>
        <v>1</v>
      </c>
      <c r="BG36" s="92">
        <f>SUM(AS36:BF36)</f>
        <v>8</v>
      </c>
    </row>
    <row r="37" spans="1:59">
      <c r="A37" s="94" t="s">
        <v>1468</v>
      </c>
      <c r="B37" s="95">
        <f>COUNTIF(TT!$D$6:$D$15,TALLY!A37)</f>
        <v>0</v>
      </c>
      <c r="C37" s="95">
        <f>COUNTIF(TT!$D$22:$D$32,TALLY!A37)</f>
        <v>0</v>
      </c>
      <c r="D37" s="95">
        <f>COUNTIF(TT!$D$39:$D$49,TALLY!A37)</f>
        <v>0</v>
      </c>
      <c r="E37" s="4">
        <f>COUNTIF(TT!$D$57:$D$67,TALLY!A37)</f>
        <v>0</v>
      </c>
      <c r="F37" s="4">
        <f>COUNTIF(TT!$D$74:$D$86,TALLY!A37)</f>
        <v>1</v>
      </c>
      <c r="G37" s="4">
        <f>COUNTIF(TT!$D$93:$D$107,TALLY!A37)</f>
        <v>0</v>
      </c>
      <c r="H37" s="95">
        <f>COUNTIF(TT!$D$113:$D$129,TALLY!A37)</f>
        <v>0</v>
      </c>
      <c r="I37" s="95">
        <f>COUNTIF(TT!$D$135:$D$155,TALLY!A37)</f>
        <v>1</v>
      </c>
      <c r="J37" s="95">
        <f>COUNTIF(TT!$D$162:$D$173,TALLY!A37)</f>
        <v>0</v>
      </c>
      <c r="K37" s="4">
        <f>COUNTIF(TT!$D$180:$D$199,TALLY!A37)</f>
        <v>0</v>
      </c>
      <c r="L37" s="4">
        <f>COUNTIF(TT!$D$207:$D$215,TALLY!A37)</f>
        <v>0</v>
      </c>
      <c r="M37" s="4">
        <f>COUNTIF(TT!$D$224:$D$231,TALLY!A37)</f>
        <v>0</v>
      </c>
      <c r="N37" s="345">
        <f>COUNTIF(TT!$D$237:$D$249,TALLY!A37)</f>
        <v>0</v>
      </c>
      <c r="O37" s="345">
        <f>COUNTIF(TT!$D$256:$D$264,TALLY!A37)</f>
        <v>0</v>
      </c>
      <c r="P37" s="345">
        <f>COUNTIF(TT!$D$271:$D$286,TALLY!A37)</f>
        <v>1</v>
      </c>
      <c r="Q37" s="4">
        <f>COUNTIF(TT!$D$293:$D$300,TALLY!A37)</f>
        <v>0</v>
      </c>
      <c r="R37" s="4">
        <f>COUNTIF(TT!$D$307:$D$319,TALLY!A37)</f>
        <v>0</v>
      </c>
      <c r="S37" s="4">
        <f>COUNTIF(TT!$D$326:$D$334,TALLY!A37)</f>
        <v>0</v>
      </c>
      <c r="T37" s="95">
        <f>COUNTIF(TT!$D$341:$D$350,TALLY!A37)</f>
        <v>1</v>
      </c>
      <c r="U37" s="95">
        <f>COUNTIF(TT!$D$357:$D$366,TALLY!A37)</f>
        <v>0</v>
      </c>
      <c r="V37" s="95">
        <f>COUNTIF(TT!$D$373:$D$383,TALLY!A37)</f>
        <v>0</v>
      </c>
      <c r="W37" s="4">
        <f>COUNTIF(TT!$D$390:$D$405,TALLY!A37)</f>
        <v>1</v>
      </c>
      <c r="X37" s="4">
        <f>COUNTIF(TT!$D$412:$D$423,TALLY!A37)</f>
        <v>0</v>
      </c>
      <c r="Y37" s="4">
        <f>COUNTIF(TT!$D$430:$D$438,TALLY!A37)</f>
        <v>0</v>
      </c>
      <c r="Z37" s="95">
        <f>COUNTIF(TT!$D$443:$D$457,TALLY!A37)</f>
        <v>0</v>
      </c>
      <c r="AA37" s="95">
        <f>COUNTIF(TT!$D$464:$D$474,TALLY!A37)</f>
        <v>0</v>
      </c>
      <c r="AB37" s="95">
        <f>COUNTIF(TT!$D$481:$D$494,TALLY!A37)</f>
        <v>0</v>
      </c>
      <c r="AC37" s="345">
        <f>COUNTIF(TT!$D$503:$D$522,TALLY!A37)</f>
        <v>1</v>
      </c>
      <c r="AD37" s="345">
        <f>COUNTIF(TT!$D$529:$D$541,TALLY!A37)</f>
        <v>0</v>
      </c>
      <c r="AE37" s="345">
        <f>COUNTIF(TT!$D$548:$D$561,TALLY!A37)</f>
        <v>0</v>
      </c>
      <c r="AF37" s="95">
        <f>COUNTIF(TT!$D$574:$D$584,TALLY!A37)</f>
        <v>0</v>
      </c>
      <c r="AG37" s="95">
        <f>COUNTIF(TT!$D$591:$D$601,TALLY!A37)</f>
        <v>0</v>
      </c>
      <c r="AH37" s="95">
        <f>COUNTIF(TT!$D$608:$D$619,TALLY!A37)</f>
        <v>0</v>
      </c>
      <c r="AI37" s="314">
        <f>COUNTIF(TT!$D$628:$D$647,TALLY!A37)</f>
        <v>1</v>
      </c>
      <c r="AJ37" s="314">
        <f>COUNTIF(TT!$D$654:$D$668,TALLY!A37)</f>
        <v>0</v>
      </c>
      <c r="AK37" s="314">
        <f>COUNTIF(TT!$D$675:$D$685,TALLY!A37)</f>
        <v>0</v>
      </c>
      <c r="AL37" s="95">
        <f>COUNTIF(TT!$D$692:$D$702,TALLY!A37)</f>
        <v>0</v>
      </c>
      <c r="AM37" s="95">
        <f>COUNTIF(TT!$D$709:$D$721,TALLY!A37)</f>
        <v>1</v>
      </c>
      <c r="AN37" s="95">
        <f>COUNTIF(TT!$D$728:$D$737,TALLY!A37)</f>
        <v>0</v>
      </c>
      <c r="AO37" s="314">
        <f>COUNTIF(TT!$D$744:$D$753,TALLY!A37)</f>
        <v>0</v>
      </c>
      <c r="AP37" s="314">
        <f>COUNTIF(TT!$D$759:$D$774,TALLY!A37)</f>
        <v>0</v>
      </c>
      <c r="AQ37" s="314">
        <f>COUNTIF(TT!$D$781:$D$789,TALLY!A37)</f>
        <v>0</v>
      </c>
      <c r="AR37" s="94" t="s">
        <v>1468</v>
      </c>
      <c r="AS37" s="4">
        <f>SUM($B37:$D37)</f>
        <v>0</v>
      </c>
      <c r="AT37" s="4">
        <f>SUM(E37:G37)</f>
        <v>1</v>
      </c>
      <c r="AU37" s="4">
        <f>SUM(H37:J37)</f>
        <v>1</v>
      </c>
      <c r="AV37" s="4">
        <f>SUM(K37:M37)</f>
        <v>0</v>
      </c>
      <c r="AW37" s="4">
        <f>SUM(N37:P37)</f>
        <v>1</v>
      </c>
      <c r="AX37" s="4">
        <f>SUM($Q37:$S37)</f>
        <v>0</v>
      </c>
      <c r="AY37" s="4">
        <f>SUM(T37:V37)</f>
        <v>1</v>
      </c>
      <c r="AZ37" s="4">
        <f>SUM(W37:Y37)</f>
        <v>1</v>
      </c>
      <c r="BA37" s="314">
        <f>SUM(Z37:AB37)</f>
        <v>0</v>
      </c>
      <c r="BB37" s="314">
        <f>SUM(AC37:AE37)</f>
        <v>1</v>
      </c>
      <c r="BC37" s="314">
        <f>SUM(AF37:AH37)</f>
        <v>0</v>
      </c>
      <c r="BD37" s="4">
        <f>SUM(AI37:AK37)</f>
        <v>1</v>
      </c>
      <c r="BE37" s="4">
        <f>SUM(AL37:AN37)</f>
        <v>1</v>
      </c>
      <c r="BF37" s="4">
        <f>SUM(AO37:AQ37)</f>
        <v>0</v>
      </c>
      <c r="BG37" s="92">
        <f>SUM(AS37:BF37)</f>
        <v>8</v>
      </c>
    </row>
    <row r="38" spans="1:59">
      <c r="A38" s="94" t="s">
        <v>99</v>
      </c>
      <c r="B38" s="95">
        <f>COUNTIF(TT!$D$6:$D$15,TALLY!A38)</f>
        <v>0</v>
      </c>
      <c r="C38" s="95">
        <f>COUNTIF(TT!$D$22:$D$32,TALLY!A38)</f>
        <v>0</v>
      </c>
      <c r="D38" s="95">
        <f>COUNTIF(TT!$D$39:$D$49,TALLY!A38)</f>
        <v>0</v>
      </c>
      <c r="E38" s="4">
        <f>COUNTIF(TT!$D$57:$D$67,TALLY!A38)</f>
        <v>1</v>
      </c>
      <c r="F38" s="4">
        <f>COUNTIF(TT!$D$74:$D$86,TALLY!A38)</f>
        <v>0</v>
      </c>
      <c r="G38" s="4">
        <f>COUNTIF(TT!$D$93:$D$107,TALLY!A38)</f>
        <v>0</v>
      </c>
      <c r="H38" s="95">
        <f>COUNTIF(TT!$D$113:$D$129,TALLY!A38)</f>
        <v>1</v>
      </c>
      <c r="I38" s="95">
        <f>COUNTIF(TT!$D$135:$D$155,TALLY!A38)</f>
        <v>0</v>
      </c>
      <c r="J38" s="95">
        <f>COUNTIF(TT!$D$162:$D$173,TALLY!A38)</f>
        <v>0</v>
      </c>
      <c r="K38" s="4">
        <f>COUNTIF(TT!$D$180:$D$199,TALLY!A38)</f>
        <v>0</v>
      </c>
      <c r="L38" s="4">
        <f>COUNTIF(TT!$D$207:$D$215,TALLY!A38)</f>
        <v>0</v>
      </c>
      <c r="M38" s="4">
        <f>COUNTIF(TT!$D$224:$D$231,TALLY!A38)</f>
        <v>1</v>
      </c>
      <c r="N38" s="345">
        <f>COUNTIF(TT!$D$237:$D$249,TALLY!A38)</f>
        <v>0</v>
      </c>
      <c r="O38" s="345">
        <f>COUNTIF(TT!$D$256:$D$264,TALLY!A38)</f>
        <v>1</v>
      </c>
      <c r="P38" s="345">
        <f>COUNTIF(TT!$D$271:$D$286,TALLY!A38)</f>
        <v>0</v>
      </c>
      <c r="Q38" s="4">
        <f>COUNTIF(TT!$D$293:$D$300,TALLY!A38)</f>
        <v>0</v>
      </c>
      <c r="R38" s="4">
        <f>COUNTIF(TT!$D$307:$D$319,TALLY!A38)</f>
        <v>0</v>
      </c>
      <c r="S38" s="4">
        <f>COUNTIF(TT!$D$326:$D$334,TALLY!A38)</f>
        <v>1</v>
      </c>
      <c r="T38" s="95">
        <f>COUNTIF(TT!$D$341:$D$350,TALLY!A38)</f>
        <v>0</v>
      </c>
      <c r="U38" s="95">
        <f>COUNTIF(TT!$D$357:$D$366,TALLY!A38)</f>
        <v>0</v>
      </c>
      <c r="V38" s="95">
        <f>COUNTIF(TT!$D$373:$D$383,TALLY!A38)</f>
        <v>0</v>
      </c>
      <c r="W38" s="4">
        <f>COUNTIF(TT!$D$390:$D$405,TALLY!A38)</f>
        <v>0</v>
      </c>
      <c r="X38" s="4">
        <f>COUNTIF(TT!$D$412:$D$423,TALLY!A38)</f>
        <v>0</v>
      </c>
      <c r="Y38" s="4">
        <f>COUNTIF(TT!$D$430:$D$438,TALLY!A38)</f>
        <v>0</v>
      </c>
      <c r="Z38" s="95">
        <f>COUNTIF(TT!$D$443:$D$457,TALLY!A38)</f>
        <v>0</v>
      </c>
      <c r="AA38" s="95">
        <f>COUNTIF(TT!$D$464:$D$474,TALLY!A38)</f>
        <v>0</v>
      </c>
      <c r="AB38" s="95">
        <f>COUNTIF(TT!$D$481:$D$494,TALLY!A38)</f>
        <v>1</v>
      </c>
      <c r="AC38" s="345">
        <f>COUNTIF(TT!$D$503:$D$522,TALLY!A38)</f>
        <v>1</v>
      </c>
      <c r="AD38" s="345">
        <f>COUNTIF(TT!$D$529:$D$541,TALLY!A38)</f>
        <v>0</v>
      </c>
      <c r="AE38" s="345">
        <f>COUNTIF(TT!$D$548:$D$561,TALLY!A38)</f>
        <v>0</v>
      </c>
      <c r="AF38" s="95">
        <f>COUNTIF(TT!$D$574:$D$584,TALLY!A38)</f>
        <v>0</v>
      </c>
      <c r="AG38" s="95">
        <f>COUNTIF(TT!$D$591:$D$601,TALLY!A38)</f>
        <v>0</v>
      </c>
      <c r="AH38" s="95">
        <f>COUNTIF(TT!$D$608:$D$619,TALLY!A38)</f>
        <v>0</v>
      </c>
      <c r="AI38" s="314">
        <f>COUNTIF(TT!$D$628:$D$647,TALLY!A38)</f>
        <v>0</v>
      </c>
      <c r="AJ38" s="314">
        <f>COUNTIF(TT!$D$654:$D$668,TALLY!A38)</f>
        <v>0</v>
      </c>
      <c r="AK38" s="314">
        <f>COUNTIF(TT!$D$675:$D$685,TALLY!A38)</f>
        <v>0</v>
      </c>
      <c r="AL38" s="95">
        <f>COUNTIF(TT!$D$692:$D$702,TALLY!A38)</f>
        <v>1</v>
      </c>
      <c r="AM38" s="95">
        <f>COUNTIF(TT!$D$709:$D$721,TALLY!A38)</f>
        <v>0</v>
      </c>
      <c r="AN38" s="95">
        <f>COUNTIF(TT!$D$728:$D$737,TALLY!A38)</f>
        <v>0</v>
      </c>
      <c r="AO38" s="314">
        <f>COUNTIF(TT!$D$744:$D$753,TALLY!A38)</f>
        <v>0</v>
      </c>
      <c r="AP38" s="314">
        <f>COUNTIF(TT!$D$759:$D$774,TALLY!A38)</f>
        <v>1</v>
      </c>
      <c r="AQ38" s="314">
        <f>COUNTIF(TT!$D$781:$D$789,TALLY!A38)</f>
        <v>0</v>
      </c>
      <c r="AR38" s="94" t="s">
        <v>99</v>
      </c>
      <c r="AS38" s="4">
        <f>SUM($B38:$D38)</f>
        <v>0</v>
      </c>
      <c r="AT38" s="4">
        <f>SUM(E38:G38)</f>
        <v>1</v>
      </c>
      <c r="AU38" s="4">
        <f>SUM(H38:J38)</f>
        <v>1</v>
      </c>
      <c r="AV38" s="4">
        <f>SUM(K38:M38)</f>
        <v>1</v>
      </c>
      <c r="AW38" s="4">
        <f>SUM(N38:P38)</f>
        <v>1</v>
      </c>
      <c r="AX38" s="4">
        <f>SUM($Q38:$S38)</f>
        <v>1</v>
      </c>
      <c r="AY38" s="4">
        <f>SUM(T38:V38)</f>
        <v>0</v>
      </c>
      <c r="AZ38" s="4">
        <f>SUM(W38:Y38)</f>
        <v>0</v>
      </c>
      <c r="BA38" s="314">
        <f>SUM(Z38:AB38)</f>
        <v>1</v>
      </c>
      <c r="BB38" s="314">
        <f>SUM(AC38:AE38)</f>
        <v>1</v>
      </c>
      <c r="BC38" s="314">
        <f>SUM(AF38:AH38)</f>
        <v>0</v>
      </c>
      <c r="BD38" s="4">
        <f>SUM(AI38:AK38)</f>
        <v>0</v>
      </c>
      <c r="BE38" s="4">
        <f>SUM(AL38:AN38)</f>
        <v>1</v>
      </c>
      <c r="BF38" s="4">
        <f>SUM(AO38:AQ38)</f>
        <v>1</v>
      </c>
      <c r="BG38" s="92">
        <f>SUM(AS38:BF38)</f>
        <v>9</v>
      </c>
    </row>
    <row r="39" spans="1:59">
      <c r="A39" s="97" t="s">
        <v>50</v>
      </c>
      <c r="B39" s="95">
        <f>COUNTIF(TT!$D$6:$D$15,TALLY!A39)</f>
        <v>0</v>
      </c>
      <c r="C39" s="95">
        <f>COUNTIF(TT!$D$22:$D$32,TALLY!A39)</f>
        <v>0</v>
      </c>
      <c r="D39" s="95">
        <f>COUNTIF(TT!$D$39:$D$49,TALLY!A39)</f>
        <v>0</v>
      </c>
      <c r="E39" s="4">
        <f>COUNTIF(TT!$D$57:$D$67,TALLY!A39)</f>
        <v>1</v>
      </c>
      <c r="F39" s="4">
        <f>COUNTIF(TT!$D$74:$D$86,TALLY!A39)</f>
        <v>0</v>
      </c>
      <c r="G39" s="4">
        <f>COUNTIF(TT!$D$93:$D$107,TALLY!A39)</f>
        <v>0</v>
      </c>
      <c r="H39" s="95">
        <f>COUNTIF(TT!$D$113:$D$129,TALLY!A39)</f>
        <v>0</v>
      </c>
      <c r="I39" s="95">
        <f>COUNTIF(TT!$D$135:$D$155,TALLY!A39)</f>
        <v>1</v>
      </c>
      <c r="J39" s="95">
        <f>COUNTIF(TT!$D$162:$D$173,TALLY!A39)</f>
        <v>0</v>
      </c>
      <c r="K39" s="4">
        <f>COUNTIF(TT!$D$180:$D$199,TALLY!A39)</f>
        <v>0</v>
      </c>
      <c r="L39" s="4">
        <f>COUNTIF(TT!$D$207:$D$215,TALLY!A39)</f>
        <v>0</v>
      </c>
      <c r="M39" s="4">
        <f>COUNTIF(TT!$D$224:$D$231,TALLY!A39)</f>
        <v>0</v>
      </c>
      <c r="N39" s="345">
        <f>COUNTIF(TT!$D$237:$D$249,TALLY!A39)</f>
        <v>0</v>
      </c>
      <c r="O39" s="345">
        <f>COUNTIF(TT!$D$256:$D$264,TALLY!A39)</f>
        <v>1</v>
      </c>
      <c r="P39" s="345">
        <f>COUNTIF(TT!$D$271:$D$286,TALLY!A39)</f>
        <v>0</v>
      </c>
      <c r="Q39" s="4">
        <f>COUNTIF(TT!$D$293:$D$300,TALLY!A39)</f>
        <v>0</v>
      </c>
      <c r="R39" s="4">
        <f>COUNTIF(TT!$D$307:$D$319,TALLY!A39)</f>
        <v>0</v>
      </c>
      <c r="S39" s="4">
        <f>COUNTIF(TT!$D$326:$D$334,TALLY!A39)</f>
        <v>0</v>
      </c>
      <c r="T39" s="95">
        <f>COUNTIF(TT!$D$341:$D$350,TALLY!A39)</f>
        <v>0</v>
      </c>
      <c r="U39" s="95">
        <f>COUNTIF(TT!$D$357:$D$366,TALLY!A39)</f>
        <v>0</v>
      </c>
      <c r="V39" s="95">
        <f>COUNTIF(TT!$D$373:$D$383,TALLY!A39)</f>
        <v>1</v>
      </c>
      <c r="W39" s="4">
        <f>COUNTIF(TT!$D$390:$D$405,TALLY!A39)</f>
        <v>0</v>
      </c>
      <c r="X39" s="4">
        <f>COUNTIF(TT!$D$412:$D$423,TALLY!A39)</f>
        <v>0</v>
      </c>
      <c r="Y39" s="4">
        <f>COUNTIF(TT!$D$430:$D$438,TALLY!A39)</f>
        <v>0</v>
      </c>
      <c r="Z39" s="95">
        <f>COUNTIF(TT!$D$443:$D$457,TALLY!A39)</f>
        <v>0</v>
      </c>
      <c r="AA39" s="95">
        <f>COUNTIF(TT!$D$464:$D$474,TALLY!A39)</f>
        <v>0</v>
      </c>
      <c r="AB39" s="95">
        <f>COUNTIF(TT!$D$481:$D$494,TALLY!A39)</f>
        <v>1</v>
      </c>
      <c r="AC39" s="345">
        <f>COUNTIF(TT!$D$503:$D$522,TALLY!A39)</f>
        <v>0</v>
      </c>
      <c r="AD39" s="345">
        <f>COUNTIF(TT!$D$529:$D$541,TALLY!A39)</f>
        <v>0</v>
      </c>
      <c r="AE39" s="345">
        <f>COUNTIF(TT!$D$548:$D$561,TALLY!A39)</f>
        <v>0</v>
      </c>
      <c r="AF39" s="95">
        <f>COUNTIF(TT!$D$574:$D$584,TALLY!A39)</f>
        <v>0</v>
      </c>
      <c r="AG39" s="95">
        <f>COUNTIF(TT!$D$591:$D$601,TALLY!A39)</f>
        <v>0</v>
      </c>
      <c r="AH39" s="95">
        <f>COUNTIF(TT!$D$608:$D$619,TALLY!A39)</f>
        <v>0</v>
      </c>
      <c r="AI39" s="314">
        <f>COUNTIF(TT!$D$628:$D$647,TALLY!A39)</f>
        <v>1</v>
      </c>
      <c r="AJ39" s="314">
        <f>COUNTIF(TT!$D$654:$D$668,TALLY!A39)</f>
        <v>0</v>
      </c>
      <c r="AK39" s="314">
        <f>COUNTIF(TT!$D$675:$D$685,TALLY!A39)</f>
        <v>0</v>
      </c>
      <c r="AL39" s="95">
        <f>COUNTIF(TT!$D$692:$D$702,TALLY!A39)</f>
        <v>0</v>
      </c>
      <c r="AM39" s="95">
        <f>COUNTIF(TT!$D$709:$D$721,TALLY!A39)</f>
        <v>0</v>
      </c>
      <c r="AN39" s="95">
        <f>COUNTIF(TT!$D$728:$D$737,TALLY!A39)</f>
        <v>0</v>
      </c>
      <c r="AO39" s="314">
        <f>COUNTIF(TT!$D$744:$D$753,TALLY!A39)</f>
        <v>1</v>
      </c>
      <c r="AP39" s="314">
        <f>COUNTIF(TT!$D$759:$D$774,TALLY!A39)</f>
        <v>0</v>
      </c>
      <c r="AQ39" s="314">
        <f>COUNTIF(TT!$D$781:$D$789,TALLY!A39)</f>
        <v>0</v>
      </c>
      <c r="AR39" s="97" t="s">
        <v>50</v>
      </c>
      <c r="AS39" s="4">
        <f>SUM($B39:$D39)</f>
        <v>0</v>
      </c>
      <c r="AT39" s="4">
        <f>SUM(E39:G39)</f>
        <v>1</v>
      </c>
      <c r="AU39" s="4">
        <f>SUM(H39:J39)</f>
        <v>1</v>
      </c>
      <c r="AV39" s="4">
        <f>SUM(K39:M39)</f>
        <v>0</v>
      </c>
      <c r="AW39" s="4">
        <f>SUM(N39:P39)</f>
        <v>1</v>
      </c>
      <c r="AX39" s="4">
        <f>SUM($Q39:$S39)</f>
        <v>0</v>
      </c>
      <c r="AY39" s="4">
        <f>SUM(T39:V39)</f>
        <v>1</v>
      </c>
      <c r="AZ39" s="4">
        <f>SUM(W39:Y39)</f>
        <v>0</v>
      </c>
      <c r="BA39" s="314">
        <f>SUM(Z39:AB39)</f>
        <v>1</v>
      </c>
      <c r="BB39" s="314">
        <f>SUM(AC39:AE39)</f>
        <v>0</v>
      </c>
      <c r="BC39" s="314">
        <f>SUM(AF39:AH39)</f>
        <v>0</v>
      </c>
      <c r="BD39" s="4">
        <f>SUM(AI39:AK39)</f>
        <v>1</v>
      </c>
      <c r="BE39" s="4">
        <f>SUM(AL39:AN39)</f>
        <v>0</v>
      </c>
      <c r="BF39" s="4">
        <f>SUM(AO39:AQ39)</f>
        <v>1</v>
      </c>
      <c r="BG39" s="92">
        <f>SUM(AS39:BF39)</f>
        <v>7</v>
      </c>
    </row>
    <row r="40" spans="1:59">
      <c r="A40" s="97" t="s">
        <v>48</v>
      </c>
      <c r="B40" s="95">
        <f>COUNTIF(TT!$D$6:$D$15,TALLY!A40)</f>
        <v>0</v>
      </c>
      <c r="C40" s="95">
        <f>COUNTIF(TT!$D$22:$D$32,TALLY!A40)</f>
        <v>0</v>
      </c>
      <c r="D40" s="95">
        <f>COUNTIF(TT!$D$39:$D$49,TALLY!A40)</f>
        <v>0</v>
      </c>
      <c r="E40" s="4">
        <f>COUNTIF(TT!$D$57:$D$67,TALLY!A40)</f>
        <v>0</v>
      </c>
      <c r="F40" s="4">
        <f>COUNTIF(TT!$D$74:$D$86,TALLY!A40)</f>
        <v>0</v>
      </c>
      <c r="G40" s="4">
        <f>COUNTIF(TT!$D$93:$D$107,TALLY!A40)</f>
        <v>0</v>
      </c>
      <c r="H40" s="95">
        <f>COUNTIF(TT!$D$113:$D$129,TALLY!A40)</f>
        <v>1</v>
      </c>
      <c r="I40" s="95">
        <f>COUNTIF(TT!$D$135:$D$155,TALLY!A40)</f>
        <v>0</v>
      </c>
      <c r="J40" s="95">
        <f>COUNTIF(TT!$D$162:$D$173,TALLY!A40)</f>
        <v>0</v>
      </c>
      <c r="K40" s="4">
        <f>COUNTIF(TT!$D$180:$D$199,TALLY!A40)</f>
        <v>0</v>
      </c>
      <c r="L40" s="4">
        <f>COUNTIF(TT!$D$207:$D$215,TALLY!A40)</f>
        <v>0</v>
      </c>
      <c r="M40" s="4">
        <f>COUNTIF(TT!$D$224:$D$231,TALLY!A40)</f>
        <v>0</v>
      </c>
      <c r="N40" s="345">
        <f>COUNTIF(TT!$D$237:$D$249,TALLY!A40)</f>
        <v>0</v>
      </c>
      <c r="O40" s="345">
        <f>COUNTIF(TT!$D$256:$D$264,TALLY!A40)</f>
        <v>0</v>
      </c>
      <c r="P40" s="345">
        <f>COUNTIF(TT!$D$271:$D$286,TALLY!A40)</f>
        <v>1</v>
      </c>
      <c r="Q40" s="4">
        <f>COUNTIF(TT!$D$293:$D$300,TALLY!A40)</f>
        <v>0</v>
      </c>
      <c r="R40" s="4">
        <f>COUNTIF(TT!$D$307:$D$319,TALLY!A40)</f>
        <v>0</v>
      </c>
      <c r="S40" s="4">
        <f>COUNTIF(TT!$D$326:$D$334,TALLY!A40)</f>
        <v>1</v>
      </c>
      <c r="T40" s="95">
        <f>COUNTIF(TT!$D$341:$D$350,TALLY!A40)</f>
        <v>0</v>
      </c>
      <c r="U40" s="95">
        <f>COUNTIF(TT!$D$357:$D$366,TALLY!A40)</f>
        <v>0</v>
      </c>
      <c r="V40" s="95">
        <f>COUNTIF(TT!$D$373:$D$383,TALLY!A40)</f>
        <v>0</v>
      </c>
      <c r="W40" s="4">
        <f>COUNTIF(TT!$D$390:$D$405,TALLY!A40)</f>
        <v>0</v>
      </c>
      <c r="X40" s="4">
        <f>COUNTIF(TT!$D$412:$D$423,TALLY!A40)</f>
        <v>0</v>
      </c>
      <c r="Y40" s="4">
        <f>COUNTIF(TT!$D$430:$D$438,TALLY!A40)</f>
        <v>0</v>
      </c>
      <c r="Z40" s="95">
        <f>COUNTIF(TT!$D$443:$D$457,TALLY!A40)</f>
        <v>1</v>
      </c>
      <c r="AA40" s="95">
        <f>COUNTIF(TT!$D$464:$D$474,TALLY!A40)</f>
        <v>0</v>
      </c>
      <c r="AB40" s="95">
        <f>COUNTIF(TT!$D$481:$D$494,TALLY!A40)</f>
        <v>0</v>
      </c>
      <c r="AC40" s="345">
        <f>COUNTIF(TT!$D$503:$D$522,TALLY!A40)</f>
        <v>1</v>
      </c>
      <c r="AD40" s="345">
        <f>COUNTIF(TT!$D$529:$D$541,TALLY!A40)</f>
        <v>0</v>
      </c>
      <c r="AE40" s="345">
        <f>COUNTIF(TT!$D$548:$D$561,TALLY!A40)</f>
        <v>0</v>
      </c>
      <c r="AF40" s="95">
        <f>COUNTIF(TT!$D$574:$D$584,TALLY!A40)</f>
        <v>0</v>
      </c>
      <c r="AG40" s="95">
        <f>COUNTIF(TT!$D$591:$D$601,TALLY!A40)</f>
        <v>0</v>
      </c>
      <c r="AH40" s="95">
        <f>COUNTIF(TT!$D$608:$D$619,TALLY!A40)</f>
        <v>0</v>
      </c>
      <c r="AI40" s="314">
        <f>COUNTIF(TT!$D$628:$D$647,TALLY!A40)</f>
        <v>1</v>
      </c>
      <c r="AJ40" s="314">
        <f>COUNTIF(TT!$D$654:$D$668,TALLY!A40)</f>
        <v>0</v>
      </c>
      <c r="AK40" s="314">
        <f>COUNTIF(TT!$D$675:$D$685,TALLY!A40)</f>
        <v>0</v>
      </c>
      <c r="AL40" s="95">
        <f>COUNTIF(TT!$D$692:$D$702,TALLY!A40)</f>
        <v>0</v>
      </c>
      <c r="AM40" s="95">
        <f>COUNTIF(TT!$D$709:$D$721,TALLY!A40)</f>
        <v>0</v>
      </c>
      <c r="AN40" s="95">
        <f>COUNTIF(TT!$D$728:$D$737,TALLY!A40)</f>
        <v>0</v>
      </c>
      <c r="AO40" s="314">
        <f>COUNTIF(TT!$D$744:$D$753,TALLY!A40)</f>
        <v>1</v>
      </c>
      <c r="AP40" s="314">
        <f>COUNTIF(TT!$D$759:$D$774,TALLY!A40)</f>
        <v>0</v>
      </c>
      <c r="AQ40" s="314">
        <f>COUNTIF(TT!$D$781:$D$789,TALLY!A40)</f>
        <v>0</v>
      </c>
      <c r="AR40" s="97" t="s">
        <v>48</v>
      </c>
      <c r="AS40" s="4">
        <f>SUM($B40:$D40)</f>
        <v>0</v>
      </c>
      <c r="AT40" s="4">
        <f>SUM(E40:G40)</f>
        <v>0</v>
      </c>
      <c r="AU40" s="4">
        <f>SUM(H40:J40)</f>
        <v>1</v>
      </c>
      <c r="AV40" s="4">
        <f>SUM(K40:M40)</f>
        <v>0</v>
      </c>
      <c r="AW40" s="4">
        <f>SUM(N40:P40)</f>
        <v>1</v>
      </c>
      <c r="AX40" s="4">
        <f>SUM($Q40:$S40)</f>
        <v>1</v>
      </c>
      <c r="AY40" s="4">
        <f>SUM(T40:V40)</f>
        <v>0</v>
      </c>
      <c r="AZ40" s="4">
        <f>SUM(W40:Y40)</f>
        <v>0</v>
      </c>
      <c r="BA40" s="314">
        <f>SUM(Z40:AB40)</f>
        <v>1</v>
      </c>
      <c r="BB40" s="314">
        <f>SUM(AC40:AE40)</f>
        <v>1</v>
      </c>
      <c r="BC40" s="314">
        <f>SUM(AF40:AH40)</f>
        <v>0</v>
      </c>
      <c r="BD40" s="4">
        <f>SUM(AI40:AK40)</f>
        <v>1</v>
      </c>
      <c r="BE40" s="4">
        <f>SUM(AL40:AN40)</f>
        <v>0</v>
      </c>
      <c r="BF40" s="4">
        <f>SUM(AO40:AQ40)</f>
        <v>1</v>
      </c>
      <c r="BG40" s="92">
        <f>SUM(AS40:BF40)</f>
        <v>7</v>
      </c>
    </row>
    <row r="41" spans="1:59">
      <c r="A41" s="97" t="s">
        <v>105</v>
      </c>
      <c r="B41" s="95">
        <f>COUNTIF(TT!$D$6:$D$15,TALLY!A41)</f>
        <v>0</v>
      </c>
      <c r="C41" s="95">
        <f>COUNTIF(TT!$D$22:$D$32,TALLY!A41)</f>
        <v>0</v>
      </c>
      <c r="D41" s="95">
        <f>COUNTIF(TT!$D$39:$D$49,TALLY!A41)</f>
        <v>0</v>
      </c>
      <c r="E41" s="4">
        <f>COUNTIF(TT!$D$57:$D$67,TALLY!A41)</f>
        <v>0</v>
      </c>
      <c r="F41" s="4">
        <f>COUNTIF(TT!$D$74:$D$86,TALLY!A41)</f>
        <v>0</v>
      </c>
      <c r="G41" s="4">
        <f>COUNTIF(TT!$D$93:$D$107,TALLY!A41)</f>
        <v>0</v>
      </c>
      <c r="H41" s="95">
        <f>COUNTIF(TT!$D$113:$D$129,TALLY!A41)</f>
        <v>0</v>
      </c>
      <c r="I41" s="95">
        <f>COUNTIF(TT!$D$135:$D$155,TALLY!A41)</f>
        <v>1</v>
      </c>
      <c r="J41" s="95">
        <f>COUNTIF(TT!$D$162:$D$173,TALLY!A41)</f>
        <v>0</v>
      </c>
      <c r="K41" s="4">
        <f>COUNTIF(TT!$D$180:$D$199,TALLY!A41)</f>
        <v>0</v>
      </c>
      <c r="L41" s="4">
        <f>COUNTIF(TT!$D$207:$D$215,TALLY!A41)</f>
        <v>0</v>
      </c>
      <c r="M41" s="4">
        <f>COUNTIF(TT!$D$224:$D$231,TALLY!A41)</f>
        <v>0</v>
      </c>
      <c r="N41" s="345">
        <f>COUNTIF(TT!$D$237:$D$249,TALLY!A41)</f>
        <v>0</v>
      </c>
      <c r="O41" s="345">
        <f>COUNTIF(TT!$D$256:$D$264,TALLY!A41)</f>
        <v>1</v>
      </c>
      <c r="P41" s="345">
        <f>COUNTIF(TT!$D$271:$D$286,TALLY!A41)</f>
        <v>0</v>
      </c>
      <c r="Q41" s="4">
        <f>COUNTIF(TT!$D$293:$D$300,TALLY!A41)</f>
        <v>0</v>
      </c>
      <c r="R41" s="4">
        <f>COUNTIF(TT!$D$307:$D$319,TALLY!A41)</f>
        <v>0</v>
      </c>
      <c r="S41" s="4">
        <f>COUNTIF(TT!$D$326:$D$334,TALLY!A41)</f>
        <v>0</v>
      </c>
      <c r="T41" s="95">
        <f>COUNTIF(TT!$D$341:$D$350,TALLY!A41)</f>
        <v>1</v>
      </c>
      <c r="U41" s="95">
        <f>COUNTIF(TT!$D$357:$D$366,TALLY!A41)</f>
        <v>0</v>
      </c>
      <c r="V41" s="95">
        <f>COUNTIF(TT!$D$373:$D$383,TALLY!A41)</f>
        <v>0</v>
      </c>
      <c r="W41" s="4">
        <f>COUNTIF(TT!$D$390:$D$405,TALLY!A41)</f>
        <v>0</v>
      </c>
      <c r="X41" s="4">
        <f>COUNTIF(TT!$D$412:$D$423,TALLY!A41)</f>
        <v>0</v>
      </c>
      <c r="Y41" s="4">
        <f>COUNTIF(TT!$D$430:$D$438,TALLY!A41)</f>
        <v>0</v>
      </c>
      <c r="Z41" s="95">
        <f>COUNTIF(TT!$D$443:$D$457,TALLY!A41)</f>
        <v>0</v>
      </c>
      <c r="AA41" s="95">
        <f>COUNTIF(TT!$D$464:$D$474,TALLY!A41)</f>
        <v>1</v>
      </c>
      <c r="AB41" s="95">
        <f>COUNTIF(TT!$D$481:$D$494,TALLY!A41)</f>
        <v>0</v>
      </c>
      <c r="AC41" s="345">
        <f>COUNTIF(TT!$D$503:$D$522,TALLY!A41)</f>
        <v>0</v>
      </c>
      <c r="AD41" s="345">
        <f>COUNTIF(TT!$D$529:$D$541,TALLY!A41)</f>
        <v>0</v>
      </c>
      <c r="AE41" s="345">
        <f>COUNTIF(TT!$D$548:$D$561,TALLY!A41)</f>
        <v>1</v>
      </c>
      <c r="AF41" s="95">
        <f>COUNTIF(TT!$D$574:$D$584,TALLY!A41)</f>
        <v>0</v>
      </c>
      <c r="AG41" s="95">
        <f>COUNTIF(TT!$D$591:$D$601,TALLY!A41)</f>
        <v>0</v>
      </c>
      <c r="AH41" s="95">
        <f>COUNTIF(TT!$D$608:$D$619,TALLY!A41)</f>
        <v>0</v>
      </c>
      <c r="AI41" s="314">
        <f>COUNTIF(TT!$D$628:$D$647,TALLY!A41)</f>
        <v>0</v>
      </c>
      <c r="AJ41" s="314">
        <f>COUNTIF(TT!$D$654:$D$668,TALLY!A41)</f>
        <v>0</v>
      </c>
      <c r="AK41" s="314">
        <f>COUNTIF(TT!$D$675:$D$685,TALLY!A41)</f>
        <v>0</v>
      </c>
      <c r="AL41" s="95">
        <f>COUNTIF(TT!$D$692:$D$702,TALLY!A41)</f>
        <v>0</v>
      </c>
      <c r="AM41" s="95">
        <f>COUNTIF(TT!$D$709:$D$721,TALLY!A41)</f>
        <v>1</v>
      </c>
      <c r="AN41" s="95">
        <f>COUNTIF(TT!$D$728:$D$737,TALLY!A41)</f>
        <v>0</v>
      </c>
      <c r="AO41" s="314">
        <f>COUNTIF(TT!$D$744:$D$753,TALLY!A41)</f>
        <v>0</v>
      </c>
      <c r="AP41" s="314">
        <f>COUNTIF(TT!$D$759:$D$774,TALLY!A41)</f>
        <v>0</v>
      </c>
      <c r="AQ41" s="314">
        <f>COUNTIF(TT!$D$781:$D$789,TALLY!A41)</f>
        <v>0</v>
      </c>
      <c r="AR41" s="97" t="s">
        <v>105</v>
      </c>
      <c r="AS41" s="4">
        <f>SUM($B41:$D41)</f>
        <v>0</v>
      </c>
      <c r="AT41" s="4">
        <f>SUM(E41:G41)</f>
        <v>0</v>
      </c>
      <c r="AU41" s="4">
        <f>SUM(H41:J41)</f>
        <v>1</v>
      </c>
      <c r="AV41" s="4">
        <f>SUM(K41:M41)</f>
        <v>0</v>
      </c>
      <c r="AW41" s="4">
        <f>SUM(N41:P41)</f>
        <v>1</v>
      </c>
      <c r="AX41" s="4">
        <f>SUM($Q41:$S41)</f>
        <v>0</v>
      </c>
      <c r="AY41" s="4">
        <f>SUM(T41:V41)</f>
        <v>1</v>
      </c>
      <c r="AZ41" s="4">
        <f>SUM(W41:Y41)</f>
        <v>0</v>
      </c>
      <c r="BA41" s="314">
        <f>SUM(Z41:AB41)</f>
        <v>1</v>
      </c>
      <c r="BB41" s="314">
        <f>SUM(AC41:AE41)</f>
        <v>1</v>
      </c>
      <c r="BC41" s="314">
        <f>SUM(AF41:AH41)</f>
        <v>0</v>
      </c>
      <c r="BD41" s="4">
        <f>SUM(AI41:AK41)</f>
        <v>0</v>
      </c>
      <c r="BE41" s="4">
        <f>SUM(AL41:AN41)</f>
        <v>1</v>
      </c>
      <c r="BF41" s="4">
        <f>SUM(AO41:AQ41)</f>
        <v>0</v>
      </c>
      <c r="BG41" s="92">
        <f>SUM(AS41:BF41)</f>
        <v>6</v>
      </c>
    </row>
    <row r="42" spans="1:59">
      <c r="A42" s="97" t="s">
        <v>56</v>
      </c>
      <c r="B42" s="95">
        <f>COUNTIF(TT!$D$6:$D$15,TALLY!A42)</f>
        <v>0</v>
      </c>
      <c r="C42" s="95">
        <f>COUNTIF(TT!$D$22:$D$32,TALLY!A42)</f>
        <v>0</v>
      </c>
      <c r="D42" s="95">
        <f>COUNTIF(TT!$D$39:$D$49,TALLY!A42)</f>
        <v>0</v>
      </c>
      <c r="E42" s="4">
        <f>COUNTIF(TT!$D$57:$D$67,TALLY!A42)</f>
        <v>0</v>
      </c>
      <c r="F42" s="4">
        <f>COUNTIF(TT!$D$74:$D$86,TALLY!A42)</f>
        <v>0</v>
      </c>
      <c r="G42" s="4">
        <f>COUNTIF(TT!$D$93:$D$107,TALLY!A42)</f>
        <v>0</v>
      </c>
      <c r="H42" s="95">
        <f>COUNTIF(TT!$D$113:$D$129,TALLY!A42)</f>
        <v>0</v>
      </c>
      <c r="I42" s="95">
        <f>COUNTIF(TT!$D$135:$D$155,TALLY!A42)</f>
        <v>1</v>
      </c>
      <c r="J42" s="95">
        <f>COUNTIF(TT!$D$162:$D$173,TALLY!A42)</f>
        <v>0</v>
      </c>
      <c r="K42" s="4">
        <f>COUNTIF(TT!$D$180:$D$199,TALLY!A42)</f>
        <v>0</v>
      </c>
      <c r="L42" s="4">
        <f>COUNTIF(TT!$D$207:$D$215,TALLY!A42)</f>
        <v>0</v>
      </c>
      <c r="M42" s="4">
        <f>COUNTIF(TT!$D$224:$D$231,TALLY!A42)</f>
        <v>0</v>
      </c>
      <c r="N42" s="345">
        <f>COUNTIF(TT!$D$237:$D$249,TALLY!A42)</f>
        <v>0</v>
      </c>
      <c r="O42" s="345">
        <f>COUNTIF(TT!$D$256:$D$264,TALLY!A42)</f>
        <v>0</v>
      </c>
      <c r="P42" s="345">
        <f>COUNTIF(TT!$D$271:$D$286,TALLY!A42)</f>
        <v>1</v>
      </c>
      <c r="Q42" s="4">
        <f>COUNTIF(TT!$D$293:$D$300,TALLY!A42)</f>
        <v>0</v>
      </c>
      <c r="R42" s="4">
        <f>COUNTIF(TT!$D$307:$D$319,TALLY!A42)</f>
        <v>0</v>
      </c>
      <c r="S42" s="4">
        <f>COUNTIF(TT!$D$326:$D$334,TALLY!A42)</f>
        <v>0</v>
      </c>
      <c r="T42" s="95">
        <f>COUNTIF(TT!$D$341:$D$350,TALLY!A42)</f>
        <v>1</v>
      </c>
      <c r="U42" s="95">
        <f>COUNTIF(TT!$D$357:$D$366,TALLY!A42)</f>
        <v>0</v>
      </c>
      <c r="V42" s="95">
        <f>COUNTIF(TT!$D$373:$D$383,TALLY!A42)</f>
        <v>0</v>
      </c>
      <c r="W42" s="4">
        <f>COUNTIF(TT!$D$390:$D$405,TALLY!A42)</f>
        <v>0</v>
      </c>
      <c r="X42" s="4">
        <f>COUNTIF(TT!$D$412:$D$423,TALLY!A42)</f>
        <v>0</v>
      </c>
      <c r="Y42" s="4">
        <f>COUNTIF(TT!$D$430:$D$438,TALLY!A42)</f>
        <v>0</v>
      </c>
      <c r="Z42" s="95">
        <f>COUNTIF(TT!$D$443:$D$457,TALLY!A42)</f>
        <v>0</v>
      </c>
      <c r="AA42" s="95">
        <f>COUNTIF(TT!$D$464:$D$474,TALLY!A42)</f>
        <v>0</v>
      </c>
      <c r="AB42" s="95">
        <f>COUNTIF(TT!$D$481:$D$494,TALLY!A42)</f>
        <v>1</v>
      </c>
      <c r="AC42" s="345">
        <f>COUNTIF(TT!$D$503:$D$522,TALLY!A42)</f>
        <v>0</v>
      </c>
      <c r="AD42" s="345">
        <f>COUNTIF(TT!$D$529:$D$541,TALLY!A42)</f>
        <v>0</v>
      </c>
      <c r="AE42" s="345">
        <f>COUNTIF(TT!$D$548:$D$561,TALLY!A42)</f>
        <v>0</v>
      </c>
      <c r="AF42" s="95">
        <f>COUNTIF(TT!$D$574:$D$584,TALLY!A42)</f>
        <v>1</v>
      </c>
      <c r="AG42" s="95">
        <f>COUNTIF(TT!$D$591:$D$601,TALLY!A42)</f>
        <v>0</v>
      </c>
      <c r="AH42" s="95">
        <f>COUNTIF(TT!$D$608:$D$619,TALLY!A42)</f>
        <v>0</v>
      </c>
      <c r="AI42" s="314">
        <f>COUNTIF(TT!$D$628:$D$647,TALLY!A42)</f>
        <v>0</v>
      </c>
      <c r="AJ42" s="314">
        <f>COUNTIF(TT!$D$654:$D$668,TALLY!A42)</f>
        <v>0</v>
      </c>
      <c r="AK42" s="314">
        <f>COUNTIF(TT!$D$675:$D$685,TALLY!A42)</f>
        <v>1</v>
      </c>
      <c r="AL42" s="95">
        <f>COUNTIF(TT!$D$692:$D$702,TALLY!A42)</f>
        <v>0</v>
      </c>
      <c r="AM42" s="95">
        <f>COUNTIF(TT!$D$709:$D$721,TALLY!A42)</f>
        <v>0</v>
      </c>
      <c r="AN42" s="95">
        <f>COUNTIF(TT!$D$728:$D$737,TALLY!A42)</f>
        <v>0</v>
      </c>
      <c r="AO42" s="314">
        <f>COUNTIF(TT!$D$744:$D$753,TALLY!A42)</f>
        <v>0</v>
      </c>
      <c r="AP42" s="314">
        <f>COUNTIF(TT!$D$759:$D$774,TALLY!A42)</f>
        <v>1</v>
      </c>
      <c r="AQ42" s="314">
        <f>COUNTIF(TT!$D$781:$D$789,TALLY!A42)</f>
        <v>0</v>
      </c>
      <c r="AR42" s="97" t="s">
        <v>56</v>
      </c>
      <c r="AS42" s="4">
        <f>SUM($B42:$D42)</f>
        <v>0</v>
      </c>
      <c r="AT42" s="4">
        <f>SUM(E42:G42)</f>
        <v>0</v>
      </c>
      <c r="AU42" s="4">
        <f>SUM(H42:J42)</f>
        <v>1</v>
      </c>
      <c r="AV42" s="4">
        <f>SUM(K42:M42)</f>
        <v>0</v>
      </c>
      <c r="AW42" s="4">
        <f>SUM(N42:P42)</f>
        <v>1</v>
      </c>
      <c r="AX42" s="4">
        <f>SUM($Q42:$S42)</f>
        <v>0</v>
      </c>
      <c r="AY42" s="4">
        <f>SUM(T42:V42)</f>
        <v>1</v>
      </c>
      <c r="AZ42" s="4">
        <f>SUM(W42:Y42)</f>
        <v>0</v>
      </c>
      <c r="BA42" s="314">
        <f>SUM(Z42:AB42)</f>
        <v>1</v>
      </c>
      <c r="BB42" s="314">
        <f>SUM(AC42:AE42)</f>
        <v>0</v>
      </c>
      <c r="BC42" s="314">
        <f>SUM(AF42:AH42)</f>
        <v>1</v>
      </c>
      <c r="BD42" s="4">
        <f>SUM(AI42:AK42)</f>
        <v>1</v>
      </c>
      <c r="BE42" s="4">
        <f>SUM(AL42:AN42)</f>
        <v>0</v>
      </c>
      <c r="BF42" s="4">
        <f>SUM(AO42:AQ42)</f>
        <v>1</v>
      </c>
      <c r="BG42" s="92">
        <f>SUM(AS42:BF42)</f>
        <v>7</v>
      </c>
    </row>
    <row r="43" spans="1:59">
      <c r="A43" s="97" t="s">
        <v>51</v>
      </c>
      <c r="B43" s="95">
        <f>COUNTIF(TT!$D$6:$D$15,TALLY!A43)</f>
        <v>0</v>
      </c>
      <c r="C43" s="95">
        <f>COUNTIF(TT!$D$22:$D$32,TALLY!A43)</f>
        <v>0</v>
      </c>
      <c r="D43" s="95">
        <f>COUNTIF(TT!$D$39:$D$49,TALLY!A43)</f>
        <v>0</v>
      </c>
      <c r="E43" s="4">
        <f>COUNTIF(TT!$D$57:$D$67,TALLY!A43)</f>
        <v>0</v>
      </c>
      <c r="F43" s="4">
        <f>COUNTIF(TT!$D$74:$D$86,TALLY!A43)</f>
        <v>0</v>
      </c>
      <c r="G43" s="4">
        <f>COUNTIF(TT!$D$93:$D$107,TALLY!A43)</f>
        <v>0</v>
      </c>
      <c r="H43" s="95">
        <f>COUNTIF(TT!$D$113:$D$129,TALLY!A43)</f>
        <v>0</v>
      </c>
      <c r="I43" s="95">
        <f>COUNTIF(TT!$D$135:$D$155,TALLY!A43)</f>
        <v>1</v>
      </c>
      <c r="J43" s="95">
        <f>COUNTIF(TT!$D$162:$D$173,TALLY!A43)</f>
        <v>0</v>
      </c>
      <c r="K43" s="4">
        <f>COUNTIF(TT!$D$180:$D$199,TALLY!A43)</f>
        <v>0</v>
      </c>
      <c r="L43" s="4">
        <f>COUNTIF(TT!$D$207:$D$215,TALLY!A43)</f>
        <v>0</v>
      </c>
      <c r="M43" s="4">
        <f>COUNTIF(TT!$D$224:$D$231,TALLY!A43)</f>
        <v>1</v>
      </c>
      <c r="N43" s="345">
        <f>COUNTIF(TT!$D$237:$D$249,TALLY!A43)</f>
        <v>0</v>
      </c>
      <c r="O43" s="345">
        <f>COUNTIF(TT!$D$256:$D$264,TALLY!A43)</f>
        <v>0</v>
      </c>
      <c r="P43" s="345">
        <f>COUNTIF(TT!$D$271:$D$286,TALLY!A43)</f>
        <v>0</v>
      </c>
      <c r="Q43" s="4">
        <f>COUNTIF(TT!$D$293:$D$300,TALLY!A43)</f>
        <v>0</v>
      </c>
      <c r="R43" s="4">
        <f>COUNTIF(TT!$D$307:$D$319,TALLY!A43)</f>
        <v>0</v>
      </c>
      <c r="S43" s="4">
        <f>COUNTIF(TT!$D$326:$D$334,TALLY!A43)</f>
        <v>0</v>
      </c>
      <c r="T43" s="95">
        <f>COUNTIF(TT!$D$341:$D$350,TALLY!A43)</f>
        <v>1</v>
      </c>
      <c r="U43" s="95">
        <f>COUNTIF(TT!$D$357:$D$366,TALLY!A43)</f>
        <v>0</v>
      </c>
      <c r="V43" s="95">
        <f>COUNTIF(TT!$D$373:$D$383,TALLY!A43)</f>
        <v>0</v>
      </c>
      <c r="W43" s="4">
        <f>COUNTIF(TT!$D$390:$D$405,TALLY!A43)</f>
        <v>0</v>
      </c>
      <c r="X43" s="4">
        <f>COUNTIF(TT!$D$412:$D$423,TALLY!A43)</f>
        <v>0</v>
      </c>
      <c r="Y43" s="4">
        <f>COUNTIF(TT!$D$430:$D$438,TALLY!A43)</f>
        <v>0</v>
      </c>
      <c r="Z43" s="95">
        <f>COUNTIF(TT!$D$443:$D$457,TALLY!A43)</f>
        <v>1</v>
      </c>
      <c r="AA43" s="95">
        <f>COUNTIF(TT!$D$464:$D$474,TALLY!A43)</f>
        <v>0</v>
      </c>
      <c r="AB43" s="95">
        <f>COUNTIF(TT!$D$481:$D$494,TALLY!A43)</f>
        <v>0</v>
      </c>
      <c r="AC43" s="345">
        <f>COUNTIF(TT!$D$503:$D$522,TALLY!A43)</f>
        <v>0</v>
      </c>
      <c r="AD43" s="345">
        <f>COUNTIF(TT!$D$529:$D$541,TALLY!A43)</f>
        <v>0</v>
      </c>
      <c r="AE43" s="345">
        <f>COUNTIF(TT!$D$548:$D$561,TALLY!A43)</f>
        <v>0</v>
      </c>
      <c r="AF43" s="95">
        <f>COUNTIF(TT!$D$574:$D$584,TALLY!A43)</f>
        <v>0</v>
      </c>
      <c r="AG43" s="95">
        <f>COUNTIF(TT!$D$591:$D$601,TALLY!A43)</f>
        <v>1</v>
      </c>
      <c r="AH43" s="95">
        <f>COUNTIF(TT!$D$608:$D$619,TALLY!A43)</f>
        <v>0</v>
      </c>
      <c r="AI43" s="314">
        <f>COUNTIF(TT!$D$628:$D$647,TALLY!A43)</f>
        <v>0</v>
      </c>
      <c r="AJ43" s="314">
        <f>COUNTIF(TT!$D$654:$D$668,TALLY!A43)</f>
        <v>0</v>
      </c>
      <c r="AK43" s="314">
        <f>COUNTIF(TT!$D$675:$D$685,TALLY!A43)</f>
        <v>1</v>
      </c>
      <c r="AL43" s="95">
        <f>COUNTIF(TT!$D$692:$D$702,TALLY!A43)</f>
        <v>0</v>
      </c>
      <c r="AM43" s="95">
        <f>COUNTIF(TT!$D$709:$D$721,TALLY!A43)</f>
        <v>0</v>
      </c>
      <c r="AN43" s="95">
        <f>COUNTIF(TT!$D$728:$D$737,TALLY!A43)</f>
        <v>0</v>
      </c>
      <c r="AO43" s="314">
        <f>COUNTIF(TT!$D$744:$D$753,TALLY!A43)</f>
        <v>0</v>
      </c>
      <c r="AP43" s="314">
        <f>COUNTIF(TT!$D$759:$D$774,TALLY!A43)</f>
        <v>0</v>
      </c>
      <c r="AQ43" s="314">
        <f>COUNTIF(TT!$D$781:$D$789,TALLY!A43)</f>
        <v>1</v>
      </c>
      <c r="AR43" s="97" t="s">
        <v>51</v>
      </c>
      <c r="AS43" s="4">
        <f>SUM($B43:$D43)</f>
        <v>0</v>
      </c>
      <c r="AT43" s="4">
        <f>SUM(E43:G43)</f>
        <v>0</v>
      </c>
      <c r="AU43" s="4">
        <f>SUM(H43:J43)</f>
        <v>1</v>
      </c>
      <c r="AV43" s="4">
        <f>SUM(K43:M43)</f>
        <v>1</v>
      </c>
      <c r="AW43" s="4">
        <f>SUM(N43:P43)</f>
        <v>0</v>
      </c>
      <c r="AX43" s="4">
        <f>SUM($Q43:$S43)</f>
        <v>0</v>
      </c>
      <c r="AY43" s="4">
        <f>SUM(T43:V43)</f>
        <v>1</v>
      </c>
      <c r="AZ43" s="4">
        <f>SUM(W43:Y43)</f>
        <v>0</v>
      </c>
      <c r="BA43" s="314">
        <f>SUM(Z43:AB43)</f>
        <v>1</v>
      </c>
      <c r="BB43" s="314">
        <f>SUM(AC43:AE43)</f>
        <v>0</v>
      </c>
      <c r="BC43" s="314">
        <f>SUM(AF43:AH43)</f>
        <v>1</v>
      </c>
      <c r="BD43" s="4">
        <f>SUM(AI43:AK43)</f>
        <v>1</v>
      </c>
      <c r="BE43" s="4">
        <f>SUM(AL43:AN43)</f>
        <v>0</v>
      </c>
      <c r="BF43" s="4">
        <f>SUM(AO43:AQ43)</f>
        <v>1</v>
      </c>
      <c r="BG43" s="92">
        <f>SUM(AS43:BF43)</f>
        <v>7</v>
      </c>
    </row>
    <row r="44" spans="1:59">
      <c r="A44" s="97" t="s">
        <v>106</v>
      </c>
      <c r="B44" s="95">
        <f>COUNTIF(TT!$D$6:$D$15,TALLY!A44)</f>
        <v>0</v>
      </c>
      <c r="C44" s="95">
        <f>COUNTIF(TT!$D$22:$D$32,TALLY!A44)</f>
        <v>0</v>
      </c>
      <c r="D44" s="95">
        <f>COUNTIF(TT!$D$39:$D$49,TALLY!A44)</f>
        <v>0</v>
      </c>
      <c r="E44" s="4">
        <f>COUNTIF(TT!$D$57:$D$67,TALLY!A44)</f>
        <v>0</v>
      </c>
      <c r="F44" s="4">
        <f>COUNTIF(TT!$D$74:$D$86,TALLY!A44)</f>
        <v>1</v>
      </c>
      <c r="G44" s="4">
        <f>COUNTIF(TT!$D$93:$D$107,TALLY!A44)</f>
        <v>0</v>
      </c>
      <c r="H44" s="95">
        <f>COUNTIF(TT!$D$113:$D$129,TALLY!A44)</f>
        <v>1</v>
      </c>
      <c r="I44" s="95">
        <f>COUNTIF(TT!$D$135:$D$155,TALLY!A44)</f>
        <v>0</v>
      </c>
      <c r="J44" s="95">
        <f>COUNTIF(TT!$D$162:$D$173,TALLY!A44)</f>
        <v>0</v>
      </c>
      <c r="K44" s="4">
        <f>COUNTIF(TT!$D$180:$D$199,TALLY!A44)</f>
        <v>1</v>
      </c>
      <c r="L44" s="4">
        <f>COUNTIF(TT!$D$207:$D$215,TALLY!A44)</f>
        <v>0</v>
      </c>
      <c r="M44" s="4">
        <f>COUNTIF(TT!$D$224:$D$231,TALLY!A44)</f>
        <v>0</v>
      </c>
      <c r="N44" s="345">
        <f>COUNTIF(TT!$D$237:$D$249,TALLY!A44)</f>
        <v>0</v>
      </c>
      <c r="O44" s="345">
        <f>COUNTIF(TT!$D$256:$D$264,TALLY!A44)</f>
        <v>0</v>
      </c>
      <c r="P44" s="345">
        <f>COUNTIF(TT!$D$271:$D$286,TALLY!A44)</f>
        <v>1</v>
      </c>
      <c r="Q44" s="4">
        <f>COUNTIF(TT!$D$293:$D$300,TALLY!A44)</f>
        <v>0</v>
      </c>
      <c r="R44" s="4">
        <f>COUNTIF(TT!$D$307:$D$319,TALLY!A44)</f>
        <v>0</v>
      </c>
      <c r="S44" s="4">
        <f>COUNTIF(TT!$D$326:$D$334,TALLY!A44)</f>
        <v>0</v>
      </c>
      <c r="T44" s="95">
        <f>COUNTIF(TT!$D$341:$D$350,TALLY!A44)</f>
        <v>0</v>
      </c>
      <c r="U44" s="95">
        <f>COUNTIF(TT!$D$357:$D$366,TALLY!A44)</f>
        <v>0</v>
      </c>
      <c r="V44" s="95">
        <f>COUNTIF(TT!$D$373:$D$383,TALLY!A44)</f>
        <v>0</v>
      </c>
      <c r="W44" s="4">
        <f>COUNTIF(TT!$D$390:$D$405,TALLY!A44)</f>
        <v>0</v>
      </c>
      <c r="X44" s="4">
        <f>COUNTIF(TT!$D$412:$D$423,TALLY!A44)</f>
        <v>0</v>
      </c>
      <c r="Y44" s="4">
        <f>COUNTIF(TT!$D$430:$D$438,TALLY!A44)</f>
        <v>1</v>
      </c>
      <c r="Z44" s="95">
        <f>COUNTIF(TT!$D$443:$D$457,TALLY!A44)</f>
        <v>0</v>
      </c>
      <c r="AA44" s="95">
        <f>COUNTIF(TT!$D$464:$D$474,TALLY!A44)</f>
        <v>1</v>
      </c>
      <c r="AB44" s="95">
        <f>COUNTIF(TT!$D$481:$D$494,TALLY!A44)</f>
        <v>0</v>
      </c>
      <c r="AC44" s="345">
        <f>COUNTIF(TT!$D$503:$D$522,TALLY!A44)</f>
        <v>1</v>
      </c>
      <c r="AD44" s="345">
        <f>COUNTIF(TT!$D$529:$D$541,TALLY!A44)</f>
        <v>0</v>
      </c>
      <c r="AE44" s="345">
        <f>COUNTIF(TT!$D$548:$D$561,TALLY!A44)</f>
        <v>0</v>
      </c>
      <c r="AF44" s="95">
        <f>COUNTIF(TT!$D$574:$D$584,TALLY!A44)</f>
        <v>0</v>
      </c>
      <c r="AG44" s="95">
        <f>COUNTIF(TT!$D$591:$D$601,TALLY!A44)</f>
        <v>0</v>
      </c>
      <c r="AH44" s="95">
        <f>COUNTIF(TT!$D$608:$D$619,TALLY!A44)</f>
        <v>1</v>
      </c>
      <c r="AI44" s="314">
        <f>COUNTIF(TT!$D$628:$D$647,TALLY!A44)</f>
        <v>0</v>
      </c>
      <c r="AJ44" s="314">
        <f>COUNTIF(TT!$D$654:$D$668,TALLY!A44)</f>
        <v>0</v>
      </c>
      <c r="AK44" s="314">
        <f>COUNTIF(TT!$D$675:$D$685,TALLY!A44)</f>
        <v>0</v>
      </c>
      <c r="AL44" s="95">
        <f>COUNTIF(TT!$D$692:$D$702,TALLY!A44)</f>
        <v>0</v>
      </c>
      <c r="AM44" s="95">
        <f>COUNTIF(TT!$D$709:$D$721,TALLY!A44)</f>
        <v>1</v>
      </c>
      <c r="AN44" s="95">
        <f>COUNTIF(TT!$D$728:$D$737,TALLY!A44)</f>
        <v>0</v>
      </c>
      <c r="AO44" s="314">
        <f>COUNTIF(TT!$D$744:$D$753,TALLY!A44)</f>
        <v>0</v>
      </c>
      <c r="AP44" s="314">
        <f>COUNTIF(TT!$D$759:$D$774,TALLY!A44)</f>
        <v>0</v>
      </c>
      <c r="AQ44" s="314">
        <f>COUNTIF(TT!$D$781:$D$789,TALLY!A44)</f>
        <v>0</v>
      </c>
      <c r="AR44" s="97" t="s">
        <v>106</v>
      </c>
      <c r="AS44" s="4">
        <f>SUM($B44:$D44)</f>
        <v>0</v>
      </c>
      <c r="AT44" s="4">
        <f>SUM(E44:G44)</f>
        <v>1</v>
      </c>
      <c r="AU44" s="4">
        <f>SUM(H44:J44)</f>
        <v>1</v>
      </c>
      <c r="AV44" s="4">
        <f>SUM(K44:M44)</f>
        <v>1</v>
      </c>
      <c r="AW44" s="4">
        <f>SUM(N44:P44)</f>
        <v>1</v>
      </c>
      <c r="AX44" s="4">
        <f>SUM($Q44:$S44)</f>
        <v>0</v>
      </c>
      <c r="AY44" s="4">
        <f>SUM(T44:V44)</f>
        <v>0</v>
      </c>
      <c r="AZ44" s="4">
        <f>SUM(W44:Y44)</f>
        <v>1</v>
      </c>
      <c r="BA44" s="314">
        <f>SUM(Z44:AB44)</f>
        <v>1</v>
      </c>
      <c r="BB44" s="314">
        <f>SUM(AC44:AE44)</f>
        <v>1</v>
      </c>
      <c r="BC44" s="314">
        <f>SUM(AF44:AH44)</f>
        <v>1</v>
      </c>
      <c r="BD44" s="4">
        <f>SUM(AI44:AK44)</f>
        <v>0</v>
      </c>
      <c r="BE44" s="4">
        <f>SUM(AL44:AN44)</f>
        <v>1</v>
      </c>
      <c r="BF44" s="4">
        <f>SUM(AO44:AQ44)</f>
        <v>0</v>
      </c>
      <c r="BG44" s="92">
        <f>SUM(AS44:BF44)</f>
        <v>9</v>
      </c>
    </row>
    <row r="45" spans="1:59">
      <c r="A45" s="97" t="s">
        <v>55</v>
      </c>
      <c r="B45" s="95">
        <f>COUNTIF(TT!$D$6:$D$15,TALLY!A45)</f>
        <v>0</v>
      </c>
      <c r="C45" s="95">
        <f>COUNTIF(TT!$D$22:$D$32,TALLY!A45)</f>
        <v>1</v>
      </c>
      <c r="D45" s="95">
        <f>COUNTIF(TT!$D$39:$D$49,TALLY!A45)</f>
        <v>0</v>
      </c>
      <c r="E45" s="4">
        <f>COUNTIF(TT!$D$57:$D$67,TALLY!A45)</f>
        <v>0</v>
      </c>
      <c r="F45" s="4">
        <f>COUNTIF(TT!$D$74:$D$86,TALLY!A45)</f>
        <v>0</v>
      </c>
      <c r="G45" s="4">
        <f>COUNTIF(TT!$D$93:$D$107,TALLY!A45)</f>
        <v>0</v>
      </c>
      <c r="H45" s="95">
        <f>COUNTIF(TT!$D$113:$D$129,TALLY!A45)</f>
        <v>0</v>
      </c>
      <c r="I45" s="95">
        <f>COUNTIF(TT!$D$135:$D$155,TALLY!A45)</f>
        <v>1</v>
      </c>
      <c r="J45" s="95">
        <f>COUNTIF(TT!$D$162:$D$173,TALLY!A45)</f>
        <v>0</v>
      </c>
      <c r="K45" s="4">
        <f>COUNTIF(TT!$D$180:$D$199,TALLY!A45)</f>
        <v>0</v>
      </c>
      <c r="L45" s="4">
        <f>COUNTIF(TT!$D$207:$D$215,TALLY!A45)</f>
        <v>0</v>
      </c>
      <c r="M45" s="4">
        <f>COUNTIF(TT!$D$224:$D$231,TALLY!A45)</f>
        <v>0</v>
      </c>
      <c r="N45" s="345">
        <f>COUNTIF(TT!$D$237:$D$249,TALLY!A45)</f>
        <v>0</v>
      </c>
      <c r="O45" s="345">
        <f>COUNTIF(TT!$D$256:$D$264,TALLY!A45)</f>
        <v>0</v>
      </c>
      <c r="P45" s="345">
        <f>COUNTIF(TT!$D$271:$D$286,TALLY!A45)</f>
        <v>1</v>
      </c>
      <c r="Q45" s="4">
        <f>COUNTIF(TT!$D$293:$D$300,TALLY!A45)</f>
        <v>0</v>
      </c>
      <c r="R45" s="4">
        <f>COUNTIF(TT!$D$307:$D$319,TALLY!A45)</f>
        <v>0</v>
      </c>
      <c r="S45" s="4">
        <f>COUNTIF(TT!$D$326:$D$334,TALLY!A45)</f>
        <v>0</v>
      </c>
      <c r="T45" s="95">
        <f>COUNTIF(TT!$D$341:$D$350,TALLY!A45)</f>
        <v>0</v>
      </c>
      <c r="U45" s="95">
        <f>COUNTIF(TT!$D$357:$D$366,TALLY!A45)</f>
        <v>0</v>
      </c>
      <c r="V45" s="95">
        <f>COUNTIF(TT!$D$373:$D$383,TALLY!A45)</f>
        <v>0</v>
      </c>
      <c r="W45" s="4">
        <f>COUNTIF(TT!$D$390:$D$405,TALLY!A45)</f>
        <v>0</v>
      </c>
      <c r="X45" s="4">
        <f>COUNTIF(TT!$D$412:$D$423,TALLY!A45)</f>
        <v>0</v>
      </c>
      <c r="Y45" s="4">
        <f>COUNTIF(TT!$D$430:$D$438,TALLY!A45)</f>
        <v>1</v>
      </c>
      <c r="Z45" s="95">
        <f>COUNTIF(TT!$D$443:$D$457,TALLY!A45)</f>
        <v>0</v>
      </c>
      <c r="AA45" s="95">
        <f>COUNTIF(TT!$D$464:$D$474,TALLY!A45)</f>
        <v>0</v>
      </c>
      <c r="AB45" s="95">
        <f>COUNTIF(TT!$D$481:$D$494,TALLY!A45)</f>
        <v>0</v>
      </c>
      <c r="AC45" s="345">
        <f>COUNTIF(TT!$D$503:$D$522,TALLY!A45)</f>
        <v>1</v>
      </c>
      <c r="AD45" s="345">
        <f>COUNTIF(TT!$D$529:$D$541,TALLY!A45)</f>
        <v>0</v>
      </c>
      <c r="AE45" s="345">
        <f>COUNTIF(TT!$D$548:$D$561,TALLY!A45)</f>
        <v>0</v>
      </c>
      <c r="AF45" s="95">
        <f>COUNTIF(TT!$D$574:$D$584,TALLY!A45)</f>
        <v>1</v>
      </c>
      <c r="AG45" s="95">
        <f>COUNTIF(TT!$D$591:$D$601,TALLY!A45)</f>
        <v>0</v>
      </c>
      <c r="AH45" s="95">
        <f>COUNTIF(TT!$D$608:$D$619,TALLY!A45)</f>
        <v>0</v>
      </c>
      <c r="AI45" s="314">
        <f>COUNTIF(TT!$D$628:$D$647,TALLY!A45)</f>
        <v>0</v>
      </c>
      <c r="AJ45" s="314">
        <f>COUNTIF(TT!$D$654:$D$668,TALLY!A45)</f>
        <v>0</v>
      </c>
      <c r="AK45" s="314">
        <f>COUNTIF(TT!$D$675:$D$685,TALLY!A45)</f>
        <v>1</v>
      </c>
      <c r="AL45" s="95">
        <f>COUNTIF(TT!$D$692:$D$702,TALLY!A45)</f>
        <v>0</v>
      </c>
      <c r="AM45" s="95">
        <f>COUNTIF(TT!$D$709:$D$721,TALLY!A45)</f>
        <v>0</v>
      </c>
      <c r="AN45" s="95">
        <f>COUNTIF(TT!$D$728:$D$737,TALLY!A45)</f>
        <v>0</v>
      </c>
      <c r="AO45" s="314">
        <f>COUNTIF(TT!$D$744:$D$753,TALLY!A45)</f>
        <v>0</v>
      </c>
      <c r="AP45" s="314">
        <f>COUNTIF(TT!$D$759:$D$774,TALLY!A45)</f>
        <v>0</v>
      </c>
      <c r="AQ45" s="314">
        <f>COUNTIF(TT!$D$781:$D$789,TALLY!A45)</f>
        <v>0</v>
      </c>
      <c r="AR45" s="97" t="s">
        <v>55</v>
      </c>
      <c r="AS45" s="4">
        <f>SUM($B45:$D45)</f>
        <v>1</v>
      </c>
      <c r="AT45" s="4">
        <f>SUM(E45:G45)</f>
        <v>0</v>
      </c>
      <c r="AU45" s="4">
        <f>SUM(H45:J45)</f>
        <v>1</v>
      </c>
      <c r="AV45" s="4">
        <f>SUM(K45:M45)</f>
        <v>0</v>
      </c>
      <c r="AW45" s="4">
        <f>SUM(N45:P45)</f>
        <v>1</v>
      </c>
      <c r="AX45" s="4">
        <f>SUM($Q45:$S45)</f>
        <v>0</v>
      </c>
      <c r="AY45" s="4">
        <f>SUM(T45:V45)</f>
        <v>0</v>
      </c>
      <c r="AZ45" s="4">
        <f>SUM(W45:Y45)</f>
        <v>1</v>
      </c>
      <c r="BA45" s="314">
        <f>SUM(Z45:AB45)</f>
        <v>0</v>
      </c>
      <c r="BB45" s="314">
        <f>SUM(AC45:AE45)</f>
        <v>1</v>
      </c>
      <c r="BC45" s="314">
        <f>SUM(AF45:AH45)</f>
        <v>1</v>
      </c>
      <c r="BD45" s="4">
        <f>SUM(AI45:AK45)</f>
        <v>1</v>
      </c>
      <c r="BE45" s="4">
        <f>SUM(AL45:AN45)</f>
        <v>0</v>
      </c>
      <c r="BF45" s="4">
        <f>SUM(AO45:AQ45)</f>
        <v>0</v>
      </c>
      <c r="BG45" s="92">
        <f>SUM(AS45:BF45)</f>
        <v>7</v>
      </c>
    </row>
    <row r="46" spans="1:59">
      <c r="A46" s="97" t="s">
        <v>53</v>
      </c>
      <c r="B46" s="95">
        <f>COUNTIF(TT!$D$6:$D$15,TALLY!A46)</f>
        <v>0</v>
      </c>
      <c r="C46" s="95">
        <f>COUNTIF(TT!$D$22:$D$32,TALLY!A46)</f>
        <v>0</v>
      </c>
      <c r="D46" s="95">
        <f>COUNTIF(TT!$D$39:$D$49,TALLY!A46)</f>
        <v>0</v>
      </c>
      <c r="E46" s="4">
        <f>COUNTIF(TT!$D$57:$D$67,TALLY!A46)</f>
        <v>0</v>
      </c>
      <c r="F46" s="4">
        <f>COUNTIF(TT!$D$74:$D$86,TALLY!A46)</f>
        <v>1</v>
      </c>
      <c r="G46" s="4">
        <f>COUNTIF(TT!$D$93:$D$107,TALLY!A46)</f>
        <v>0</v>
      </c>
      <c r="H46" s="95">
        <f>COUNTIF(TT!$D$113:$D$129,TALLY!A46)</f>
        <v>0</v>
      </c>
      <c r="I46" s="95">
        <f>COUNTIF(TT!$D$135:$D$155,TALLY!A46)</f>
        <v>1</v>
      </c>
      <c r="J46" s="95">
        <f>COUNTIF(TT!$D$162:$D$173,TALLY!A46)</f>
        <v>0</v>
      </c>
      <c r="K46" s="4">
        <f>COUNTIF(TT!$D$180:$D$199,TALLY!A46)</f>
        <v>0</v>
      </c>
      <c r="L46" s="4">
        <f>COUNTIF(TT!$D$207:$D$215,TALLY!A46)</f>
        <v>0</v>
      </c>
      <c r="M46" s="4">
        <f>COUNTIF(TT!$D$224:$D$231,TALLY!A46)</f>
        <v>1</v>
      </c>
      <c r="N46" s="345">
        <f>COUNTIF(TT!$D$237:$D$249,TALLY!A46)</f>
        <v>0</v>
      </c>
      <c r="O46" s="345">
        <f>COUNTIF(TT!$D$256:$D$264,TALLY!A46)</f>
        <v>0</v>
      </c>
      <c r="P46" s="345">
        <f>COUNTIF(TT!$D$271:$D$286,TALLY!A46)</f>
        <v>0</v>
      </c>
      <c r="Q46" s="4">
        <f>COUNTIF(TT!$D$293:$D$300,TALLY!A46)</f>
        <v>0</v>
      </c>
      <c r="R46" s="4">
        <f>COUNTIF(TT!$D$307:$D$319,TALLY!A46)</f>
        <v>0</v>
      </c>
      <c r="S46" s="4">
        <f>COUNTIF(TT!$D$326:$D$334,TALLY!A46)</f>
        <v>0</v>
      </c>
      <c r="T46" s="95">
        <f>COUNTIF(TT!$D$341:$D$350,TALLY!A46)</f>
        <v>1</v>
      </c>
      <c r="U46" s="95">
        <f>COUNTIF(TT!$D$357:$D$366,TALLY!A46)</f>
        <v>0</v>
      </c>
      <c r="V46" s="95">
        <f>COUNTIF(TT!$D$373:$D$383,TALLY!A46)</f>
        <v>0</v>
      </c>
      <c r="W46" s="4">
        <f>COUNTIF(TT!$D$390:$D$405,TALLY!A46)</f>
        <v>0</v>
      </c>
      <c r="X46" s="4">
        <f>COUNTIF(TT!$D$412:$D$423,TALLY!A46)</f>
        <v>0</v>
      </c>
      <c r="Y46" s="4">
        <f>COUNTIF(TT!$D$430:$D$438,TALLY!A46)</f>
        <v>0</v>
      </c>
      <c r="Z46" s="95">
        <f>COUNTIF(TT!$D$443:$D$457,TALLY!A46)</f>
        <v>0</v>
      </c>
      <c r="AA46" s="95">
        <f>COUNTIF(TT!$D$464:$D$474,TALLY!A46)</f>
        <v>1</v>
      </c>
      <c r="AB46" s="95">
        <f>COUNTIF(TT!$D$481:$D$494,TALLY!A46)</f>
        <v>0</v>
      </c>
      <c r="AC46" s="345">
        <f>COUNTIF(TT!$D$503:$D$522,TALLY!A46)</f>
        <v>0</v>
      </c>
      <c r="AD46" s="345">
        <f>COUNTIF(TT!$D$529:$D$541,TALLY!A46)</f>
        <v>0</v>
      </c>
      <c r="AE46" s="345">
        <f>COUNTIF(TT!$D$548:$D$561,TALLY!A46)</f>
        <v>0</v>
      </c>
      <c r="AF46" s="95">
        <f>COUNTIF(TT!$D$574:$D$584,TALLY!A46)</f>
        <v>0</v>
      </c>
      <c r="AG46" s="95">
        <f>COUNTIF(TT!$D$591:$D$601,TALLY!A46)</f>
        <v>0</v>
      </c>
      <c r="AH46" s="95">
        <f>COUNTIF(TT!$D$608:$D$619,TALLY!A46)</f>
        <v>1</v>
      </c>
      <c r="AI46" s="314">
        <f>COUNTIF(TT!$D$628:$D$647,TALLY!A46)</f>
        <v>0</v>
      </c>
      <c r="AJ46" s="314">
        <f>COUNTIF(TT!$D$654:$D$668,TALLY!A46)</f>
        <v>0</v>
      </c>
      <c r="AK46" s="314">
        <f>COUNTIF(TT!$D$675:$D$685,TALLY!A46)</f>
        <v>1</v>
      </c>
      <c r="AL46" s="95">
        <f>COUNTIF(TT!$D$692:$D$702,TALLY!A46)</f>
        <v>0</v>
      </c>
      <c r="AM46" s="95">
        <f>COUNTIF(TT!$D$709:$D$721,TALLY!A46)</f>
        <v>0</v>
      </c>
      <c r="AN46" s="95">
        <f>COUNTIF(TT!$D$728:$D$737,TALLY!A46)</f>
        <v>0</v>
      </c>
      <c r="AO46" s="314">
        <f>COUNTIF(TT!$D$744:$D$753,TALLY!A46)</f>
        <v>1</v>
      </c>
      <c r="AP46" s="314">
        <f>COUNTIF(TT!$D$759:$D$774,TALLY!A46)</f>
        <v>0</v>
      </c>
      <c r="AQ46" s="314">
        <f>COUNTIF(TT!$D$781:$D$789,TALLY!A46)</f>
        <v>0</v>
      </c>
      <c r="AR46" s="97" t="s">
        <v>53</v>
      </c>
      <c r="AS46" s="4">
        <f>SUM($B46:$D46)</f>
        <v>0</v>
      </c>
      <c r="AT46" s="4">
        <f>SUM(E46:G46)</f>
        <v>1</v>
      </c>
      <c r="AU46" s="4">
        <f>SUM(H46:J46)</f>
        <v>1</v>
      </c>
      <c r="AV46" s="4">
        <f>SUM(K46:M46)</f>
        <v>1</v>
      </c>
      <c r="AW46" s="4">
        <f>SUM(N46:P46)</f>
        <v>0</v>
      </c>
      <c r="AX46" s="4">
        <f>SUM($Q46:$S46)</f>
        <v>0</v>
      </c>
      <c r="AY46" s="4">
        <f>SUM(T46:V46)</f>
        <v>1</v>
      </c>
      <c r="AZ46" s="4">
        <f>SUM(W46:Y46)</f>
        <v>0</v>
      </c>
      <c r="BA46" s="314">
        <f>SUM(Z46:AB46)</f>
        <v>1</v>
      </c>
      <c r="BB46" s="314">
        <f>SUM(AC46:AE46)</f>
        <v>0</v>
      </c>
      <c r="BC46" s="314">
        <f>SUM(AF46:AH46)</f>
        <v>1</v>
      </c>
      <c r="BD46" s="4">
        <f>SUM(AI46:AK46)</f>
        <v>1</v>
      </c>
      <c r="BE46" s="4">
        <f>SUM(AL46:AN46)</f>
        <v>0</v>
      </c>
      <c r="BF46" s="4">
        <f>SUM(AO46:AQ46)</f>
        <v>1</v>
      </c>
      <c r="BG46" s="92">
        <f>SUM(AS46:BF46)</f>
        <v>8</v>
      </c>
    </row>
    <row r="47" spans="1:59">
      <c r="A47" s="97" t="s">
        <v>52</v>
      </c>
      <c r="B47" s="95">
        <f>COUNTIF(TT!$D$6:$D$15,TALLY!A47)</f>
        <v>0</v>
      </c>
      <c r="C47" s="95">
        <f>COUNTIF(TT!$D$22:$D$32,TALLY!A47)</f>
        <v>0</v>
      </c>
      <c r="D47" s="95">
        <f>COUNTIF(TT!$D$39:$D$49,TALLY!A47)</f>
        <v>0</v>
      </c>
      <c r="E47" s="4">
        <f>COUNTIF(TT!$D$57:$D$67,TALLY!A47)</f>
        <v>0</v>
      </c>
      <c r="F47" s="4">
        <f>COUNTIF(TT!$D$74:$D$86,TALLY!A47)</f>
        <v>0</v>
      </c>
      <c r="G47" s="4">
        <f>COUNTIF(TT!$D$93:$D$107,TALLY!A47)</f>
        <v>0</v>
      </c>
      <c r="H47" s="95">
        <f>COUNTIF(TT!$D$113:$D$129,TALLY!A47)</f>
        <v>0</v>
      </c>
      <c r="I47" s="95">
        <f>COUNTIF(TT!$D$135:$D$155,TALLY!A47)</f>
        <v>1</v>
      </c>
      <c r="J47" s="95">
        <f>COUNTIF(TT!$D$162:$D$173,TALLY!A47)</f>
        <v>0</v>
      </c>
      <c r="K47" s="4">
        <f>COUNTIF(TT!$D$180:$D$199,TALLY!A47)</f>
        <v>0</v>
      </c>
      <c r="L47" s="4">
        <f>COUNTIF(TT!$D$207:$D$215,TALLY!A47)</f>
        <v>0</v>
      </c>
      <c r="M47" s="4">
        <f>COUNTIF(TT!$D$224:$D$231,TALLY!A47)</f>
        <v>1</v>
      </c>
      <c r="N47" s="345">
        <f>COUNTIF(TT!$D$237:$D$249,TALLY!A47)</f>
        <v>0</v>
      </c>
      <c r="O47" s="345">
        <f>COUNTIF(TT!$D$256:$D$264,TALLY!A47)</f>
        <v>0</v>
      </c>
      <c r="P47" s="345">
        <f>COUNTIF(TT!$D$271:$D$286,TALLY!A47)</f>
        <v>0</v>
      </c>
      <c r="Q47" s="4">
        <f>COUNTIF(TT!$D$293:$D$300,TALLY!A47)</f>
        <v>0</v>
      </c>
      <c r="R47" s="4">
        <f>COUNTIF(TT!$D$307:$D$319,TALLY!A47)</f>
        <v>0</v>
      </c>
      <c r="S47" s="4">
        <f>COUNTIF(TT!$D$326:$D$334,TALLY!A47)</f>
        <v>0</v>
      </c>
      <c r="T47" s="95">
        <f>COUNTIF(TT!$D$341:$D$350,TALLY!A47)</f>
        <v>1</v>
      </c>
      <c r="U47" s="95">
        <f>COUNTIF(TT!$D$357:$D$366,TALLY!A47)</f>
        <v>0</v>
      </c>
      <c r="V47" s="95">
        <f>COUNTIF(TT!$D$373:$D$383,TALLY!A47)</f>
        <v>0</v>
      </c>
      <c r="W47" s="4">
        <f>COUNTIF(TT!$D$390:$D$405,TALLY!A47)</f>
        <v>1</v>
      </c>
      <c r="X47" s="4">
        <f>COUNTIF(TT!$D$412:$D$423,TALLY!A47)</f>
        <v>0</v>
      </c>
      <c r="Y47" s="4">
        <f>COUNTIF(TT!$D$430:$D$438,TALLY!A47)</f>
        <v>0</v>
      </c>
      <c r="Z47" s="95">
        <f>COUNTIF(TT!$D$443:$D$457,TALLY!A47)</f>
        <v>1</v>
      </c>
      <c r="AA47" s="95">
        <f>COUNTIF(TT!$D$464:$D$474,TALLY!A47)</f>
        <v>0</v>
      </c>
      <c r="AB47" s="95">
        <f>COUNTIF(TT!$D$481:$D$494,TALLY!A47)</f>
        <v>0</v>
      </c>
      <c r="AC47" s="345">
        <f>COUNTIF(TT!$D$503:$D$522,TALLY!A47)</f>
        <v>0</v>
      </c>
      <c r="AD47" s="345">
        <f>COUNTIF(TT!$D$529:$D$541,TALLY!A47)</f>
        <v>0</v>
      </c>
      <c r="AE47" s="345">
        <f>COUNTIF(TT!$D$548:$D$561,TALLY!A47)</f>
        <v>1</v>
      </c>
      <c r="AF47" s="95">
        <f>COUNTIF(TT!$D$574:$D$584,TALLY!A47)</f>
        <v>0</v>
      </c>
      <c r="AG47" s="95">
        <f>COUNTIF(TT!$D$591:$D$601,TALLY!A47)</f>
        <v>0</v>
      </c>
      <c r="AH47" s="95">
        <f>COUNTIF(TT!$D$608:$D$619,TALLY!A47)</f>
        <v>0</v>
      </c>
      <c r="AI47" s="314">
        <f>COUNTIF(TT!$D$628:$D$647,TALLY!A47)</f>
        <v>0</v>
      </c>
      <c r="AJ47" s="314">
        <f>COUNTIF(TT!$D$654:$D$668,TALLY!A47)</f>
        <v>0</v>
      </c>
      <c r="AK47" s="314">
        <f>COUNTIF(TT!$D$675:$D$685,TALLY!A47)</f>
        <v>1</v>
      </c>
      <c r="AL47" s="95">
        <f>COUNTIF(TT!$D$692:$D$702,TALLY!A47)</f>
        <v>0</v>
      </c>
      <c r="AM47" s="95">
        <f>COUNTIF(TT!$D$709:$D$721,TALLY!A47)</f>
        <v>0</v>
      </c>
      <c r="AN47" s="95">
        <f>COUNTIF(TT!$D$728:$D$737,TALLY!A47)</f>
        <v>1</v>
      </c>
      <c r="AO47" s="314">
        <f>COUNTIF(TT!$D$744:$D$753,TALLY!A47)</f>
        <v>0</v>
      </c>
      <c r="AP47" s="314">
        <f>COUNTIF(TT!$D$759:$D$774,TALLY!A47)</f>
        <v>0</v>
      </c>
      <c r="AQ47" s="314">
        <f>COUNTIF(TT!$D$781:$D$789,TALLY!A47)</f>
        <v>0</v>
      </c>
      <c r="AR47" s="97" t="s">
        <v>52</v>
      </c>
      <c r="AS47" s="4">
        <f>SUM($B47:$D47)</f>
        <v>0</v>
      </c>
      <c r="AT47" s="4">
        <f>SUM(E47:G47)</f>
        <v>0</v>
      </c>
      <c r="AU47" s="4">
        <f>SUM(H47:J47)</f>
        <v>1</v>
      </c>
      <c r="AV47" s="4">
        <f>SUM(K47:M47)</f>
        <v>1</v>
      </c>
      <c r="AW47" s="4">
        <f>SUM(N47:P47)</f>
        <v>0</v>
      </c>
      <c r="AX47" s="4">
        <f>SUM($Q47:$S47)</f>
        <v>0</v>
      </c>
      <c r="AY47" s="4">
        <f>SUM(T47:V47)</f>
        <v>1</v>
      </c>
      <c r="AZ47" s="4">
        <f>SUM(W47:Y47)</f>
        <v>1</v>
      </c>
      <c r="BA47" s="314">
        <f>SUM(Z47:AB47)</f>
        <v>1</v>
      </c>
      <c r="BB47" s="314">
        <f>SUM(AC47:AE47)</f>
        <v>1</v>
      </c>
      <c r="BC47" s="314">
        <f>SUM(AF47:AH47)</f>
        <v>0</v>
      </c>
      <c r="BD47" s="4">
        <f>SUM(AI47:AK47)</f>
        <v>1</v>
      </c>
      <c r="BE47" s="4">
        <f>SUM(AL47:AN47)</f>
        <v>1</v>
      </c>
      <c r="BF47" s="4">
        <f>SUM(AO47:AQ47)</f>
        <v>0</v>
      </c>
      <c r="BG47" s="92">
        <f>SUM(AS47:BF47)</f>
        <v>8</v>
      </c>
    </row>
    <row r="48" spans="1:59">
      <c r="A48" s="97" t="s">
        <v>107</v>
      </c>
      <c r="B48" s="95">
        <f>COUNTIF(TT!$D$6:$D$15,TALLY!A48)</f>
        <v>0</v>
      </c>
      <c r="C48" s="95">
        <f>COUNTIF(TT!$D$22:$D$32,TALLY!A48)</f>
        <v>1</v>
      </c>
      <c r="D48" s="95">
        <f>COUNTIF(TT!$D$39:$D$49,TALLY!A48)</f>
        <v>0</v>
      </c>
      <c r="E48" s="4">
        <f>COUNTIF(TT!$D$57:$D$67,TALLY!A48)</f>
        <v>0</v>
      </c>
      <c r="F48" s="4">
        <f>COUNTIF(TT!$D$74:$D$86,TALLY!A48)</f>
        <v>0</v>
      </c>
      <c r="G48" s="4">
        <f>COUNTIF(TT!$D$93:$D$107,TALLY!A48)</f>
        <v>0</v>
      </c>
      <c r="H48" s="95">
        <f>COUNTIF(TT!$D$113:$D$129,TALLY!A48)</f>
        <v>1</v>
      </c>
      <c r="I48" s="95">
        <f>COUNTIF(TT!$D$135:$D$155,TALLY!A48)</f>
        <v>0</v>
      </c>
      <c r="J48" s="95">
        <f>COUNTIF(TT!$D$162:$D$173,TALLY!A48)</f>
        <v>0</v>
      </c>
      <c r="K48" s="4">
        <f>COUNTIF(TT!$D$180:$D$199,TALLY!A48)</f>
        <v>0</v>
      </c>
      <c r="L48" s="4">
        <f>COUNTIF(TT!$D$207:$D$215,TALLY!A48)</f>
        <v>0</v>
      </c>
      <c r="M48" s="4">
        <f>COUNTIF(TT!$D$224:$D$231,TALLY!A48)</f>
        <v>0</v>
      </c>
      <c r="N48" s="345">
        <f>COUNTIF(TT!$D$237:$D$249,TALLY!A48)</f>
        <v>1</v>
      </c>
      <c r="O48" s="345">
        <f>COUNTIF(TT!$D$256:$D$264,TALLY!A48)</f>
        <v>0</v>
      </c>
      <c r="P48" s="345">
        <f>COUNTIF(TT!$D$271:$D$286,TALLY!A48)</f>
        <v>0</v>
      </c>
      <c r="Q48" s="4">
        <f>COUNTIF(TT!$D$293:$D$300,TALLY!A48)</f>
        <v>0</v>
      </c>
      <c r="R48" s="4">
        <f>COUNTIF(TT!$D$307:$D$319,TALLY!A48)</f>
        <v>0</v>
      </c>
      <c r="S48" s="4">
        <f>COUNTIF(TT!$D$326:$D$334,TALLY!A48)</f>
        <v>0</v>
      </c>
      <c r="T48" s="95">
        <f>COUNTIF(TT!$D$341:$D$350,TALLY!A48)</f>
        <v>0</v>
      </c>
      <c r="U48" s="95">
        <f>COUNTIF(TT!$D$357:$D$366,TALLY!A48)</f>
        <v>0</v>
      </c>
      <c r="V48" s="95">
        <f>COUNTIF(TT!$D$373:$D$383,TALLY!A48)</f>
        <v>1</v>
      </c>
      <c r="W48" s="4">
        <f>COUNTIF(TT!$D$390:$D$405,TALLY!A48)</f>
        <v>0</v>
      </c>
      <c r="X48" s="4">
        <f>COUNTIF(TT!$D$412:$D$423,TALLY!A48)</f>
        <v>0</v>
      </c>
      <c r="Y48" s="4">
        <f>COUNTIF(TT!$D$430:$D$438,TALLY!A48)</f>
        <v>1</v>
      </c>
      <c r="Z48" s="95">
        <f>COUNTIF(TT!$D$443:$D$457,TALLY!A48)</f>
        <v>0</v>
      </c>
      <c r="AA48" s="95">
        <f>COUNTIF(TT!$D$464:$D$474,TALLY!A48)</f>
        <v>0</v>
      </c>
      <c r="AB48" s="95">
        <f>COUNTIF(TT!$D$481:$D$494,TALLY!A48)</f>
        <v>0</v>
      </c>
      <c r="AC48" s="345">
        <f>COUNTIF(TT!$D$503:$D$522,TALLY!A48)</f>
        <v>1</v>
      </c>
      <c r="AD48" s="345">
        <f>COUNTIF(TT!$D$529:$D$541,TALLY!A48)</f>
        <v>0</v>
      </c>
      <c r="AE48" s="345">
        <f>COUNTIF(TT!$D$548:$D$561,TALLY!A48)</f>
        <v>0</v>
      </c>
      <c r="AF48" s="95">
        <f>COUNTIF(TT!$D$574:$D$584,TALLY!A48)</f>
        <v>1</v>
      </c>
      <c r="AG48" s="95">
        <f>COUNTIF(TT!$D$591:$D$601,TALLY!A48)</f>
        <v>0</v>
      </c>
      <c r="AH48" s="95">
        <f>COUNTIF(TT!$D$608:$D$619,TALLY!A48)</f>
        <v>0</v>
      </c>
      <c r="AI48" s="314">
        <f>COUNTIF(TT!$D$628:$D$647,TALLY!A48)</f>
        <v>0</v>
      </c>
      <c r="AJ48" s="314">
        <f>COUNTIF(TT!$D$654:$D$668,TALLY!A48)</f>
        <v>1</v>
      </c>
      <c r="AK48" s="314">
        <f>COUNTIF(TT!$D$675:$D$685,TALLY!A48)</f>
        <v>0</v>
      </c>
      <c r="AL48" s="95">
        <f>COUNTIF(TT!$D$692:$D$702,TALLY!A48)</f>
        <v>0</v>
      </c>
      <c r="AM48" s="95">
        <f>COUNTIF(TT!$D$709:$D$721,TALLY!A48)</f>
        <v>0</v>
      </c>
      <c r="AN48" s="95">
        <f>COUNTIF(TT!$D$728:$D$737,TALLY!A48)</f>
        <v>0</v>
      </c>
      <c r="AO48" s="314">
        <f>COUNTIF(TT!$D$744:$D$753,TALLY!A48)</f>
        <v>0</v>
      </c>
      <c r="AP48" s="314">
        <f>COUNTIF(TT!$D$759:$D$774,TALLY!A48)</f>
        <v>1</v>
      </c>
      <c r="AQ48" s="314">
        <f>COUNTIF(TT!$D$781:$D$789,TALLY!A48)</f>
        <v>0</v>
      </c>
      <c r="AR48" s="97" t="s">
        <v>107</v>
      </c>
      <c r="AS48" s="4">
        <f>SUM($B48:$D48)</f>
        <v>1</v>
      </c>
      <c r="AT48" s="4">
        <f>SUM(E48:G48)</f>
        <v>0</v>
      </c>
      <c r="AU48" s="4">
        <f>SUM(H48:J48)</f>
        <v>1</v>
      </c>
      <c r="AV48" s="4">
        <f>SUM(K48:M48)</f>
        <v>0</v>
      </c>
      <c r="AW48" s="4">
        <f>SUM(N48:P48)</f>
        <v>1</v>
      </c>
      <c r="AX48" s="4">
        <f>SUM($Q48:$S48)</f>
        <v>0</v>
      </c>
      <c r="AY48" s="4">
        <f>SUM(T48:V48)</f>
        <v>1</v>
      </c>
      <c r="AZ48" s="4">
        <f>SUM(W48:Y48)</f>
        <v>1</v>
      </c>
      <c r="BA48" s="314">
        <f>SUM(Z48:AB48)</f>
        <v>0</v>
      </c>
      <c r="BB48" s="314">
        <f>SUM(AC48:AE48)</f>
        <v>1</v>
      </c>
      <c r="BC48" s="314">
        <f>SUM(AF48:AH48)</f>
        <v>1</v>
      </c>
      <c r="BD48" s="4">
        <f>SUM(AI48:AK48)</f>
        <v>1</v>
      </c>
      <c r="BE48" s="4">
        <f>SUM(AL48:AN48)</f>
        <v>0</v>
      </c>
      <c r="BF48" s="4">
        <f>SUM(AO48:AQ48)</f>
        <v>1</v>
      </c>
      <c r="BG48" s="92">
        <f>SUM(AS48:BF48)</f>
        <v>9</v>
      </c>
    </row>
    <row r="49" spans="1:59">
      <c r="A49" s="97" t="s">
        <v>108</v>
      </c>
      <c r="B49" s="95">
        <f>COUNTIF(TT!$D$6:$D$15,TALLY!A49)</f>
        <v>0</v>
      </c>
      <c r="C49" s="95">
        <f>COUNTIF(TT!$D$22:$D$32,TALLY!A49)</f>
        <v>1</v>
      </c>
      <c r="D49" s="95">
        <f>COUNTIF(TT!$D$39:$D$49,TALLY!A49)</f>
        <v>0</v>
      </c>
      <c r="E49" s="4">
        <f>COUNTIF(TT!$D$57:$D$67,TALLY!A49)</f>
        <v>0</v>
      </c>
      <c r="F49" s="4">
        <f>COUNTIF(TT!$D$74:$D$86,TALLY!A49)</f>
        <v>0</v>
      </c>
      <c r="G49" s="4">
        <f>COUNTIF(TT!$D$93:$D$107,TALLY!A49)</f>
        <v>1</v>
      </c>
      <c r="H49" s="95">
        <f>COUNTIF(TT!$D$113:$D$129,TALLY!A49)</f>
        <v>0</v>
      </c>
      <c r="I49" s="95">
        <f>COUNTIF(TT!$D$135:$D$155,TALLY!A49)</f>
        <v>1</v>
      </c>
      <c r="J49" s="95">
        <f>COUNTIF(TT!$D$162:$D$173,TALLY!A49)</f>
        <v>0</v>
      </c>
      <c r="K49" s="4">
        <f>COUNTIF(TT!$D$180:$D$199,TALLY!A49)</f>
        <v>0</v>
      </c>
      <c r="L49" s="4">
        <f>COUNTIF(TT!$D$207:$D$215,TALLY!A49)</f>
        <v>0</v>
      </c>
      <c r="M49" s="4">
        <f>COUNTIF(TT!$D$224:$D$231,TALLY!A49)</f>
        <v>0</v>
      </c>
      <c r="N49" s="345">
        <f>COUNTIF(TT!$D$237:$D$249,TALLY!A49)</f>
        <v>0</v>
      </c>
      <c r="O49" s="345">
        <f>COUNTIF(TT!$D$256:$D$264,TALLY!A49)</f>
        <v>0</v>
      </c>
      <c r="P49" s="345">
        <f>COUNTIF(TT!$D$271:$D$286,TALLY!A49)</f>
        <v>0</v>
      </c>
      <c r="Q49" s="4">
        <f>COUNTIF(TT!$D$293:$D$300,TALLY!A49)</f>
        <v>1</v>
      </c>
      <c r="R49" s="4">
        <f>COUNTIF(TT!$D$307:$D$319,TALLY!A49)</f>
        <v>0</v>
      </c>
      <c r="S49" s="4">
        <f>COUNTIF(TT!$D$326:$D$334,TALLY!A49)</f>
        <v>0</v>
      </c>
      <c r="T49" s="95">
        <f>COUNTIF(TT!$D$341:$D$350,TALLY!A49)</f>
        <v>0</v>
      </c>
      <c r="U49" s="95">
        <f>COUNTIF(TT!$D$357:$D$366,TALLY!A49)</f>
        <v>0</v>
      </c>
      <c r="V49" s="95">
        <f>COUNTIF(TT!$D$373:$D$383,TALLY!A49)</f>
        <v>0</v>
      </c>
      <c r="W49" s="4">
        <f>COUNTIF(TT!$D$390:$D$405,TALLY!A49)</f>
        <v>0</v>
      </c>
      <c r="X49" s="4">
        <f>COUNTIF(TT!$D$412:$D$423,TALLY!A49)</f>
        <v>0</v>
      </c>
      <c r="Y49" s="4">
        <f>COUNTIF(TT!$D$430:$D$438,TALLY!A49)</f>
        <v>0</v>
      </c>
      <c r="Z49" s="95">
        <f>COUNTIF(TT!$D$443:$D$457,TALLY!A49)</f>
        <v>1</v>
      </c>
      <c r="AA49" s="95">
        <f>COUNTIF(TT!$D$464:$D$474,TALLY!A49)</f>
        <v>0</v>
      </c>
      <c r="AB49" s="95">
        <f>COUNTIF(TT!$D$481:$D$494,TALLY!A49)</f>
        <v>0</v>
      </c>
      <c r="AC49" s="345">
        <f>COUNTIF(TT!$D$503:$D$522,TALLY!A49)</f>
        <v>1</v>
      </c>
      <c r="AD49" s="345">
        <f>COUNTIF(TT!$D$529:$D$541,TALLY!A49)</f>
        <v>0</v>
      </c>
      <c r="AE49" s="345">
        <f>COUNTIF(TT!$D$548:$D$561,TALLY!A49)</f>
        <v>0</v>
      </c>
      <c r="AF49" s="95">
        <f>COUNTIF(TT!$D$574:$D$584,TALLY!A49)</f>
        <v>1</v>
      </c>
      <c r="AG49" s="95">
        <f>COUNTIF(TT!$D$591:$D$601,TALLY!A49)</f>
        <v>0</v>
      </c>
      <c r="AH49" s="95">
        <f>COUNTIF(TT!$D$608:$D$619,TALLY!A49)</f>
        <v>0</v>
      </c>
      <c r="AI49" s="314">
        <f>COUNTIF(TT!$D$628:$D$647,TALLY!A49)</f>
        <v>0</v>
      </c>
      <c r="AJ49" s="314">
        <f>COUNTIF(TT!$D$654:$D$668,TALLY!A49)</f>
        <v>0</v>
      </c>
      <c r="AK49" s="314">
        <f>COUNTIF(TT!$D$675:$D$685,TALLY!A49)</f>
        <v>0</v>
      </c>
      <c r="AL49" s="95">
        <f>COUNTIF(TT!$D$692:$D$702,TALLY!A49)</f>
        <v>0</v>
      </c>
      <c r="AM49" s="95">
        <f>COUNTIF(TT!$D$709:$D$721,TALLY!A49)</f>
        <v>1</v>
      </c>
      <c r="AN49" s="95">
        <f>COUNTIF(TT!$D$728:$D$737,TALLY!A49)</f>
        <v>0</v>
      </c>
      <c r="AO49" s="314">
        <f>COUNTIF(TT!$D$744:$D$753,TALLY!A49)</f>
        <v>0</v>
      </c>
      <c r="AP49" s="314">
        <f>COUNTIF(TT!$D$759:$D$774,TALLY!A49)</f>
        <v>0</v>
      </c>
      <c r="AQ49" s="314">
        <f>COUNTIF(TT!$D$781:$D$789,TALLY!A49)</f>
        <v>0</v>
      </c>
      <c r="AR49" s="97" t="s">
        <v>108</v>
      </c>
      <c r="AS49" s="4">
        <f>SUM($B49:$D49)</f>
        <v>1</v>
      </c>
      <c r="AT49" s="4">
        <f>SUM(E49:G49)</f>
        <v>1</v>
      </c>
      <c r="AU49" s="4">
        <f>SUM(H49:J49)</f>
        <v>1</v>
      </c>
      <c r="AV49" s="4">
        <f>SUM(K49:M49)</f>
        <v>0</v>
      </c>
      <c r="AW49" s="4">
        <f>SUM(N49:P49)</f>
        <v>0</v>
      </c>
      <c r="AX49" s="4">
        <f>SUM($Q49:$S49)</f>
        <v>1</v>
      </c>
      <c r="AY49" s="4">
        <f>SUM(T49:V49)</f>
        <v>0</v>
      </c>
      <c r="AZ49" s="4">
        <f>SUM(W49:Y49)</f>
        <v>0</v>
      </c>
      <c r="BA49" s="314">
        <f>SUM(Z49:AB49)</f>
        <v>1</v>
      </c>
      <c r="BB49" s="314">
        <f>SUM(AC49:AE49)</f>
        <v>1</v>
      </c>
      <c r="BC49" s="314">
        <f>SUM(AF49:AH49)</f>
        <v>1</v>
      </c>
      <c r="BD49" s="4">
        <f>SUM(AI49:AK49)</f>
        <v>0</v>
      </c>
      <c r="BE49" s="4">
        <f>SUM(AL49:AN49)</f>
        <v>1</v>
      </c>
      <c r="BF49" s="4">
        <f>SUM(AO49:AQ49)</f>
        <v>0</v>
      </c>
      <c r="BG49" s="92">
        <f>SUM(AS49:BF49)</f>
        <v>8</v>
      </c>
    </row>
    <row r="50" spans="1:59">
      <c r="A50" s="97" t="s">
        <v>109</v>
      </c>
      <c r="B50" s="95">
        <f>COUNTIF(TT!$D$6:$D$15,TALLY!A50)</f>
        <v>0</v>
      </c>
      <c r="C50" s="95">
        <f>COUNTIF(TT!$D$22:$D$32,TALLY!A50)</f>
        <v>0</v>
      </c>
      <c r="D50" s="95">
        <f>COUNTIF(TT!$D$39:$D$49,TALLY!A50)</f>
        <v>0</v>
      </c>
      <c r="E50" s="4">
        <f>COUNTIF(TT!$D$57:$D$67,TALLY!A50)</f>
        <v>0</v>
      </c>
      <c r="F50" s="4">
        <f>COUNTIF(TT!$D$74:$D$86,TALLY!A50)</f>
        <v>1</v>
      </c>
      <c r="G50" s="4">
        <f>COUNTIF(TT!$D$93:$D$107,TALLY!A50)</f>
        <v>0</v>
      </c>
      <c r="H50" s="95">
        <f>COUNTIF(TT!$D$113:$D$129,TALLY!A50)</f>
        <v>0</v>
      </c>
      <c r="I50" s="95">
        <f>COUNTIF(TT!$D$135:$D$155,TALLY!A50)</f>
        <v>1</v>
      </c>
      <c r="J50" s="95">
        <f>COUNTIF(TT!$D$162:$D$173,TALLY!A50)</f>
        <v>0</v>
      </c>
      <c r="K50" s="4">
        <f>COUNTIF(TT!$D$180:$D$199,TALLY!A50)</f>
        <v>1</v>
      </c>
      <c r="L50" s="4">
        <f>COUNTIF(TT!$D$207:$D$215,TALLY!A50)</f>
        <v>0</v>
      </c>
      <c r="M50" s="4">
        <f>COUNTIF(TT!$D$224:$D$231,TALLY!A50)</f>
        <v>0</v>
      </c>
      <c r="N50" s="345">
        <f>COUNTIF(TT!$D$237:$D$249,TALLY!A50)</f>
        <v>0</v>
      </c>
      <c r="O50" s="345">
        <f>COUNTIF(TT!$D$256:$D$264,TALLY!A50)</f>
        <v>1</v>
      </c>
      <c r="P50" s="345">
        <f>COUNTIF(TT!$D$271:$D$286,TALLY!A50)</f>
        <v>0</v>
      </c>
      <c r="Q50" s="4">
        <f>COUNTIF(TT!$D$293:$D$300,TALLY!A50)</f>
        <v>0</v>
      </c>
      <c r="R50" s="4">
        <f>COUNTIF(TT!$D$307:$D$319,TALLY!A50)</f>
        <v>0</v>
      </c>
      <c r="S50" s="4">
        <f>COUNTIF(TT!$D$326:$D$334,TALLY!A50)</f>
        <v>0</v>
      </c>
      <c r="T50" s="95">
        <f>COUNTIF(TT!$D$341:$D$350,TALLY!A50)</f>
        <v>1</v>
      </c>
      <c r="U50" s="95">
        <f>COUNTIF(TT!$D$357:$D$366,TALLY!A50)</f>
        <v>0</v>
      </c>
      <c r="V50" s="95">
        <f>COUNTIF(TT!$D$373:$D$383,TALLY!A50)</f>
        <v>0</v>
      </c>
      <c r="W50" s="4">
        <f>COUNTIF(TT!$D$390:$D$405,TALLY!A50)</f>
        <v>0</v>
      </c>
      <c r="X50" s="4">
        <f>COUNTIF(TT!$D$412:$D$423,TALLY!A50)</f>
        <v>0</v>
      </c>
      <c r="Y50" s="4">
        <f>COUNTIF(TT!$D$430:$D$438,TALLY!A50)</f>
        <v>0</v>
      </c>
      <c r="Z50" s="95">
        <f>COUNTIF(TT!$D$443:$D$457,TALLY!A50)</f>
        <v>0</v>
      </c>
      <c r="AA50" s="95">
        <f>COUNTIF(TT!$D$464:$D$474,TALLY!A50)</f>
        <v>1</v>
      </c>
      <c r="AB50" s="95">
        <f>COUNTIF(TT!$D$481:$D$494,TALLY!A50)</f>
        <v>0</v>
      </c>
      <c r="AC50" s="345">
        <f>COUNTIF(TT!$D$503:$D$522,TALLY!A50)</f>
        <v>0</v>
      </c>
      <c r="AD50" s="345">
        <f>COUNTIF(TT!$D$529:$D$541,TALLY!A50)</f>
        <v>0</v>
      </c>
      <c r="AE50" s="345">
        <f>COUNTIF(TT!$D$548:$D$561,TALLY!A50)</f>
        <v>1</v>
      </c>
      <c r="AF50" s="95">
        <f>COUNTIF(TT!$D$574:$D$584,TALLY!A50)</f>
        <v>0</v>
      </c>
      <c r="AG50" s="95">
        <f>COUNTIF(TT!$D$591:$D$601,TALLY!A50)</f>
        <v>0</v>
      </c>
      <c r="AH50" s="95">
        <f>COUNTIF(TT!$D$608:$D$619,TALLY!A50)</f>
        <v>0</v>
      </c>
      <c r="AI50" s="314">
        <f>COUNTIF(TT!$D$628:$D$647,TALLY!A50)</f>
        <v>1</v>
      </c>
      <c r="AJ50" s="314">
        <f>COUNTIF(TT!$D$654:$D$668,TALLY!A50)</f>
        <v>0</v>
      </c>
      <c r="AK50" s="314">
        <f>COUNTIF(TT!$D$675:$D$685,TALLY!A50)</f>
        <v>0</v>
      </c>
      <c r="AL50" s="95">
        <f>COUNTIF(TT!$D$692:$D$702,TALLY!A50)</f>
        <v>0</v>
      </c>
      <c r="AM50" s="95">
        <f>COUNTIF(TT!$D$709:$D$721,TALLY!A50)</f>
        <v>0</v>
      </c>
      <c r="AN50" s="95">
        <f>COUNTIF(TT!$D$728:$D$737,TALLY!A50)</f>
        <v>1</v>
      </c>
      <c r="AO50" s="314">
        <f>COUNTIF(TT!$D$744:$D$753,TALLY!A50)</f>
        <v>0</v>
      </c>
      <c r="AP50" s="314">
        <f>COUNTIF(TT!$D$759:$D$774,TALLY!A50)</f>
        <v>0</v>
      </c>
      <c r="AQ50" s="314">
        <f>COUNTIF(TT!$D$781:$D$789,TALLY!A50)</f>
        <v>0</v>
      </c>
      <c r="AR50" s="97" t="s">
        <v>109</v>
      </c>
      <c r="AS50" s="4">
        <f>SUM($B50:$D50)</f>
        <v>0</v>
      </c>
      <c r="AT50" s="4">
        <f>SUM(E50:G50)</f>
        <v>1</v>
      </c>
      <c r="AU50" s="4">
        <f>SUM(H50:J50)</f>
        <v>1</v>
      </c>
      <c r="AV50" s="4">
        <f>SUM(K50:M50)</f>
        <v>1</v>
      </c>
      <c r="AW50" s="4">
        <f>SUM(N50:P50)</f>
        <v>1</v>
      </c>
      <c r="AX50" s="4">
        <f>SUM($Q50:$S50)</f>
        <v>0</v>
      </c>
      <c r="AY50" s="4">
        <f>SUM(T50:V50)</f>
        <v>1</v>
      </c>
      <c r="AZ50" s="4">
        <f>SUM(W50:Y50)</f>
        <v>0</v>
      </c>
      <c r="BA50" s="314">
        <f>SUM(Z50:AB50)</f>
        <v>1</v>
      </c>
      <c r="BB50" s="314">
        <f>SUM(AC50:AE50)</f>
        <v>1</v>
      </c>
      <c r="BC50" s="314">
        <f>SUM(AF50:AH50)</f>
        <v>0</v>
      </c>
      <c r="BD50" s="4">
        <f>SUM(AI50:AK50)</f>
        <v>1</v>
      </c>
      <c r="BE50" s="4">
        <f>SUM(AL50:AN50)</f>
        <v>1</v>
      </c>
      <c r="BF50" s="4">
        <f>SUM(AO50:AQ50)</f>
        <v>0</v>
      </c>
      <c r="BG50" s="92">
        <f>SUM(AS50:BF50)</f>
        <v>9</v>
      </c>
    </row>
    <row r="51" spans="1:59">
      <c r="A51" s="97" t="s">
        <v>49</v>
      </c>
      <c r="B51" s="95">
        <f>COUNTIF(TT!$D$6:$D$15,TALLY!A51)</f>
        <v>0</v>
      </c>
      <c r="C51" s="95">
        <f>COUNTIF(TT!$D$22:$D$32,TALLY!A51)</f>
        <v>0</v>
      </c>
      <c r="D51" s="95">
        <f>COUNTIF(TT!$D$39:$D$49,TALLY!A51)</f>
        <v>0</v>
      </c>
      <c r="E51" s="4">
        <f>COUNTIF(TT!$D$57:$D$67,TALLY!A51)</f>
        <v>1</v>
      </c>
      <c r="F51" s="4">
        <f>COUNTIF(TT!$D$74:$D$86,TALLY!A51)</f>
        <v>0</v>
      </c>
      <c r="G51" s="4">
        <f>COUNTIF(TT!$D$93:$D$107,TALLY!A51)</f>
        <v>0</v>
      </c>
      <c r="H51" s="95">
        <f>COUNTIF(TT!$D$113:$D$129,TALLY!A51)</f>
        <v>1</v>
      </c>
      <c r="I51" s="95">
        <f>COUNTIF(TT!$D$135:$D$155,TALLY!A51)</f>
        <v>0</v>
      </c>
      <c r="J51" s="95">
        <f>COUNTIF(TT!$D$162:$D$173,TALLY!A51)</f>
        <v>0</v>
      </c>
      <c r="K51" s="4">
        <f>COUNTIF(TT!$D$180:$D$199,TALLY!A51)</f>
        <v>0</v>
      </c>
      <c r="L51" s="4">
        <f>COUNTIF(TT!$D$207:$D$215,TALLY!A51)</f>
        <v>0</v>
      </c>
      <c r="M51" s="4">
        <f>COUNTIF(TT!$D$224:$D$231,TALLY!A51)</f>
        <v>0</v>
      </c>
      <c r="N51" s="345">
        <f>COUNTIF(TT!$D$237:$D$249,TALLY!A51)</f>
        <v>0</v>
      </c>
      <c r="O51" s="345">
        <f>COUNTIF(TT!$D$256:$D$264,TALLY!A51)</f>
        <v>0</v>
      </c>
      <c r="P51" s="345">
        <f>COUNTIF(TT!$D$271:$D$286,TALLY!A51)</f>
        <v>1</v>
      </c>
      <c r="Q51" s="4">
        <f>COUNTIF(TT!$D$293:$D$300,TALLY!A51)</f>
        <v>0</v>
      </c>
      <c r="R51" s="4">
        <f>COUNTIF(TT!$D$307:$D$319,TALLY!A51)</f>
        <v>0</v>
      </c>
      <c r="S51" s="4">
        <f>COUNTIF(TT!$D$326:$D$334,TALLY!A51)</f>
        <v>0</v>
      </c>
      <c r="T51" s="95">
        <f>COUNTIF(TT!$D$341:$D$350,TALLY!A51)</f>
        <v>0</v>
      </c>
      <c r="U51" s="95">
        <f>COUNTIF(TT!$D$357:$D$366,TALLY!A51)</f>
        <v>0</v>
      </c>
      <c r="V51" s="95">
        <f>COUNTIF(TT!$D$373:$D$383,TALLY!A51)</f>
        <v>1</v>
      </c>
      <c r="W51" s="4">
        <f>COUNTIF(TT!$D$390:$D$405,TALLY!A51)</f>
        <v>0</v>
      </c>
      <c r="X51" s="4">
        <f>COUNTIF(TT!$D$412:$D$423,TALLY!A51)</f>
        <v>0</v>
      </c>
      <c r="Y51" s="4">
        <f>COUNTIF(TT!$D$430:$D$438,TALLY!A51)</f>
        <v>0</v>
      </c>
      <c r="Z51" s="95">
        <f>COUNTIF(TT!$D$443:$D$457,TALLY!A51)</f>
        <v>0</v>
      </c>
      <c r="AA51" s="95">
        <f>COUNTIF(TT!$D$464:$D$474,TALLY!A51)</f>
        <v>1</v>
      </c>
      <c r="AB51" s="95">
        <f>COUNTIF(TT!$D$481:$D$494,TALLY!A51)</f>
        <v>0</v>
      </c>
      <c r="AC51" s="345">
        <f>COUNTIF(TT!$D$503:$D$522,TALLY!A51)</f>
        <v>1</v>
      </c>
      <c r="AD51" s="345">
        <f>COUNTIF(TT!$D$529:$D$541,TALLY!A51)</f>
        <v>0</v>
      </c>
      <c r="AE51" s="345">
        <f>COUNTIF(TT!$D$548:$D$561,TALLY!A51)</f>
        <v>0</v>
      </c>
      <c r="AF51" s="95">
        <f>COUNTIF(TT!$D$574:$D$584,TALLY!A51)</f>
        <v>0</v>
      </c>
      <c r="AG51" s="95">
        <f>COUNTIF(TT!$D$591:$D$601,TALLY!A51)</f>
        <v>0</v>
      </c>
      <c r="AH51" s="95">
        <f>COUNTIF(TT!$D$608:$D$619,TALLY!A51)</f>
        <v>0</v>
      </c>
      <c r="AI51" s="314">
        <f>COUNTIF(TT!$D$628:$D$647,TALLY!A51)</f>
        <v>1</v>
      </c>
      <c r="AJ51" s="314">
        <f>COUNTIF(TT!$D$654:$D$668,TALLY!A51)</f>
        <v>0</v>
      </c>
      <c r="AK51" s="314">
        <f>COUNTIF(TT!$D$675:$D$685,TALLY!A51)</f>
        <v>0</v>
      </c>
      <c r="AL51" s="95">
        <f>COUNTIF(TT!$D$692:$D$702,TALLY!A51)</f>
        <v>0</v>
      </c>
      <c r="AM51" s="95">
        <f>COUNTIF(TT!$D$709:$D$721,TALLY!A51)</f>
        <v>0</v>
      </c>
      <c r="AN51" s="95">
        <f>COUNTIF(TT!$D$728:$D$737,TALLY!A51)</f>
        <v>1</v>
      </c>
      <c r="AO51" s="314">
        <f>COUNTIF(TT!$D$744:$D$753,TALLY!A51)</f>
        <v>0</v>
      </c>
      <c r="AP51" s="314">
        <f>COUNTIF(TT!$D$759:$D$774,TALLY!A51)</f>
        <v>0</v>
      </c>
      <c r="AQ51" s="314">
        <f>COUNTIF(TT!$D$781:$D$789,TALLY!A51)</f>
        <v>0</v>
      </c>
      <c r="AR51" s="97" t="s">
        <v>49</v>
      </c>
      <c r="AS51" s="4">
        <f>SUM($B51:$D51)</f>
        <v>0</v>
      </c>
      <c r="AT51" s="4">
        <f>SUM(E51:G51)</f>
        <v>1</v>
      </c>
      <c r="AU51" s="4">
        <f>SUM(H51:J51)</f>
        <v>1</v>
      </c>
      <c r="AV51" s="4">
        <f>SUM(K51:M51)</f>
        <v>0</v>
      </c>
      <c r="AW51" s="4">
        <f>SUM(N51:P51)</f>
        <v>1</v>
      </c>
      <c r="AX51" s="4">
        <f>SUM($Q51:$S51)</f>
        <v>0</v>
      </c>
      <c r="AY51" s="4">
        <f>SUM(T51:V51)</f>
        <v>1</v>
      </c>
      <c r="AZ51" s="4">
        <f>SUM(W51:Y51)</f>
        <v>0</v>
      </c>
      <c r="BA51" s="314">
        <f>SUM(Z51:AB51)</f>
        <v>1</v>
      </c>
      <c r="BB51" s="314">
        <f>SUM(AC51:AE51)</f>
        <v>1</v>
      </c>
      <c r="BC51" s="314">
        <f>SUM(AF51:AH51)</f>
        <v>0</v>
      </c>
      <c r="BD51" s="4">
        <f>SUM(AI51:AK51)</f>
        <v>1</v>
      </c>
      <c r="BE51" s="4">
        <f>SUM(AL51:AN51)</f>
        <v>1</v>
      </c>
      <c r="BF51" s="4">
        <f>SUM(AO51:AQ51)</f>
        <v>0</v>
      </c>
      <c r="BG51" s="92">
        <f>SUM(AS51:BF51)</f>
        <v>8</v>
      </c>
    </row>
    <row r="52" spans="1:59">
      <c r="A52" s="97" t="s">
        <v>110</v>
      </c>
      <c r="B52" s="95">
        <f>COUNTIF(TT!$D$6:$D$15,TALLY!A52)</f>
        <v>0</v>
      </c>
      <c r="C52" s="95">
        <f>COUNTIF(TT!$D$22:$D$32,TALLY!A52)</f>
        <v>0</v>
      </c>
      <c r="D52" s="95">
        <f>COUNTIF(TT!$D$39:$D$49,TALLY!A52)</f>
        <v>0</v>
      </c>
      <c r="E52" s="4">
        <f>COUNTIF(TT!$D$57:$D$67,TALLY!A52)</f>
        <v>0</v>
      </c>
      <c r="F52" s="4">
        <f>COUNTIF(TT!$D$74:$D$86,TALLY!A52)</f>
        <v>0</v>
      </c>
      <c r="G52" s="4">
        <f>COUNTIF(TT!$D$93:$D$107,TALLY!A52)</f>
        <v>1</v>
      </c>
      <c r="H52" s="95">
        <f>COUNTIF(TT!$D$113:$D$129,TALLY!A52)</f>
        <v>0</v>
      </c>
      <c r="I52" s="95">
        <f>COUNTIF(TT!$D$135:$D$155,TALLY!A52)</f>
        <v>0</v>
      </c>
      <c r="J52" s="95">
        <f>COUNTIF(TT!$D$162:$D$173,TALLY!A52)</f>
        <v>1</v>
      </c>
      <c r="K52" s="4">
        <f>COUNTIF(TT!$D$180:$D$199,TALLY!A52)</f>
        <v>0</v>
      </c>
      <c r="L52" s="4">
        <f>COUNTIF(TT!$D$207:$D$215,TALLY!A52)</f>
        <v>0</v>
      </c>
      <c r="M52" s="4">
        <f>COUNTIF(TT!$D$224:$D$231,TALLY!A52)</f>
        <v>0</v>
      </c>
      <c r="N52" s="345">
        <f>COUNTIF(TT!$D$237:$D$249,TALLY!A52)</f>
        <v>0</v>
      </c>
      <c r="O52" s="345">
        <f>COUNTIF(TT!$D$256:$D$264,TALLY!A52)</f>
        <v>0</v>
      </c>
      <c r="P52" s="345">
        <f>COUNTIF(TT!$D$271:$D$286,TALLY!A52)</f>
        <v>1</v>
      </c>
      <c r="Q52" s="4">
        <f>COUNTIF(TT!$D$293:$D$300,TALLY!A52)</f>
        <v>0</v>
      </c>
      <c r="R52" s="4">
        <f>COUNTIF(TT!$D$307:$D$319,TALLY!A52)</f>
        <v>0</v>
      </c>
      <c r="S52" s="4">
        <f>COUNTIF(TT!$D$326:$D$334,TALLY!A52)</f>
        <v>0</v>
      </c>
      <c r="T52" s="95">
        <f>COUNTIF(TT!$D$341:$D$350,TALLY!A52)</f>
        <v>1</v>
      </c>
      <c r="U52" s="95">
        <f>COUNTIF(TT!$D$357:$D$366,TALLY!A52)</f>
        <v>0</v>
      </c>
      <c r="V52" s="95">
        <f>COUNTIF(TT!$D$373:$D$383,TALLY!A52)</f>
        <v>0</v>
      </c>
      <c r="W52" s="4">
        <f>COUNTIF(TT!$D$390:$D$405,TALLY!A52)</f>
        <v>0</v>
      </c>
      <c r="X52" s="4">
        <f>COUNTIF(TT!$D$412:$D$423,TALLY!A52)</f>
        <v>0</v>
      </c>
      <c r="Y52" s="4">
        <f>COUNTIF(TT!$D$430:$D$438,TALLY!A52)</f>
        <v>0</v>
      </c>
      <c r="Z52" s="95">
        <f>COUNTIF(TT!$D$443:$D$457,TALLY!A52)</f>
        <v>0</v>
      </c>
      <c r="AA52" s="95">
        <f>COUNTIF(TT!$D$464:$D$474,TALLY!A52)</f>
        <v>0</v>
      </c>
      <c r="AB52" s="95">
        <f>COUNTIF(TT!$D$481:$D$494,TALLY!A52)</f>
        <v>1</v>
      </c>
      <c r="AC52" s="345">
        <f>COUNTIF(TT!$D$503:$D$522,TALLY!A52)</f>
        <v>0</v>
      </c>
      <c r="AD52" s="345">
        <f>COUNTIF(TT!$D$529:$D$541,TALLY!A52)</f>
        <v>0</v>
      </c>
      <c r="AE52" s="345">
        <f>COUNTIF(TT!$D$548:$D$561,TALLY!A52)</f>
        <v>1</v>
      </c>
      <c r="AF52" s="95">
        <f>COUNTIF(TT!$D$574:$D$584,TALLY!A52)</f>
        <v>0</v>
      </c>
      <c r="AG52" s="95">
        <f>COUNTIF(TT!$D$591:$D$601,TALLY!A52)</f>
        <v>1</v>
      </c>
      <c r="AH52" s="95">
        <f>COUNTIF(TT!$D$608:$D$619,TALLY!A52)</f>
        <v>0</v>
      </c>
      <c r="AI52" s="314">
        <f>COUNTIF(TT!$D$628:$D$647,TALLY!A52)</f>
        <v>0</v>
      </c>
      <c r="AJ52" s="314">
        <f>COUNTIF(TT!$D$654:$D$668,TALLY!A52)</f>
        <v>0</v>
      </c>
      <c r="AK52" s="314">
        <f>COUNTIF(TT!$D$675:$D$685,TALLY!A52)</f>
        <v>0</v>
      </c>
      <c r="AL52" s="95">
        <f>COUNTIF(TT!$D$692:$D$702,TALLY!A52)</f>
        <v>0</v>
      </c>
      <c r="AM52" s="95">
        <f>COUNTIF(TT!$D$709:$D$721,TALLY!A52)</f>
        <v>0</v>
      </c>
      <c r="AN52" s="95">
        <f>COUNTIF(TT!$D$728:$D$737,TALLY!A52)</f>
        <v>0</v>
      </c>
      <c r="AO52" s="314">
        <f>COUNTIF(TT!$D$744:$D$753,TALLY!A52)</f>
        <v>0</v>
      </c>
      <c r="AP52" s="314">
        <f>COUNTIF(TT!$D$759:$D$774,TALLY!A52)</f>
        <v>0</v>
      </c>
      <c r="AQ52" s="314">
        <f>COUNTIF(TT!$D$781:$D$789,TALLY!A52)</f>
        <v>1</v>
      </c>
      <c r="AR52" s="97" t="s">
        <v>110</v>
      </c>
      <c r="AS52" s="4">
        <f>SUM($B52:$D52)</f>
        <v>0</v>
      </c>
      <c r="AT52" s="4">
        <f>SUM(E52:G52)</f>
        <v>1</v>
      </c>
      <c r="AU52" s="4">
        <f>SUM(H52:J52)</f>
        <v>1</v>
      </c>
      <c r="AV52" s="4">
        <f>SUM(K52:M52)</f>
        <v>0</v>
      </c>
      <c r="AW52" s="4">
        <f>SUM(N52:P52)</f>
        <v>1</v>
      </c>
      <c r="AX52" s="4">
        <f>SUM($Q52:$S52)</f>
        <v>0</v>
      </c>
      <c r="AY52" s="4">
        <f>SUM(T52:V52)</f>
        <v>1</v>
      </c>
      <c r="AZ52" s="4">
        <f>SUM(W52:Y52)</f>
        <v>0</v>
      </c>
      <c r="BA52" s="314">
        <f>SUM(Z52:AB52)</f>
        <v>1</v>
      </c>
      <c r="BB52" s="314">
        <f>SUM(AC52:AE52)</f>
        <v>1</v>
      </c>
      <c r="BC52" s="314">
        <f>SUM(AF52:AH52)</f>
        <v>1</v>
      </c>
      <c r="BD52" s="4">
        <f>SUM(AI52:AK52)</f>
        <v>0</v>
      </c>
      <c r="BE52" s="4">
        <f>SUM(AL52:AN52)</f>
        <v>0</v>
      </c>
      <c r="BF52" s="4">
        <f>SUM(AO52:AQ52)</f>
        <v>1</v>
      </c>
      <c r="BG52" s="92">
        <f>SUM(AS52:BF52)</f>
        <v>8</v>
      </c>
    </row>
    <row r="53" spans="1:59">
      <c r="A53" s="97" t="s">
        <v>111</v>
      </c>
      <c r="B53" s="95">
        <f>COUNTIF(TT!$D$6:$D$15,TALLY!A53)</f>
        <v>0</v>
      </c>
      <c r="C53" s="95">
        <f>COUNTIF(TT!$D$22:$D$32,TALLY!A53)</f>
        <v>0</v>
      </c>
      <c r="D53" s="95">
        <f>COUNTIF(TT!$D$39:$D$49,TALLY!A53)</f>
        <v>0</v>
      </c>
      <c r="E53" s="4">
        <f>COUNTIF(TT!$D$57:$D$67,TALLY!A53)</f>
        <v>1</v>
      </c>
      <c r="F53" s="4">
        <f>COUNTIF(TT!$D$74:$D$86,TALLY!A53)</f>
        <v>0</v>
      </c>
      <c r="G53" s="4">
        <f>COUNTIF(TT!$D$93:$D$107,TALLY!A53)</f>
        <v>0</v>
      </c>
      <c r="H53" s="95">
        <f>COUNTIF(TT!$D$113:$D$129,TALLY!A53)</f>
        <v>0</v>
      </c>
      <c r="I53" s="95">
        <f>COUNTIF(TT!$D$135:$D$155,TALLY!A53)</f>
        <v>0</v>
      </c>
      <c r="J53" s="95">
        <f>COUNTIF(TT!$D$162:$D$173,TALLY!A53)</f>
        <v>1</v>
      </c>
      <c r="K53" s="4">
        <f>COUNTIF(TT!$D$180:$D$199,TALLY!A53)</f>
        <v>0</v>
      </c>
      <c r="L53" s="4">
        <f>COUNTIF(TT!$D$207:$D$215,TALLY!A53)</f>
        <v>0</v>
      </c>
      <c r="M53" s="4">
        <f>COUNTIF(TT!$D$224:$D$231,TALLY!A53)</f>
        <v>0</v>
      </c>
      <c r="N53" s="345">
        <f>COUNTIF(TT!$D$237:$D$249,TALLY!A53)</f>
        <v>1</v>
      </c>
      <c r="O53" s="345">
        <f>COUNTIF(TT!$D$256:$D$264,TALLY!A53)</f>
        <v>0</v>
      </c>
      <c r="P53" s="345">
        <f>COUNTIF(TT!$D$271:$D$286,TALLY!A53)</f>
        <v>0</v>
      </c>
      <c r="Q53" s="4">
        <f>COUNTIF(TT!$D$293:$D$300,TALLY!A53)</f>
        <v>0</v>
      </c>
      <c r="R53" s="4">
        <f>COUNTIF(TT!$D$307:$D$319,TALLY!A53)</f>
        <v>0</v>
      </c>
      <c r="S53" s="4">
        <f>COUNTIF(TT!$D$326:$D$334,TALLY!A53)</f>
        <v>0</v>
      </c>
      <c r="T53" s="95">
        <f>COUNTIF(TT!$D$341:$D$350,TALLY!A53)</f>
        <v>1</v>
      </c>
      <c r="U53" s="95">
        <f>COUNTIF(TT!$D$357:$D$366,TALLY!A53)</f>
        <v>0</v>
      </c>
      <c r="V53" s="95">
        <f>COUNTIF(TT!$D$373:$D$383,TALLY!A53)</f>
        <v>0</v>
      </c>
      <c r="W53" s="4">
        <f>COUNTIF(TT!$D$390:$D$405,TALLY!A53)</f>
        <v>0</v>
      </c>
      <c r="X53" s="4">
        <f>COUNTIF(TT!$D$412:$D$423,TALLY!A53)</f>
        <v>0</v>
      </c>
      <c r="Y53" s="4">
        <f>COUNTIF(TT!$D$430:$D$438,TALLY!A53)</f>
        <v>0</v>
      </c>
      <c r="Z53" s="95">
        <f>COUNTIF(TT!$D$443:$D$457,TALLY!A53)</f>
        <v>0</v>
      </c>
      <c r="AA53" s="95">
        <f>COUNTIF(TT!$D$464:$D$474,TALLY!A53)</f>
        <v>0</v>
      </c>
      <c r="AB53" s="95">
        <f>COUNTIF(TT!$D$481:$D$494,TALLY!A53)</f>
        <v>1</v>
      </c>
      <c r="AC53" s="345">
        <f>COUNTIF(TT!$D$503:$D$522,TALLY!A53)</f>
        <v>0</v>
      </c>
      <c r="AD53" s="345">
        <f>COUNTIF(TT!$D$529:$D$541,TALLY!A53)</f>
        <v>0</v>
      </c>
      <c r="AE53" s="345">
        <f>COUNTIF(TT!$D$548:$D$561,TALLY!A53)</f>
        <v>1</v>
      </c>
      <c r="AF53" s="95">
        <f>COUNTIF(TT!$D$574:$D$584,TALLY!A53)</f>
        <v>0</v>
      </c>
      <c r="AG53" s="95">
        <f>COUNTIF(TT!$D$591:$D$601,TALLY!A53)</f>
        <v>1</v>
      </c>
      <c r="AH53" s="95">
        <f>COUNTIF(TT!$D$608:$D$619,TALLY!A53)</f>
        <v>0</v>
      </c>
      <c r="AI53" s="314">
        <f>COUNTIF(TT!$D$628:$D$647,TALLY!A53)</f>
        <v>0</v>
      </c>
      <c r="AJ53" s="314">
        <f>COUNTIF(TT!$D$654:$D$668,TALLY!A53)</f>
        <v>0</v>
      </c>
      <c r="AK53" s="314">
        <f>COUNTIF(TT!$D$675:$D$685,TALLY!A53)</f>
        <v>0</v>
      </c>
      <c r="AL53" s="95">
        <f>COUNTIF(TT!$D$692:$D$702,TALLY!A53)</f>
        <v>0</v>
      </c>
      <c r="AM53" s="95">
        <f>COUNTIF(TT!$D$709:$D$721,TALLY!A53)</f>
        <v>0</v>
      </c>
      <c r="AN53" s="95">
        <f>COUNTIF(TT!$D$728:$D$737,TALLY!A53)</f>
        <v>0</v>
      </c>
      <c r="AO53" s="314">
        <f>COUNTIF(TT!$D$744:$D$753,TALLY!A53)</f>
        <v>0</v>
      </c>
      <c r="AP53" s="314">
        <f>COUNTIF(TT!$D$759:$D$774,TALLY!A53)</f>
        <v>0</v>
      </c>
      <c r="AQ53" s="314">
        <f>COUNTIF(TT!$D$781:$D$789,TALLY!A53)</f>
        <v>1</v>
      </c>
      <c r="AR53" s="97" t="s">
        <v>111</v>
      </c>
      <c r="AS53" s="4">
        <f>SUM($B53:$D53)</f>
        <v>0</v>
      </c>
      <c r="AT53" s="4">
        <f>SUM(E53:G53)</f>
        <v>1</v>
      </c>
      <c r="AU53" s="4">
        <f>SUM(H53:J53)</f>
        <v>1</v>
      </c>
      <c r="AV53" s="4">
        <f>SUM(K53:M53)</f>
        <v>0</v>
      </c>
      <c r="AW53" s="4">
        <f>SUM(N53:P53)</f>
        <v>1</v>
      </c>
      <c r="AX53" s="4">
        <f>SUM($Q53:$S53)</f>
        <v>0</v>
      </c>
      <c r="AY53" s="4">
        <f>SUM(T53:V53)</f>
        <v>1</v>
      </c>
      <c r="AZ53" s="4">
        <f>SUM(W53:Y53)</f>
        <v>0</v>
      </c>
      <c r="BA53" s="314">
        <f>SUM(Z53:AB53)</f>
        <v>1</v>
      </c>
      <c r="BB53" s="314">
        <f>SUM(AC53:AE53)</f>
        <v>1</v>
      </c>
      <c r="BC53" s="314">
        <f>SUM(AF53:AH53)</f>
        <v>1</v>
      </c>
      <c r="BD53" s="4">
        <f>SUM(AI53:AK53)</f>
        <v>0</v>
      </c>
      <c r="BE53" s="4">
        <f>SUM(AL53:AN53)</f>
        <v>0</v>
      </c>
      <c r="BF53" s="4">
        <f>SUM(AO53:AQ53)</f>
        <v>1</v>
      </c>
      <c r="BG53" s="92">
        <f>SUM(AS53:BF53)</f>
        <v>8</v>
      </c>
    </row>
    <row r="54" spans="1:59">
      <c r="A54" s="97" t="s">
        <v>46</v>
      </c>
      <c r="B54" s="95">
        <f>COUNTIF(TT!$D$6:$D$15,TALLY!A54)</f>
        <v>1</v>
      </c>
      <c r="C54" s="95">
        <f>COUNTIF(TT!$D$22:$D$32,TALLY!A54)</f>
        <v>0</v>
      </c>
      <c r="D54" s="95">
        <f>COUNTIF(TT!$D$39:$D$49,TALLY!A54)</f>
        <v>0</v>
      </c>
      <c r="E54" s="4">
        <f>COUNTIF(TT!$D$57:$D$67,TALLY!A54)</f>
        <v>0</v>
      </c>
      <c r="F54" s="4">
        <f>COUNTIF(TT!$D$74:$D$86,TALLY!A54)</f>
        <v>1</v>
      </c>
      <c r="G54" s="4">
        <f>COUNTIF(TT!$D$93:$D$107,TALLY!A54)</f>
        <v>0</v>
      </c>
      <c r="H54" s="95">
        <f>COUNTIF(TT!$D$113:$D$129,TALLY!A54)</f>
        <v>1</v>
      </c>
      <c r="I54" s="95">
        <f>COUNTIF(TT!$D$135:$D$155,TALLY!A54)</f>
        <v>0</v>
      </c>
      <c r="J54" s="95">
        <f>COUNTIF(TT!$D$162:$D$173,TALLY!A54)</f>
        <v>0</v>
      </c>
      <c r="K54" s="4">
        <f>COUNTIF(TT!$D$180:$D$199,TALLY!A54)</f>
        <v>0</v>
      </c>
      <c r="L54" s="4">
        <f>COUNTIF(TT!$D$207:$D$215,TALLY!A54)</f>
        <v>0</v>
      </c>
      <c r="M54" s="4">
        <f>COUNTIF(TT!$D$224:$D$231,TALLY!A54)</f>
        <v>0</v>
      </c>
      <c r="N54" s="345">
        <f>COUNTIF(TT!$D$237:$D$249,TALLY!A54)</f>
        <v>0</v>
      </c>
      <c r="O54" s="345">
        <f>COUNTIF(TT!$D$256:$D$264,TALLY!A54)</f>
        <v>0</v>
      </c>
      <c r="P54" s="345">
        <f>COUNTIF(TT!$D$271:$D$286,TALLY!A54)</f>
        <v>1</v>
      </c>
      <c r="Q54" s="4">
        <f>COUNTIF(TT!$D$293:$D$300,TALLY!A54)</f>
        <v>0</v>
      </c>
      <c r="R54" s="4">
        <f>COUNTIF(TT!$D$307:$D$319,TALLY!A54)</f>
        <v>0</v>
      </c>
      <c r="S54" s="4">
        <f>COUNTIF(TT!$D$326:$D$334,TALLY!A54)</f>
        <v>0</v>
      </c>
      <c r="T54" s="95">
        <f>COUNTIF(TT!$D$341:$D$350,TALLY!A54)</f>
        <v>0</v>
      </c>
      <c r="U54" s="95">
        <f>COUNTIF(TT!$D$357:$D$366,TALLY!A54)</f>
        <v>1</v>
      </c>
      <c r="V54" s="95">
        <f>COUNTIF(TT!$D$373:$D$383,TALLY!A54)</f>
        <v>0</v>
      </c>
      <c r="W54" s="4">
        <f>COUNTIF(TT!$D$390:$D$405,TALLY!A54)</f>
        <v>0</v>
      </c>
      <c r="X54" s="4">
        <f>COUNTIF(TT!$D$412:$D$423,TALLY!A54)</f>
        <v>0</v>
      </c>
      <c r="Y54" s="4">
        <f>COUNTIF(TT!$D$430:$D$438,TALLY!A54)</f>
        <v>0</v>
      </c>
      <c r="Z54" s="95">
        <f>COUNTIF(TT!$D$443:$D$457,TALLY!A54)</f>
        <v>0</v>
      </c>
      <c r="AA54" s="95">
        <f>COUNTIF(TT!$D$464:$D$474,TALLY!A54)</f>
        <v>1</v>
      </c>
      <c r="AB54" s="95">
        <f>COUNTIF(TT!$D$481:$D$494,TALLY!A54)</f>
        <v>0</v>
      </c>
      <c r="AC54" s="345">
        <f>COUNTIF(TT!$D$503:$D$522,TALLY!A54)</f>
        <v>1</v>
      </c>
      <c r="AD54" s="345">
        <f>COUNTIF(TT!$D$529:$D$541,TALLY!A54)</f>
        <v>0</v>
      </c>
      <c r="AE54" s="345">
        <f>COUNTIF(TT!$D$548:$D$561,TALLY!A54)</f>
        <v>0</v>
      </c>
      <c r="AF54" s="95">
        <f>COUNTIF(TT!$D$574:$D$584,TALLY!A54)</f>
        <v>1</v>
      </c>
      <c r="AG54" s="95">
        <f>COUNTIF(TT!$D$591:$D$601,TALLY!A54)</f>
        <v>0</v>
      </c>
      <c r="AH54" s="95">
        <f>COUNTIF(TT!$D$608:$D$619,TALLY!A54)</f>
        <v>0</v>
      </c>
      <c r="AI54" s="314">
        <f>COUNTIF(TT!$D$628:$D$647,TALLY!A54)</f>
        <v>0</v>
      </c>
      <c r="AJ54" s="314">
        <f>COUNTIF(TT!$D$654:$D$668,TALLY!A54)</f>
        <v>0</v>
      </c>
      <c r="AK54" s="314">
        <f>COUNTIF(TT!$D$675:$D$685,TALLY!A54)</f>
        <v>0</v>
      </c>
      <c r="AL54" s="95">
        <f>COUNTIF(TT!$D$692:$D$702,TALLY!A54)</f>
        <v>0</v>
      </c>
      <c r="AM54" s="95">
        <f>COUNTIF(TT!$D$709:$D$721,TALLY!A54)</f>
        <v>0</v>
      </c>
      <c r="AN54" s="95">
        <f>COUNTIF(TT!$D$728:$D$737,TALLY!A54)</f>
        <v>0</v>
      </c>
      <c r="AO54" s="314">
        <f>COUNTIF(TT!$D$744:$D$753,TALLY!A54)</f>
        <v>0</v>
      </c>
      <c r="AP54" s="314">
        <f>COUNTIF(TT!$D$759:$D$774,TALLY!A54)</f>
        <v>0</v>
      </c>
      <c r="AQ54" s="314">
        <f>COUNTIF(TT!$D$781:$D$789,TALLY!A54)</f>
        <v>1</v>
      </c>
      <c r="AR54" s="97" t="s">
        <v>46</v>
      </c>
      <c r="AS54" s="4">
        <f>SUM($B54:$D54)</f>
        <v>1</v>
      </c>
      <c r="AT54" s="4">
        <f>SUM(E54:G54)</f>
        <v>1</v>
      </c>
      <c r="AU54" s="4">
        <f>SUM(H54:J54)</f>
        <v>1</v>
      </c>
      <c r="AV54" s="4">
        <f>SUM(K54:M54)</f>
        <v>0</v>
      </c>
      <c r="AW54" s="4">
        <f>SUM(N54:P54)</f>
        <v>1</v>
      </c>
      <c r="AX54" s="4">
        <f>SUM($Q54:$S54)</f>
        <v>0</v>
      </c>
      <c r="AY54" s="4">
        <f>SUM(T54:V54)</f>
        <v>1</v>
      </c>
      <c r="AZ54" s="4">
        <f>SUM(W54:Y54)</f>
        <v>0</v>
      </c>
      <c r="BA54" s="314">
        <f>SUM(Z54:AB54)</f>
        <v>1</v>
      </c>
      <c r="BB54" s="314">
        <f>SUM(AC54:AE54)</f>
        <v>1</v>
      </c>
      <c r="BC54" s="314">
        <f>SUM(AF54:AH54)</f>
        <v>1</v>
      </c>
      <c r="BD54" s="4">
        <f>SUM(AI54:AK54)</f>
        <v>0</v>
      </c>
      <c r="BE54" s="4">
        <f>SUM(AL54:AN54)</f>
        <v>0</v>
      </c>
      <c r="BF54" s="4">
        <f>SUM(AO54:AQ54)</f>
        <v>1</v>
      </c>
      <c r="BG54" s="92">
        <f>SUM(AS54:BF54)</f>
        <v>9</v>
      </c>
    </row>
    <row r="55" spans="1:59">
      <c r="A55" s="97" t="s">
        <v>1469</v>
      </c>
      <c r="B55" s="95">
        <f>COUNTIF(TT!$D$6:$D$15,TALLY!A55)</f>
        <v>0</v>
      </c>
      <c r="C55" s="95">
        <f>COUNTIF(TT!$D$22:$D$32,TALLY!A55)</f>
        <v>0</v>
      </c>
      <c r="D55" s="95">
        <f>COUNTIF(TT!$D$39:$D$49,TALLY!A55)</f>
        <v>1</v>
      </c>
      <c r="E55" s="4">
        <f>COUNTIF(TT!$D$57:$D$67,TALLY!A55)</f>
        <v>0</v>
      </c>
      <c r="F55" s="4">
        <f>COUNTIF(TT!$D$74:$D$86,TALLY!A55)</f>
        <v>0</v>
      </c>
      <c r="G55" s="4">
        <f>COUNTIF(TT!$D$93:$D$107,TALLY!A55)</f>
        <v>0</v>
      </c>
      <c r="H55" s="95">
        <f>COUNTIF(TT!$D$113:$D$129,TALLY!A55)</f>
        <v>0</v>
      </c>
      <c r="I55" s="95">
        <f>COUNTIF(TT!$D$135:$D$155,TALLY!A55)</f>
        <v>1</v>
      </c>
      <c r="J55" s="95">
        <f>COUNTIF(TT!$D$162:$D$173,TALLY!A55)</f>
        <v>0</v>
      </c>
      <c r="K55" s="4">
        <f>COUNTIF(TT!$D$180:$D$199,TALLY!A55)</f>
        <v>0</v>
      </c>
      <c r="L55" s="4">
        <f>COUNTIF(TT!$D$207:$D$215,TALLY!A55)</f>
        <v>0</v>
      </c>
      <c r="M55" s="4">
        <f>COUNTIF(TT!$D$224:$D$231,TALLY!A55)</f>
        <v>0</v>
      </c>
      <c r="N55" s="345">
        <f>COUNTIF(TT!$D$237:$D$249,TALLY!A55)</f>
        <v>1</v>
      </c>
      <c r="O55" s="345">
        <f>COUNTIF(TT!$D$256:$D$264,TALLY!A55)</f>
        <v>0</v>
      </c>
      <c r="P55" s="345">
        <f>COUNTIF(TT!$D$271:$D$286,TALLY!A55)</f>
        <v>0</v>
      </c>
      <c r="Q55" s="4">
        <f>COUNTIF(TT!$D$293:$D$300,TALLY!A55)</f>
        <v>0</v>
      </c>
      <c r="R55" s="4">
        <f>COUNTIF(TT!$D$307:$D$319,TALLY!A55)</f>
        <v>0</v>
      </c>
      <c r="S55" s="4">
        <f>COUNTIF(TT!$D$326:$D$334,TALLY!A55)</f>
        <v>0</v>
      </c>
      <c r="T55" s="95">
        <f>COUNTIF(TT!$D$341:$D$350,TALLY!A55)</f>
        <v>0</v>
      </c>
      <c r="U55" s="95">
        <f>COUNTIF(TT!$D$357:$D$366,TALLY!A55)</f>
        <v>0</v>
      </c>
      <c r="V55" s="95">
        <f>COUNTIF(TT!$D$373:$D$383,TALLY!A55)</f>
        <v>1</v>
      </c>
      <c r="W55" s="4">
        <f>COUNTIF(TT!$D$390:$D$405,TALLY!A55)</f>
        <v>0</v>
      </c>
      <c r="X55" s="4">
        <f>COUNTIF(TT!$D$412:$D$423,TALLY!A55)</f>
        <v>0</v>
      </c>
      <c r="Y55" s="4">
        <f>COUNTIF(TT!$D$430:$D$438,TALLY!A55)</f>
        <v>0</v>
      </c>
      <c r="Z55" s="95">
        <f>COUNTIF(TT!$D$443:$D$457,TALLY!A55)</f>
        <v>0</v>
      </c>
      <c r="AA55" s="95">
        <f>COUNTIF(TT!$D$464:$D$474,TALLY!A55)</f>
        <v>1</v>
      </c>
      <c r="AB55" s="95">
        <f>COUNTIF(TT!$D$481:$D$494,TALLY!A55)</f>
        <v>0</v>
      </c>
      <c r="AC55" s="345">
        <f>COUNTIF(TT!$D$503:$D$522,TALLY!A55)</f>
        <v>0</v>
      </c>
      <c r="AD55" s="345">
        <f>COUNTIF(TT!$D$529:$D$541,TALLY!A55)</f>
        <v>1</v>
      </c>
      <c r="AE55" s="345">
        <f>COUNTIF(TT!$D$548:$D$561,TALLY!A55)</f>
        <v>0</v>
      </c>
      <c r="AF55" s="95">
        <f>COUNTIF(TT!$D$574:$D$584,TALLY!A55)</f>
        <v>0</v>
      </c>
      <c r="AG55" s="95">
        <f>COUNTIF(TT!$D$591:$D$601,TALLY!A55)</f>
        <v>0</v>
      </c>
      <c r="AH55" s="95">
        <f>COUNTIF(TT!$D$608:$D$619,TALLY!A55)</f>
        <v>1</v>
      </c>
      <c r="AI55" s="314">
        <f>COUNTIF(TT!$D$628:$D$647,TALLY!A55)</f>
        <v>0</v>
      </c>
      <c r="AJ55" s="314">
        <f>COUNTIF(TT!$D$654:$D$668,TALLY!A55)</f>
        <v>0</v>
      </c>
      <c r="AK55" s="314">
        <f>COUNTIF(TT!$D$675:$D$685,TALLY!A55)</f>
        <v>0</v>
      </c>
      <c r="AL55" s="95">
        <f>COUNTIF(TT!$D$692:$D$702,TALLY!A55)</f>
        <v>0</v>
      </c>
      <c r="AM55" s="95">
        <f>COUNTIF(TT!$D$709:$D$721,TALLY!A55)</f>
        <v>1</v>
      </c>
      <c r="AN55" s="95">
        <f>COUNTIF(TT!$D$728:$D$737,TALLY!A55)</f>
        <v>0</v>
      </c>
      <c r="AO55" s="314">
        <f>COUNTIF(TT!$D$744:$D$753,TALLY!A55)</f>
        <v>0</v>
      </c>
      <c r="AP55" s="314">
        <f>COUNTIF(TT!$D$759:$D$774,TALLY!A55)</f>
        <v>0</v>
      </c>
      <c r="AQ55" s="314">
        <f>COUNTIF(TT!$D$781:$D$789,TALLY!A55)</f>
        <v>0</v>
      </c>
      <c r="AR55" s="97" t="s">
        <v>1469</v>
      </c>
      <c r="AS55" s="4">
        <f>SUM($B55:$D55)</f>
        <v>1</v>
      </c>
      <c r="AT55" s="4">
        <f>SUM(E55:G55)</f>
        <v>0</v>
      </c>
      <c r="AU55" s="4">
        <f>SUM(H55:J55)</f>
        <v>1</v>
      </c>
      <c r="AV55" s="4">
        <f>SUM(K55:M55)</f>
        <v>0</v>
      </c>
      <c r="AW55" s="4">
        <f>SUM(N55:P55)</f>
        <v>1</v>
      </c>
      <c r="AX55" s="4">
        <f>SUM($Q55:$S55)</f>
        <v>0</v>
      </c>
      <c r="AY55" s="4">
        <f>SUM(T55:V55)</f>
        <v>1</v>
      </c>
      <c r="AZ55" s="4">
        <f>SUM(W55:Y55)</f>
        <v>0</v>
      </c>
      <c r="BA55" s="314">
        <f>SUM(Z55:AB55)</f>
        <v>1</v>
      </c>
      <c r="BB55" s="314">
        <f>SUM(AC55:AE55)</f>
        <v>1</v>
      </c>
      <c r="BC55" s="314">
        <f>SUM(AF55:AH55)</f>
        <v>1</v>
      </c>
      <c r="BD55" s="4">
        <f>SUM(AI55:AK55)</f>
        <v>0</v>
      </c>
      <c r="BE55" s="4">
        <f>SUM(AL55:AN55)</f>
        <v>1</v>
      </c>
      <c r="BF55" s="4">
        <f>SUM(AO55:AQ55)</f>
        <v>0</v>
      </c>
      <c r="BG55" s="92">
        <f>SUM(AS55:BF55)</f>
        <v>8</v>
      </c>
    </row>
    <row r="56" spans="1:59">
      <c r="A56" s="96" t="s">
        <v>54</v>
      </c>
      <c r="B56" s="95">
        <f>COUNTIF(TT!$D$6:$D$15,TALLY!A56)</f>
        <v>0</v>
      </c>
      <c r="C56" s="95">
        <f>COUNTIF(TT!$D$22:$D$32,TALLY!A56)</f>
        <v>0</v>
      </c>
      <c r="D56" s="95">
        <f>COUNTIF(TT!$D$39:$D$49,TALLY!A56)</f>
        <v>0</v>
      </c>
      <c r="E56" s="4">
        <f>COUNTIF(TT!$D$57:$D$67,TALLY!A56)</f>
        <v>0</v>
      </c>
      <c r="F56" s="4">
        <f>COUNTIF(TT!$D$74:$D$86,TALLY!A56)</f>
        <v>1</v>
      </c>
      <c r="G56" s="4">
        <f>COUNTIF(TT!$D$93:$D$107,TALLY!A56)</f>
        <v>0</v>
      </c>
      <c r="H56" s="95">
        <f>COUNTIF(TT!$D$113:$D$129,TALLY!A56)</f>
        <v>0</v>
      </c>
      <c r="I56" s="95">
        <f>COUNTIF(TT!$D$135:$D$155,TALLY!A56)</f>
        <v>1</v>
      </c>
      <c r="J56" s="95">
        <f>COUNTIF(TT!$D$162:$D$173,TALLY!A56)</f>
        <v>0</v>
      </c>
      <c r="K56" s="4">
        <f>COUNTIF(TT!$D$180:$D$199,TALLY!A56)</f>
        <v>0</v>
      </c>
      <c r="L56" s="4">
        <f>COUNTIF(TT!$D$207:$D$215,TALLY!A56)</f>
        <v>0</v>
      </c>
      <c r="M56" s="4">
        <f>COUNTIF(TT!$D$224:$D$231,TALLY!A56)</f>
        <v>0</v>
      </c>
      <c r="N56" s="345">
        <f>COUNTIF(TT!$D$237:$D$249,TALLY!A56)</f>
        <v>0</v>
      </c>
      <c r="O56" s="345">
        <f>COUNTIF(TT!$D$256:$D$264,TALLY!A56)</f>
        <v>0</v>
      </c>
      <c r="P56" s="345">
        <f>COUNTIF(TT!$D$271:$D$286,TALLY!A56)</f>
        <v>0</v>
      </c>
      <c r="Q56" s="4">
        <f>COUNTIF(TT!$D$293:$D$300,TALLY!A56)</f>
        <v>0</v>
      </c>
      <c r="R56" s="4">
        <f>COUNTIF(TT!$D$307:$D$319,TALLY!A56)</f>
        <v>0</v>
      </c>
      <c r="S56" s="4">
        <f>COUNTIF(TT!$D$326:$D$334,TALLY!A56)</f>
        <v>0</v>
      </c>
      <c r="T56" s="95">
        <f>COUNTIF(TT!$D$341:$D$350,TALLY!A56)</f>
        <v>0</v>
      </c>
      <c r="U56" s="95">
        <f>COUNTIF(TT!$D$357:$D$366,TALLY!A56)</f>
        <v>1</v>
      </c>
      <c r="V56" s="95">
        <f>COUNTIF(TT!$D$373:$D$383,TALLY!A56)</f>
        <v>0</v>
      </c>
      <c r="W56" s="4">
        <f>COUNTIF(TT!$D$390:$D$405,TALLY!A56)</f>
        <v>0</v>
      </c>
      <c r="X56" s="4">
        <f>COUNTIF(TT!$D$412:$D$423,TALLY!A56)</f>
        <v>0</v>
      </c>
      <c r="Y56" s="4">
        <f>COUNTIF(TT!$D$430:$D$438,TALLY!A56)</f>
        <v>0</v>
      </c>
      <c r="Z56" s="95">
        <f>COUNTIF(TT!$D$443:$D$457,TALLY!A56)</f>
        <v>1</v>
      </c>
      <c r="AA56" s="95">
        <f>COUNTIF(TT!$D$464:$D$474,TALLY!A56)</f>
        <v>0</v>
      </c>
      <c r="AB56" s="95">
        <f>COUNTIF(TT!$D$481:$D$494,TALLY!A56)</f>
        <v>0</v>
      </c>
      <c r="AC56" s="345">
        <f>COUNTIF(TT!$D$503:$D$522,TALLY!A56)</f>
        <v>0</v>
      </c>
      <c r="AD56" s="345">
        <f>COUNTIF(TT!$D$529:$D$541,TALLY!A56)</f>
        <v>0</v>
      </c>
      <c r="AE56" s="345">
        <f>COUNTIF(TT!$D$548:$D$561,TALLY!A56)</f>
        <v>0</v>
      </c>
      <c r="AF56" s="95">
        <f>COUNTIF(TT!$D$574:$D$584,TALLY!A56)</f>
        <v>1</v>
      </c>
      <c r="AG56" s="95">
        <f>COUNTIF(TT!$D$591:$D$601,TALLY!A56)</f>
        <v>0</v>
      </c>
      <c r="AH56" s="95">
        <f>COUNTIF(TT!$D$608:$D$619,TALLY!A56)</f>
        <v>0</v>
      </c>
      <c r="AI56" s="314">
        <f>COUNTIF(TT!$D$628:$D$647,TALLY!A56)</f>
        <v>0</v>
      </c>
      <c r="AJ56" s="314">
        <f>COUNTIF(TT!$D$654:$D$668,TALLY!A56)</f>
        <v>0</v>
      </c>
      <c r="AK56" s="314">
        <f>COUNTIF(TT!$D$675:$D$685,TALLY!A56)</f>
        <v>0</v>
      </c>
      <c r="AL56" s="95">
        <f>COUNTIF(TT!$D$692:$D$702,TALLY!A56)</f>
        <v>1</v>
      </c>
      <c r="AM56" s="95">
        <f>COUNTIF(TT!$D$709:$D$721,TALLY!A56)</f>
        <v>0</v>
      </c>
      <c r="AN56" s="95">
        <f>COUNTIF(TT!$D$728:$D$737,TALLY!A56)</f>
        <v>0</v>
      </c>
      <c r="AO56" s="314">
        <f>COUNTIF(TT!$D$744:$D$753,TALLY!A56)</f>
        <v>0</v>
      </c>
      <c r="AP56" s="314">
        <f>COUNTIF(TT!$D$759:$D$774,TALLY!A56)</f>
        <v>0</v>
      </c>
      <c r="AQ56" s="314">
        <f>COUNTIF(TT!$D$781:$D$789,TALLY!A56)</f>
        <v>0</v>
      </c>
      <c r="AR56" s="97" t="s">
        <v>54</v>
      </c>
      <c r="AS56" s="4">
        <f>SUM($B56:$D56)</f>
        <v>0</v>
      </c>
      <c r="AT56" s="4">
        <f>SUM(E56:G56)</f>
        <v>1</v>
      </c>
      <c r="AU56" s="4">
        <f>SUM(H56:J56)</f>
        <v>1</v>
      </c>
      <c r="AV56" s="4">
        <f>SUM(K56:M56)</f>
        <v>0</v>
      </c>
      <c r="AW56" s="4">
        <f>SUM(N56:P56)</f>
        <v>0</v>
      </c>
      <c r="AX56" s="4">
        <f>SUM($Q56:$S56)</f>
        <v>0</v>
      </c>
      <c r="AY56" s="4">
        <f>SUM(T56:V56)</f>
        <v>1</v>
      </c>
      <c r="AZ56" s="4">
        <f>SUM(W56:Y56)</f>
        <v>0</v>
      </c>
      <c r="BA56" s="314">
        <f>SUM(Z56:AB56)</f>
        <v>1</v>
      </c>
      <c r="BB56" s="314">
        <f>SUM(AC56:AE56)</f>
        <v>0</v>
      </c>
      <c r="BC56" s="314">
        <f>SUM(AF56:AH56)</f>
        <v>1</v>
      </c>
      <c r="BD56" s="4">
        <f>SUM(AI56:AK56)</f>
        <v>0</v>
      </c>
      <c r="BE56" s="4">
        <f>SUM(AL56:AN56)</f>
        <v>1</v>
      </c>
      <c r="BF56" s="4">
        <f>SUM(AO56:AQ56)</f>
        <v>0</v>
      </c>
      <c r="BG56" s="92">
        <f>SUM(AS56:BF56)</f>
        <v>6</v>
      </c>
    </row>
    <row r="57" spans="1:59">
      <c r="A57" s="94" t="s">
        <v>41</v>
      </c>
      <c r="B57" s="95">
        <f>COUNTIF(TT!$D$6:$D$15,TALLY!A57)</f>
        <v>0</v>
      </c>
      <c r="C57" s="95">
        <f>COUNTIF(TT!$D$22:$D$32,TALLY!A57)</f>
        <v>0</v>
      </c>
      <c r="D57" s="95">
        <f>COUNTIF(TT!$D$39:$D$49,TALLY!A57)</f>
        <v>0</v>
      </c>
      <c r="E57" s="4">
        <f>COUNTIF(TT!$D$57:$D$67,TALLY!A57)</f>
        <v>0</v>
      </c>
      <c r="F57" s="4">
        <f>COUNTIF(TT!$D$74:$D$86,TALLY!A57)</f>
        <v>0</v>
      </c>
      <c r="G57" s="4">
        <f>COUNTIF(TT!$D$93:$D$107,TALLY!A57)</f>
        <v>1</v>
      </c>
      <c r="H57" s="95">
        <f>COUNTIF(TT!$D$113:$D$129,TALLY!A57)</f>
        <v>0</v>
      </c>
      <c r="I57" s="95">
        <f>COUNTIF(TT!$D$135:$D$155,TALLY!A57)</f>
        <v>0</v>
      </c>
      <c r="J57" s="95">
        <f>COUNTIF(TT!$D$162:$D$173,TALLY!A57)</f>
        <v>0</v>
      </c>
      <c r="K57" s="4">
        <f>COUNTIF(TT!$D$180:$D$199,TALLY!A57)</f>
        <v>1</v>
      </c>
      <c r="L57" s="4">
        <f>COUNTIF(TT!$D$207:$D$215,TALLY!A57)</f>
        <v>0</v>
      </c>
      <c r="M57" s="4">
        <f>COUNTIF(TT!$D$224:$D$231,TALLY!A57)</f>
        <v>0</v>
      </c>
      <c r="N57" s="345">
        <f>COUNTIF(TT!$D$237:$D$249,TALLY!A57)</f>
        <v>0</v>
      </c>
      <c r="O57" s="345">
        <f>COUNTIF(TT!$D$256:$D$264,TALLY!A57)</f>
        <v>0</v>
      </c>
      <c r="P57" s="345">
        <f>COUNTIF(TT!$D$271:$D$286,TALLY!A57)</f>
        <v>0</v>
      </c>
      <c r="Q57" s="4">
        <f>COUNTIF(TT!$D$293:$D$300,TALLY!A57)</f>
        <v>0</v>
      </c>
      <c r="R57" s="4">
        <f>COUNTIF(TT!$D$307:$D$319,TALLY!A57)</f>
        <v>0</v>
      </c>
      <c r="S57" s="4">
        <f>COUNTIF(TT!$D$326:$D$334,TALLY!A57)</f>
        <v>0</v>
      </c>
      <c r="T57" s="95">
        <f>COUNTIF(TT!$D$341:$D$350,TALLY!A57)</f>
        <v>0</v>
      </c>
      <c r="U57" s="95">
        <f>COUNTIF(TT!$D$357:$D$366,TALLY!A57)</f>
        <v>0</v>
      </c>
      <c r="V57" s="95">
        <f>COUNTIF(TT!$D$373:$D$383,TALLY!A57)</f>
        <v>0</v>
      </c>
      <c r="W57" s="4">
        <f>COUNTIF(TT!$D$390:$D$405,TALLY!A57)</f>
        <v>0</v>
      </c>
      <c r="X57" s="4">
        <f>COUNTIF(TT!$D$412:$D$423,TALLY!A57)</f>
        <v>1</v>
      </c>
      <c r="Y57" s="4">
        <f>COUNTIF(TT!$D$430:$D$438,TALLY!A57)</f>
        <v>0</v>
      </c>
      <c r="Z57" s="95">
        <f>COUNTIF(TT!$D$443:$D$457,TALLY!A57)</f>
        <v>0</v>
      </c>
      <c r="AA57" s="95">
        <f>COUNTIF(TT!$D$464:$D$474,TALLY!A57)</f>
        <v>1</v>
      </c>
      <c r="AB57" s="95">
        <f>COUNTIF(TT!$D$481:$D$494,TALLY!A57)</f>
        <v>0</v>
      </c>
      <c r="AC57" s="345">
        <f>COUNTIF(TT!$D$503:$D$522,TALLY!A57)</f>
        <v>0</v>
      </c>
      <c r="AD57" s="345">
        <f>COUNTIF(TT!$D$529:$D$541,TALLY!A57)</f>
        <v>1</v>
      </c>
      <c r="AE57" s="345">
        <f>COUNTIF(TT!$D$548:$D$561,TALLY!A57)</f>
        <v>0</v>
      </c>
      <c r="AF57" s="95">
        <f>COUNTIF(TT!$D$574:$D$584,TALLY!A57)</f>
        <v>0</v>
      </c>
      <c r="AG57" s="95">
        <f>COUNTIF(TT!$D$591:$D$601,TALLY!A57)</f>
        <v>0</v>
      </c>
      <c r="AH57" s="95">
        <f>COUNTIF(TT!$D$608:$D$619,TALLY!A57)</f>
        <v>0</v>
      </c>
      <c r="AI57" s="314">
        <f>COUNTIF(TT!$D$628:$D$647,TALLY!A57)</f>
        <v>0</v>
      </c>
      <c r="AJ57" s="314">
        <f>COUNTIF(TT!$D$654:$D$668,TALLY!A57)</f>
        <v>0</v>
      </c>
      <c r="AK57" s="314">
        <f>COUNTIF(TT!$D$675:$D$685,TALLY!A57)</f>
        <v>0</v>
      </c>
      <c r="AL57" s="95">
        <f>COUNTIF(TT!$D$692:$D$702,TALLY!A57)</f>
        <v>0</v>
      </c>
      <c r="AM57" s="95">
        <f>COUNTIF(TT!$D$709:$D$721,TALLY!A57)</f>
        <v>0</v>
      </c>
      <c r="AN57" s="95">
        <f>COUNTIF(TT!$D$728:$D$737,TALLY!A57)</f>
        <v>1</v>
      </c>
      <c r="AO57" s="314">
        <f>COUNTIF(TT!$D$744:$D$753,TALLY!A57)</f>
        <v>0</v>
      </c>
      <c r="AP57" s="314">
        <f>COUNTIF(TT!$D$759:$D$774,TALLY!A57)</f>
        <v>0</v>
      </c>
      <c r="AQ57" s="314">
        <f>COUNTIF(TT!$D$781:$D$789,TALLY!A57)</f>
        <v>0</v>
      </c>
      <c r="AR57" s="94" t="s">
        <v>41</v>
      </c>
      <c r="AS57" s="4">
        <f>SUM($B57:$D57)</f>
        <v>0</v>
      </c>
      <c r="AT57" s="4">
        <f>SUM(E57:G57)</f>
        <v>1</v>
      </c>
      <c r="AU57" s="4">
        <f>SUM(H57:J57)</f>
        <v>0</v>
      </c>
      <c r="AV57" s="4">
        <f>SUM(K57:M57)</f>
        <v>1</v>
      </c>
      <c r="AW57" s="4">
        <f>SUM(N57:P57)</f>
        <v>0</v>
      </c>
      <c r="AX57" s="4">
        <f>SUM($Q57:$S57)</f>
        <v>0</v>
      </c>
      <c r="AY57" s="4">
        <f>SUM(T57:V57)</f>
        <v>0</v>
      </c>
      <c r="AZ57" s="4">
        <f>SUM(W57:Y57)</f>
        <v>1</v>
      </c>
      <c r="BA57" s="314">
        <f>SUM(Z57:AB57)</f>
        <v>1</v>
      </c>
      <c r="BB57" s="314">
        <f>SUM(AC57:AE57)</f>
        <v>1</v>
      </c>
      <c r="BC57" s="314">
        <f>SUM(AF57:AH57)</f>
        <v>0</v>
      </c>
      <c r="BD57" s="4">
        <f>SUM(AI57:AK57)</f>
        <v>0</v>
      </c>
      <c r="BE57" s="4">
        <f>SUM(AL57:AN57)</f>
        <v>1</v>
      </c>
      <c r="BF57" s="4">
        <f>SUM(AO57:AQ57)</f>
        <v>0</v>
      </c>
      <c r="BG57" s="92">
        <f>SUM(AS57:BF57)</f>
        <v>6</v>
      </c>
    </row>
    <row r="58" spans="1:59">
      <c r="A58" s="96" t="s">
        <v>17</v>
      </c>
      <c r="B58" s="95">
        <f>COUNTIF(TT!$D$6:$D$15,TALLY!A58)</f>
        <v>0</v>
      </c>
      <c r="C58" s="95">
        <f>COUNTIF(TT!$D$22:$D$32,TALLY!A58)</f>
        <v>1</v>
      </c>
      <c r="D58" s="95">
        <f>COUNTIF(TT!$D$39:$D$49,TALLY!A58)</f>
        <v>0</v>
      </c>
      <c r="E58" s="4">
        <f>COUNTIF(TT!$D$57:$D$67,TALLY!A58)</f>
        <v>0</v>
      </c>
      <c r="F58" s="4">
        <f>COUNTIF(TT!$D$74:$D$86,TALLY!A58)</f>
        <v>1</v>
      </c>
      <c r="G58" s="4">
        <f>COUNTIF(TT!$D$93:$D$107,TALLY!A58)</f>
        <v>0</v>
      </c>
      <c r="H58" s="95">
        <f>COUNTIF(TT!$D$113:$D$129,TALLY!A58)</f>
        <v>0</v>
      </c>
      <c r="I58" s="95">
        <f>COUNTIF(TT!$D$135:$D$155,TALLY!A58)</f>
        <v>0</v>
      </c>
      <c r="J58" s="95">
        <f>COUNTIF(TT!$D$162:$D$173,TALLY!A58)</f>
        <v>0</v>
      </c>
      <c r="K58" s="4">
        <f>COUNTIF(TT!$D$180:$D$199,TALLY!A58)</f>
        <v>1</v>
      </c>
      <c r="L58" s="4">
        <f>COUNTIF(TT!$D$207:$D$215,TALLY!A58)</f>
        <v>0</v>
      </c>
      <c r="M58" s="4">
        <f>COUNTIF(TT!$D$224:$D$231,TALLY!A58)</f>
        <v>0</v>
      </c>
      <c r="N58" s="345">
        <f>COUNTIF(TT!$D$237:$D$249,TALLY!A58)</f>
        <v>0</v>
      </c>
      <c r="O58" s="345">
        <f>COUNTIF(TT!$D$256:$D$264,TALLY!A58)</f>
        <v>0</v>
      </c>
      <c r="P58" s="345">
        <f>COUNTIF(TT!$D$271:$D$286,TALLY!A58)</f>
        <v>0</v>
      </c>
      <c r="Q58" s="4">
        <f>COUNTIF(TT!$D$293:$D$300,TALLY!A58)</f>
        <v>1</v>
      </c>
      <c r="R58" s="4">
        <f>COUNTIF(TT!$D$307:$D$319,TALLY!A58)</f>
        <v>0</v>
      </c>
      <c r="S58" s="4">
        <f>COUNTIF(TT!$D$326:$D$334,TALLY!A58)</f>
        <v>0</v>
      </c>
      <c r="T58" s="95">
        <f>COUNTIF(TT!$D$341:$D$350,TALLY!A58)</f>
        <v>0</v>
      </c>
      <c r="U58" s="95">
        <f>COUNTIF(TT!$D$357:$D$366,TALLY!A58)</f>
        <v>0</v>
      </c>
      <c r="V58" s="95">
        <f>COUNTIF(TT!$D$373:$D$383,TALLY!A58)</f>
        <v>0</v>
      </c>
      <c r="W58" s="4">
        <f>COUNTIF(TT!$D$390:$D$405,TALLY!A58)</f>
        <v>0</v>
      </c>
      <c r="X58" s="4">
        <f>COUNTIF(TT!$D$412:$D$423,TALLY!A58)</f>
        <v>0</v>
      </c>
      <c r="Y58" s="4">
        <f>COUNTIF(TT!$D$430:$D$438,TALLY!A58)</f>
        <v>0</v>
      </c>
      <c r="Z58" s="95">
        <f>COUNTIF(TT!$D$443:$D$457,TALLY!A58)</f>
        <v>1</v>
      </c>
      <c r="AA58" s="95">
        <f>COUNTIF(TT!$D$464:$D$474,TALLY!A58)</f>
        <v>0</v>
      </c>
      <c r="AB58" s="95">
        <f>COUNTIF(TT!$D$481:$D$494,TALLY!A58)</f>
        <v>0</v>
      </c>
      <c r="AC58" s="345">
        <f>COUNTIF(TT!$D$503:$D$522,TALLY!A58)</f>
        <v>0</v>
      </c>
      <c r="AD58" s="345">
        <f>COUNTIF(TT!$D$529:$D$541,TALLY!A58)</f>
        <v>0</v>
      </c>
      <c r="AE58" s="345">
        <f>COUNTIF(TT!$D$548:$D$561,TALLY!A58)</f>
        <v>1</v>
      </c>
      <c r="AF58" s="95">
        <f>COUNTIF(TT!$D$574:$D$584,TALLY!A58)</f>
        <v>0</v>
      </c>
      <c r="AG58" s="95">
        <f>COUNTIF(TT!$D$591:$D$601,TALLY!A58)</f>
        <v>0</v>
      </c>
      <c r="AH58" s="95">
        <f>COUNTIF(TT!$D$608:$D$619,TALLY!A58)</f>
        <v>0</v>
      </c>
      <c r="AI58" s="314">
        <f>COUNTIF(TT!$D$628:$D$647,TALLY!A58)</f>
        <v>0</v>
      </c>
      <c r="AJ58" s="314">
        <f>COUNTIF(TT!$D$654:$D$668,TALLY!A58)</f>
        <v>0</v>
      </c>
      <c r="AK58" s="314">
        <f>COUNTIF(TT!$D$675:$D$685,TALLY!A58)</f>
        <v>0</v>
      </c>
      <c r="AL58" s="95">
        <f>COUNTIF(TT!$D$692:$D$702,TALLY!A58)</f>
        <v>1</v>
      </c>
      <c r="AM58" s="95">
        <f>COUNTIF(TT!$D$709:$D$721,TALLY!A58)</f>
        <v>0</v>
      </c>
      <c r="AN58" s="95">
        <f>COUNTIF(TT!$D$728:$D$737,TALLY!A58)</f>
        <v>0</v>
      </c>
      <c r="AO58" s="314">
        <f>COUNTIF(TT!$D$744:$D$753,TALLY!A58)</f>
        <v>0</v>
      </c>
      <c r="AP58" s="314">
        <f>COUNTIF(TT!$D$759:$D$774,TALLY!A58)</f>
        <v>0</v>
      </c>
      <c r="AQ58" s="314">
        <f>COUNTIF(TT!$D$781:$D$789,TALLY!A58)</f>
        <v>0</v>
      </c>
      <c r="AR58" s="94" t="s">
        <v>17</v>
      </c>
      <c r="AS58" s="4">
        <f>SUM($B58:$D58)</f>
        <v>1</v>
      </c>
      <c r="AT58" s="4">
        <f>SUM(E58:G58)</f>
        <v>1</v>
      </c>
      <c r="AU58" s="4">
        <f>SUM(H58:J58)</f>
        <v>0</v>
      </c>
      <c r="AV58" s="4">
        <f>SUM(K58:M58)</f>
        <v>1</v>
      </c>
      <c r="AW58" s="4">
        <f>SUM(N58:P58)</f>
        <v>0</v>
      </c>
      <c r="AX58" s="4">
        <f>SUM($Q58:$S58)</f>
        <v>1</v>
      </c>
      <c r="AY58" s="4">
        <f>SUM(T58:V58)</f>
        <v>0</v>
      </c>
      <c r="AZ58" s="4">
        <f>SUM(W58:Y58)</f>
        <v>0</v>
      </c>
      <c r="BA58" s="314">
        <f>SUM(Z58:AB58)</f>
        <v>1</v>
      </c>
      <c r="BB58" s="314">
        <f>SUM(AC58:AE58)</f>
        <v>1</v>
      </c>
      <c r="BC58" s="314">
        <f>SUM(AF58:AH58)</f>
        <v>0</v>
      </c>
      <c r="BD58" s="4">
        <f>SUM(AI58:AK58)</f>
        <v>0</v>
      </c>
      <c r="BE58" s="4">
        <f>SUM(AL58:AN58)</f>
        <v>1</v>
      </c>
      <c r="BF58" s="4">
        <f>SUM(AO58:AQ58)</f>
        <v>0</v>
      </c>
      <c r="BG58" s="92">
        <f>SUM(AS58:BF58)</f>
        <v>7</v>
      </c>
    </row>
    <row r="59" spans="1:59">
      <c r="A59" s="94" t="s">
        <v>112</v>
      </c>
      <c r="B59" s="95">
        <f>COUNTIF(TT!$D$6:$D$15,TALLY!A59)</f>
        <v>0</v>
      </c>
      <c r="C59" s="95">
        <f>COUNTIF(TT!$D$22:$D$32,TALLY!A59)</f>
        <v>0</v>
      </c>
      <c r="D59" s="95">
        <f>COUNTIF(TT!$D$39:$D$49,TALLY!A59)</f>
        <v>0</v>
      </c>
      <c r="E59" s="4">
        <f>COUNTIF(TT!$D$57:$D$67,TALLY!A59)</f>
        <v>0</v>
      </c>
      <c r="F59" s="4">
        <f>COUNTIF(TT!$D$74:$D$86,TALLY!A59)</f>
        <v>0</v>
      </c>
      <c r="G59" s="4">
        <f>COUNTIF(TT!$D$93:$D$107,TALLY!A59)</f>
        <v>1</v>
      </c>
      <c r="H59" s="95">
        <f>COUNTIF(TT!$D$113:$D$129,TALLY!A59)</f>
        <v>0</v>
      </c>
      <c r="I59" s="95">
        <f>COUNTIF(TT!$D$135:$D$155,TALLY!A59)</f>
        <v>0</v>
      </c>
      <c r="J59" s="95">
        <f>COUNTIF(TT!$D$162:$D$173,TALLY!A59)</f>
        <v>0</v>
      </c>
      <c r="K59" s="4">
        <f>COUNTIF(TT!$D$180:$D$199,TALLY!A59)</f>
        <v>0</v>
      </c>
      <c r="L59" s="4">
        <f>COUNTIF(TT!$D$207:$D$215,TALLY!A59)</f>
        <v>0</v>
      </c>
      <c r="M59" s="4">
        <f>COUNTIF(TT!$D$224:$D$231,TALLY!A59)</f>
        <v>0</v>
      </c>
      <c r="N59" s="345">
        <f>COUNTIF(TT!$D$237:$D$249,TALLY!A59)</f>
        <v>0</v>
      </c>
      <c r="O59" s="345">
        <f>COUNTIF(TT!$D$256:$D$264,TALLY!A59)</f>
        <v>0</v>
      </c>
      <c r="P59" s="345">
        <f>COUNTIF(TT!$D$271:$D$286,TALLY!A59)</f>
        <v>0</v>
      </c>
      <c r="Q59" s="4">
        <f>COUNTIF(TT!$D$293:$D$300,TALLY!A59)</f>
        <v>0</v>
      </c>
      <c r="R59" s="4">
        <f>COUNTIF(TT!$D$307:$D$319,TALLY!A59)</f>
        <v>0</v>
      </c>
      <c r="S59" s="4">
        <f>COUNTIF(TT!$D$326:$D$334,TALLY!A59)</f>
        <v>0</v>
      </c>
      <c r="T59" s="95">
        <f>COUNTIF(TT!$D$341:$D$350,TALLY!A59)</f>
        <v>0</v>
      </c>
      <c r="U59" s="95">
        <f>COUNTIF(TT!$D$357:$D$366,TALLY!A59)</f>
        <v>0</v>
      </c>
      <c r="V59" s="95">
        <f>COUNTIF(TT!$D$373:$D$383,TALLY!A59)</f>
        <v>0</v>
      </c>
      <c r="W59" s="4">
        <f>COUNTIF(TT!$D$390:$D$405,TALLY!A59)</f>
        <v>0</v>
      </c>
      <c r="X59" s="4">
        <f>COUNTIF(TT!$D$412:$D$423,TALLY!A59)</f>
        <v>1</v>
      </c>
      <c r="Y59" s="4">
        <f>COUNTIF(TT!$D$430:$D$438,TALLY!A59)</f>
        <v>0</v>
      </c>
      <c r="Z59" s="95">
        <f>COUNTIF(TT!$D$443:$D$457,TALLY!A59)</f>
        <v>0</v>
      </c>
      <c r="AA59" s="95">
        <f>COUNTIF(TT!$D$464:$D$474,TALLY!A59)</f>
        <v>1</v>
      </c>
      <c r="AB59" s="95">
        <f>COUNTIF(TT!$D$481:$D$494,TALLY!A59)</f>
        <v>0</v>
      </c>
      <c r="AC59" s="345">
        <f>COUNTIF(TT!$D$503:$D$522,TALLY!A59)</f>
        <v>0</v>
      </c>
      <c r="AD59" s="345">
        <f>COUNTIF(TT!$D$529:$D$541,TALLY!A59)</f>
        <v>0</v>
      </c>
      <c r="AE59" s="345">
        <f>COUNTIF(TT!$D$548:$D$561,TALLY!A59)</f>
        <v>0</v>
      </c>
      <c r="AF59" s="95">
        <f>COUNTIF(TT!$D$574:$D$584,TALLY!A59)</f>
        <v>0</v>
      </c>
      <c r="AG59" s="95">
        <f>COUNTIF(TT!$D$591:$D$601,TALLY!A59)</f>
        <v>0</v>
      </c>
      <c r="AH59" s="95">
        <f>COUNTIF(TT!$D$608:$D$619,TALLY!A59)</f>
        <v>0</v>
      </c>
      <c r="AI59" s="314">
        <f>COUNTIF(TT!$D$628:$D$647,TALLY!A59)</f>
        <v>0</v>
      </c>
      <c r="AJ59" s="314">
        <f>COUNTIF(TT!$D$654:$D$668,TALLY!A59)</f>
        <v>0</v>
      </c>
      <c r="AK59" s="314">
        <f>COUNTIF(TT!$D$675:$D$685,TALLY!A59)</f>
        <v>0</v>
      </c>
      <c r="AL59" s="95">
        <f>COUNTIF(TT!$D$692:$D$702,TALLY!A59)</f>
        <v>0</v>
      </c>
      <c r="AM59" s="95">
        <f>COUNTIF(TT!$D$709:$D$721,TALLY!A59)</f>
        <v>0</v>
      </c>
      <c r="AN59" s="95">
        <f>COUNTIF(TT!$D$728:$D$737,TALLY!A59)</f>
        <v>1</v>
      </c>
      <c r="AO59" s="314">
        <f>COUNTIF(TT!$D$744:$D$753,TALLY!A59)</f>
        <v>0</v>
      </c>
      <c r="AP59" s="314">
        <f>COUNTIF(TT!$D$759:$D$774,TALLY!A59)</f>
        <v>0</v>
      </c>
      <c r="AQ59" s="314">
        <f>COUNTIF(TT!$D$781:$D$789,TALLY!A59)</f>
        <v>1</v>
      </c>
      <c r="AR59" s="94" t="s">
        <v>112</v>
      </c>
      <c r="AS59" s="4">
        <f>SUM($B59:$D59)</f>
        <v>0</v>
      </c>
      <c r="AT59" s="4">
        <f>SUM(E59:G59)</f>
        <v>1</v>
      </c>
      <c r="AU59" s="4">
        <f>SUM(H59:J59)</f>
        <v>0</v>
      </c>
      <c r="AV59" s="4">
        <f>SUM(K59:M59)</f>
        <v>0</v>
      </c>
      <c r="AW59" s="4">
        <f>SUM(N59:P59)</f>
        <v>0</v>
      </c>
      <c r="AX59" s="4">
        <f>SUM($Q59:$S59)</f>
        <v>0</v>
      </c>
      <c r="AY59" s="4">
        <f>SUM(T59:V59)</f>
        <v>0</v>
      </c>
      <c r="AZ59" s="4">
        <f>SUM(W59:Y59)</f>
        <v>1</v>
      </c>
      <c r="BA59" s="314">
        <f>SUM(Z59:AB59)</f>
        <v>1</v>
      </c>
      <c r="BB59" s="314">
        <f>SUM(AC59:AE59)</f>
        <v>0</v>
      </c>
      <c r="BC59" s="314">
        <f>SUM(AF59:AH59)</f>
        <v>0</v>
      </c>
      <c r="BD59" s="4">
        <f>SUM(AI59:AK59)</f>
        <v>0</v>
      </c>
      <c r="BE59" s="4">
        <f>SUM(AL59:AN59)</f>
        <v>1</v>
      </c>
      <c r="BF59" s="4">
        <f>SUM(AO59:AQ59)</f>
        <v>1</v>
      </c>
      <c r="BG59" s="92">
        <f>SUM(AS59:BF59)</f>
        <v>5</v>
      </c>
    </row>
    <row ht="15" customHeight="1" r="60" spans="1:59">
      <c r="A60" s="94" t="s">
        <v>75</v>
      </c>
      <c r="B60" s="95">
        <f>COUNTIF(TT!$D$6:$D$15,TALLY!A60)</f>
        <v>0</v>
      </c>
      <c r="C60" s="95">
        <f>COUNTIF(TT!$D$22:$D$32,TALLY!A60)</f>
        <v>0</v>
      </c>
      <c r="D60" s="95">
        <f>COUNTIF(TT!$D$39:$D$49,TALLY!A60)</f>
        <v>0</v>
      </c>
      <c r="E60" s="4">
        <f>COUNTIF(TT!$D$57:$D$67,TALLY!A60)</f>
        <v>1</v>
      </c>
      <c r="F60" s="4">
        <f>COUNTIF(TT!$D$74:$D$86,TALLY!A60)</f>
        <v>0</v>
      </c>
      <c r="G60" s="4">
        <f>COUNTIF(TT!$D$93:$D$107,TALLY!A60)</f>
        <v>0</v>
      </c>
      <c r="H60" s="95">
        <f>COUNTIF(TT!$D$113:$D$129,TALLY!A60)</f>
        <v>0</v>
      </c>
      <c r="I60" s="95">
        <f>COUNTIF(TT!$D$135:$D$155,TALLY!A60)</f>
        <v>0</v>
      </c>
      <c r="J60" s="95">
        <f>COUNTIF(TT!$D$162:$D$173,TALLY!A60)</f>
        <v>0</v>
      </c>
      <c r="K60" s="4">
        <f>COUNTIF(TT!$D$180:$D$199,TALLY!A60)</f>
        <v>0</v>
      </c>
      <c r="L60" s="4">
        <f>COUNTIF(TT!$D$207:$D$215,TALLY!A60)</f>
        <v>0</v>
      </c>
      <c r="M60" s="4">
        <f>COUNTIF(TT!$D$224:$D$231,TALLY!A60)</f>
        <v>0</v>
      </c>
      <c r="N60" s="345">
        <f>COUNTIF(TT!$D$237:$D$249,TALLY!A60)</f>
        <v>0</v>
      </c>
      <c r="O60" s="345">
        <f>COUNTIF(TT!$D$256:$D$264,TALLY!A60)</f>
        <v>0</v>
      </c>
      <c r="P60" s="345">
        <f>COUNTIF(TT!$D$271:$D$286,TALLY!A60)</f>
        <v>0</v>
      </c>
      <c r="Q60" s="4">
        <f>COUNTIF(TT!$D$293:$D$300,TALLY!A60)</f>
        <v>0</v>
      </c>
      <c r="R60" s="4">
        <f>COUNTIF(TT!$D$307:$D$319,TALLY!A60)</f>
        <v>1</v>
      </c>
      <c r="S60" s="4">
        <f>COUNTIF(TT!$D$326:$D$334,TALLY!A60)</f>
        <v>0</v>
      </c>
      <c r="T60" s="95">
        <f>COUNTIF(TT!$D$341:$D$350,TALLY!A60)</f>
        <v>0</v>
      </c>
      <c r="U60" s="95">
        <f>COUNTIF(TT!$D$357:$D$366,TALLY!A60)</f>
        <v>0</v>
      </c>
      <c r="V60" s="95">
        <f>COUNTIF(TT!$D$373:$D$383,TALLY!A60)</f>
        <v>0</v>
      </c>
      <c r="W60" s="4">
        <f>COUNTIF(TT!$D$390:$D$405,TALLY!A60)</f>
        <v>0</v>
      </c>
      <c r="X60" s="4">
        <f>COUNTIF(TT!$D$412:$D$423,TALLY!A60)</f>
        <v>1</v>
      </c>
      <c r="Y60" s="4">
        <f>COUNTIF(TT!$D$430:$D$438,TALLY!A60)</f>
        <v>0</v>
      </c>
      <c r="Z60" s="95">
        <f>COUNTIF(TT!$D$443:$D$457,TALLY!A60)</f>
        <v>0</v>
      </c>
      <c r="AA60" s="95">
        <f>COUNTIF(TT!$D$464:$D$474,TALLY!A60)</f>
        <v>0</v>
      </c>
      <c r="AB60" s="95">
        <f>COUNTIF(TT!$D$481:$D$494,TALLY!A60)</f>
        <v>0</v>
      </c>
      <c r="AC60" s="345">
        <f>COUNTIF(TT!$D$503:$D$522,TALLY!A60)</f>
        <v>0</v>
      </c>
      <c r="AD60" s="345">
        <f>COUNTIF(TT!$D$529:$D$541,TALLY!A60)</f>
        <v>1</v>
      </c>
      <c r="AE60" s="345">
        <f>COUNTIF(TT!$D$548:$D$561,TALLY!A60)</f>
        <v>0</v>
      </c>
      <c r="AF60" s="95">
        <f>COUNTIF(TT!$D$574:$D$584,TALLY!A60)</f>
        <v>0</v>
      </c>
      <c r="AG60" s="95">
        <f>COUNTIF(TT!$D$591:$D$601,TALLY!A60)</f>
        <v>0</v>
      </c>
      <c r="AH60" s="95">
        <f>COUNTIF(TT!$D$608:$D$619,TALLY!A60)</f>
        <v>0</v>
      </c>
      <c r="AI60" s="314">
        <f>COUNTIF(TT!$D$628:$D$647,TALLY!A60)</f>
        <v>0</v>
      </c>
      <c r="AJ60" s="314">
        <f>COUNTIF(TT!$D$654:$D$668,TALLY!A60)</f>
        <v>1</v>
      </c>
      <c r="AK60" s="314">
        <f>COUNTIF(TT!$D$675:$D$685,TALLY!A60)</f>
        <v>0</v>
      </c>
      <c r="AL60" s="95">
        <f>COUNTIF(TT!$D$692:$D$702,TALLY!A60)</f>
        <v>0</v>
      </c>
      <c r="AM60" s="95">
        <f>COUNTIF(TT!$D$709:$D$721,TALLY!A60)</f>
        <v>0</v>
      </c>
      <c r="AN60" s="95">
        <f>COUNTIF(TT!$D$728:$D$737,TALLY!A60)</f>
        <v>0</v>
      </c>
      <c r="AO60" s="314">
        <f>COUNTIF(TT!$D$744:$D$753,TALLY!A60)</f>
        <v>0</v>
      </c>
      <c r="AP60" s="314">
        <f>COUNTIF(TT!$D$759:$D$774,TALLY!A60)</f>
        <v>0</v>
      </c>
      <c r="AQ60" s="314">
        <f>COUNTIF(TT!$D$781:$D$789,TALLY!A60)</f>
        <v>0</v>
      </c>
      <c r="AR60" s="94" t="s">
        <v>75</v>
      </c>
      <c r="AS60" s="4">
        <f>SUM($B60:$D60)</f>
        <v>0</v>
      </c>
      <c r="AT60" s="4">
        <f>SUM(E60:G60)</f>
        <v>1</v>
      </c>
      <c r="AU60" s="4">
        <f>SUM(H60:J60)</f>
        <v>0</v>
      </c>
      <c r="AV60" s="4">
        <f>SUM(K60:M60)</f>
        <v>0</v>
      </c>
      <c r="AW60" s="4">
        <f>SUM(N60:P60)</f>
        <v>0</v>
      </c>
      <c r="AX60" s="4">
        <f>SUM($Q60:$S60)</f>
        <v>1</v>
      </c>
      <c r="AY60" s="4">
        <f>SUM(T60:V60)</f>
        <v>0</v>
      </c>
      <c r="AZ60" s="4">
        <f>SUM(W60:Y60)</f>
        <v>1</v>
      </c>
      <c r="BA60" s="314">
        <f>SUM(Z60:AB60)</f>
        <v>0</v>
      </c>
      <c r="BB60" s="314">
        <f>SUM(AC60:AE60)</f>
        <v>1</v>
      </c>
      <c r="BC60" s="314">
        <f>SUM(AF60:AH60)</f>
        <v>0</v>
      </c>
      <c r="BD60" s="4">
        <f>SUM(AI60:AK60)</f>
        <v>1</v>
      </c>
      <c r="BE60" s="4">
        <f>SUM(AL60:AN60)</f>
        <v>0</v>
      </c>
      <c r="BF60" s="4">
        <f>SUM(AO60:AQ60)</f>
        <v>0</v>
      </c>
      <c r="BG60" s="92">
        <f>SUM(AS60:BF60)</f>
        <v>5</v>
      </c>
    </row>
    <row r="61" spans="1:59">
      <c r="A61" s="94" t="s">
        <v>19</v>
      </c>
      <c r="B61" s="95">
        <f>COUNTIF(TT!$D$6:$D$15,TALLY!A61)</f>
        <v>0</v>
      </c>
      <c r="C61" s="95">
        <f>COUNTIF(TT!$D$22:$D$32,TALLY!A61)</f>
        <v>0</v>
      </c>
      <c r="D61" s="95">
        <f>COUNTIF(TT!$D$39:$D$49,TALLY!A61)</f>
        <v>1</v>
      </c>
      <c r="E61" s="4">
        <f>COUNTIF(TT!$D$57:$D$67,TALLY!A61)</f>
        <v>0</v>
      </c>
      <c r="F61" s="4">
        <f>COUNTIF(TT!$D$74:$D$86,TALLY!A61)</f>
        <v>0</v>
      </c>
      <c r="G61" s="4">
        <f>COUNTIF(TT!$D$93:$D$107,TALLY!A61)</f>
        <v>1</v>
      </c>
      <c r="H61" s="95">
        <f>COUNTIF(TT!$D$113:$D$129,TALLY!A61)</f>
        <v>0</v>
      </c>
      <c r="I61" s="95">
        <f>COUNTIF(TT!$D$135:$D$155,TALLY!A61)</f>
        <v>0</v>
      </c>
      <c r="J61" s="95">
        <f>COUNTIF(TT!$D$162:$D$173,TALLY!A61)</f>
        <v>1</v>
      </c>
      <c r="K61" s="4">
        <f>COUNTIF(TT!$D$180:$D$199,TALLY!A61)</f>
        <v>0</v>
      </c>
      <c r="L61" s="4">
        <f>COUNTIF(TT!$D$207:$D$215,TALLY!A61)</f>
        <v>0</v>
      </c>
      <c r="M61" s="4">
        <f>COUNTIF(TT!$D$224:$D$231,TALLY!A61)</f>
        <v>0</v>
      </c>
      <c r="N61" s="345">
        <f>COUNTIF(TT!$D$237:$D$249,TALLY!A61)</f>
        <v>0</v>
      </c>
      <c r="O61" s="345">
        <f>COUNTIF(TT!$D$256:$D$264,TALLY!A61)</f>
        <v>0</v>
      </c>
      <c r="P61" s="345">
        <f>COUNTIF(TT!$D$271:$D$286,TALLY!A61)</f>
        <v>0</v>
      </c>
      <c r="Q61" s="4">
        <f>COUNTIF(TT!$D$293:$D$300,TALLY!A61)</f>
        <v>1</v>
      </c>
      <c r="R61" s="4">
        <f>COUNTIF(TT!$D$307:$D$319,TALLY!A61)</f>
        <v>0</v>
      </c>
      <c r="S61" s="4">
        <f>COUNTIF(TT!$D$326:$D$334,TALLY!A61)</f>
        <v>0</v>
      </c>
      <c r="T61" s="95">
        <f>COUNTIF(TT!$D$341:$D$350,TALLY!A61)</f>
        <v>0</v>
      </c>
      <c r="U61" s="95">
        <f>COUNTIF(TT!$D$357:$D$366,TALLY!A61)</f>
        <v>1</v>
      </c>
      <c r="V61" s="95">
        <f>COUNTIF(TT!$D$373:$D$383,TALLY!A61)</f>
        <v>0</v>
      </c>
      <c r="W61" s="4">
        <f>COUNTIF(TT!$D$390:$D$405,TALLY!A61)</f>
        <v>0</v>
      </c>
      <c r="X61" s="4">
        <f>COUNTIF(TT!$D$412:$D$423,TALLY!A61)</f>
        <v>0</v>
      </c>
      <c r="Y61" s="4">
        <f>COUNTIF(TT!$D$430:$D$438,TALLY!A61)</f>
        <v>0</v>
      </c>
      <c r="Z61" s="95">
        <f>COUNTIF(TT!$D$443:$D$457,TALLY!A61)</f>
        <v>0</v>
      </c>
      <c r="AA61" s="95">
        <f>COUNTIF(TT!$D$464:$D$474,TALLY!A61)</f>
        <v>0</v>
      </c>
      <c r="AB61" s="95">
        <f>COUNTIF(TT!$D$481:$D$494,TALLY!A61)</f>
        <v>0</v>
      </c>
      <c r="AC61" s="345">
        <f>COUNTIF(TT!$D$503:$D$522,TALLY!A61)</f>
        <v>0</v>
      </c>
      <c r="AD61" s="345">
        <f>COUNTIF(TT!$D$529:$D$541,TALLY!A61)</f>
        <v>0</v>
      </c>
      <c r="AE61" s="345">
        <f>COUNTIF(TT!$D$548:$D$561,TALLY!A61)</f>
        <v>1</v>
      </c>
      <c r="AF61" s="95">
        <f>COUNTIF(TT!$D$574:$D$584,TALLY!A61)</f>
        <v>0</v>
      </c>
      <c r="AG61" s="95">
        <f>COUNTIF(TT!$D$591:$D$601,TALLY!A61)</f>
        <v>0</v>
      </c>
      <c r="AH61" s="95">
        <f>COUNTIF(TT!$D$608:$D$619,TALLY!A61)</f>
        <v>1</v>
      </c>
      <c r="AI61" s="314">
        <f>COUNTIF(TT!$D$628:$D$647,TALLY!A61)</f>
        <v>0</v>
      </c>
      <c r="AJ61" s="314">
        <f>COUNTIF(TT!$D$654:$D$668,TALLY!A61)</f>
        <v>1</v>
      </c>
      <c r="AK61" s="314">
        <f>COUNTIF(TT!$D$675:$D$685,TALLY!A61)</f>
        <v>0</v>
      </c>
      <c r="AL61" s="95">
        <f>COUNTIF(TT!$D$692:$D$702,TALLY!A61)</f>
        <v>0</v>
      </c>
      <c r="AM61" s="95">
        <f>COUNTIF(TT!$D$709:$D$721,TALLY!A61)</f>
        <v>1</v>
      </c>
      <c r="AN61" s="95">
        <f>COUNTIF(TT!$D$728:$D$737,TALLY!A61)</f>
        <v>0</v>
      </c>
      <c r="AO61" s="314">
        <f>COUNTIF(TT!$D$744:$D$753,TALLY!A61)</f>
        <v>1</v>
      </c>
      <c r="AP61" s="314">
        <f>COUNTIF(TT!$D$759:$D$774,TALLY!A61)</f>
        <v>0</v>
      </c>
      <c r="AQ61" s="314">
        <f>COUNTIF(TT!$D$781:$D$789,TALLY!A61)</f>
        <v>0</v>
      </c>
      <c r="AR61" s="94" t="s">
        <v>19</v>
      </c>
      <c r="AS61" s="4">
        <f>SUM($B61:$D61)</f>
        <v>1</v>
      </c>
      <c r="AT61" s="4">
        <f>SUM(E61:G61)</f>
        <v>1</v>
      </c>
      <c r="AU61" s="4">
        <f>SUM(H61:J61)</f>
        <v>1</v>
      </c>
      <c r="AV61" s="4">
        <f>SUM(K61:M61)</f>
        <v>0</v>
      </c>
      <c r="AW61" s="4">
        <f>SUM(N61:P61)</f>
        <v>0</v>
      </c>
      <c r="AX61" s="4">
        <f>SUM($Q61:$S61)</f>
        <v>1</v>
      </c>
      <c r="AY61" s="4">
        <f>SUM(T61:V61)</f>
        <v>1</v>
      </c>
      <c r="AZ61" s="4">
        <f>SUM(W61:Y61)</f>
        <v>0</v>
      </c>
      <c r="BA61" s="314">
        <f>SUM(Z61:AB61)</f>
        <v>0</v>
      </c>
      <c r="BB61" s="314">
        <f>SUM(AC61:AE61)</f>
        <v>1</v>
      </c>
      <c r="BC61" s="314">
        <f>SUM(AF61:AH61)</f>
        <v>1</v>
      </c>
      <c r="BD61" s="4">
        <f>SUM(AI61:AK61)</f>
        <v>1</v>
      </c>
      <c r="BE61" s="4">
        <f>SUM(AL61:AN61)</f>
        <v>1</v>
      </c>
      <c r="BF61" s="4">
        <f>SUM(AO61:AQ61)</f>
        <v>1</v>
      </c>
      <c r="BG61" s="92">
        <f>SUM(AS61:BF61)</f>
        <v>10</v>
      </c>
    </row>
    <row r="62" spans="1:59">
      <c r="A62" s="94" t="s">
        <v>78</v>
      </c>
      <c r="B62" s="95">
        <f>COUNTIF(TT!$D$6:$D$15,TALLY!A62)</f>
        <v>0</v>
      </c>
      <c r="C62" s="95">
        <f>COUNTIF(TT!$D$22:$D$32,TALLY!A62)</f>
        <v>0</v>
      </c>
      <c r="D62" s="95">
        <f>COUNTIF(TT!$D$39:$D$49,TALLY!A62)</f>
        <v>0</v>
      </c>
      <c r="E62" s="4">
        <f>COUNTIF(TT!$D$57:$D$67,TALLY!A62)</f>
        <v>0</v>
      </c>
      <c r="F62" s="4">
        <f>COUNTIF(TT!$D$74:$D$86,TALLY!A62)</f>
        <v>0</v>
      </c>
      <c r="G62" s="4">
        <f>COUNTIF(TT!$D$93:$D$107,TALLY!A62)</f>
        <v>1</v>
      </c>
      <c r="H62" s="95">
        <f>COUNTIF(TT!$D$113:$D$129,TALLY!A62)</f>
        <v>0</v>
      </c>
      <c r="I62" s="95">
        <f>COUNTIF(TT!$D$135:$D$155,TALLY!A62)</f>
        <v>1</v>
      </c>
      <c r="J62" s="95">
        <f>COUNTIF(TT!$D$162:$D$173,TALLY!A62)</f>
        <v>0</v>
      </c>
      <c r="K62" s="4">
        <f>COUNTIF(TT!$D$180:$D$199,TALLY!A62)</f>
        <v>0</v>
      </c>
      <c r="L62" s="4">
        <f>COUNTIF(TT!$D$207:$D$215,TALLY!A62)</f>
        <v>0</v>
      </c>
      <c r="M62" s="4">
        <f>COUNTIF(TT!$D$224:$D$231,TALLY!A62)</f>
        <v>1</v>
      </c>
      <c r="N62" s="345">
        <f>COUNTIF(TT!$D$237:$D$249,TALLY!A62)</f>
        <v>0</v>
      </c>
      <c r="O62" s="345">
        <f>COUNTIF(TT!$D$256:$D$264,TALLY!A62)</f>
        <v>0</v>
      </c>
      <c r="P62" s="345">
        <f>COUNTIF(TT!$D$271:$D$286,TALLY!A62)</f>
        <v>1</v>
      </c>
      <c r="Q62" s="4">
        <f>COUNTIF(TT!$D$293:$D$300,TALLY!A62)</f>
        <v>0</v>
      </c>
      <c r="R62" s="4">
        <f>COUNTIF(TT!$D$307:$D$319,TALLY!A62)</f>
        <v>0</v>
      </c>
      <c r="S62" s="4">
        <f>COUNTIF(TT!$D$326:$D$334,TALLY!A62)</f>
        <v>0</v>
      </c>
      <c r="T62" s="95">
        <f>COUNTIF(TT!$D$341:$D$350,TALLY!A62)</f>
        <v>0</v>
      </c>
      <c r="U62" s="95">
        <f>COUNTIF(TT!$D$357:$D$366,TALLY!A62)</f>
        <v>0</v>
      </c>
      <c r="V62" s="95">
        <f>COUNTIF(TT!$D$373:$D$383,TALLY!A62)</f>
        <v>0</v>
      </c>
      <c r="W62" s="4">
        <f>COUNTIF(TT!$D$390:$D$405,TALLY!A62)</f>
        <v>0</v>
      </c>
      <c r="X62" s="4">
        <f>COUNTIF(TT!$D$412:$D$423,TALLY!A62)</f>
        <v>0</v>
      </c>
      <c r="Y62" s="4">
        <f>COUNTIF(TT!$D$430:$D$438,TALLY!A62)</f>
        <v>1</v>
      </c>
      <c r="Z62" s="95">
        <f>COUNTIF(TT!$D$443:$D$457,TALLY!A62)</f>
        <v>0</v>
      </c>
      <c r="AA62" s="95">
        <f>COUNTIF(TT!$D$464:$D$474,TALLY!A62)</f>
        <v>0</v>
      </c>
      <c r="AB62" s="95">
        <f>COUNTIF(TT!$D$481:$D$494,TALLY!A62)</f>
        <v>0</v>
      </c>
      <c r="AC62" s="345">
        <f>COUNTIF(TT!$D$503:$D$522,TALLY!A62)</f>
        <v>0</v>
      </c>
      <c r="AD62" s="345">
        <f>COUNTIF(TT!$D$529:$D$541,TALLY!A62)</f>
        <v>0</v>
      </c>
      <c r="AE62" s="345">
        <f>COUNTIF(TT!$D$548:$D$561,TALLY!A62)</f>
        <v>0</v>
      </c>
      <c r="AF62" s="95">
        <f>COUNTIF(TT!$D$574:$D$584,TALLY!A62)</f>
        <v>0</v>
      </c>
      <c r="AG62" s="95">
        <f>COUNTIF(TT!$D$591:$D$601,TALLY!A62)</f>
        <v>0</v>
      </c>
      <c r="AH62" s="95">
        <f>COUNTIF(TT!$D$608:$D$619,TALLY!A62)</f>
        <v>1</v>
      </c>
      <c r="AI62" s="314">
        <f>COUNTIF(TT!$D$628:$D$647,TALLY!A62)</f>
        <v>0</v>
      </c>
      <c r="AJ62" s="314">
        <f>COUNTIF(TT!$D$654:$D$668,TALLY!A62)</f>
        <v>1</v>
      </c>
      <c r="AK62" s="314">
        <f>COUNTIF(TT!$D$675:$D$685,TALLY!A62)</f>
        <v>0</v>
      </c>
      <c r="AL62" s="95">
        <f>COUNTIF(TT!$D$692:$D$702,TALLY!A62)</f>
        <v>0</v>
      </c>
      <c r="AM62" s="95">
        <f>COUNTIF(TT!$D$709:$D$721,TALLY!A62)</f>
        <v>0</v>
      </c>
      <c r="AN62" s="95">
        <f>COUNTIF(TT!$D$728:$D$737,TALLY!A62)</f>
        <v>0</v>
      </c>
      <c r="AO62" s="314">
        <f>COUNTIF(TT!$D$744:$D$753,TALLY!A62)</f>
        <v>1</v>
      </c>
      <c r="AP62" s="314">
        <f>COUNTIF(TT!$D$759:$D$774,TALLY!A62)</f>
        <v>0</v>
      </c>
      <c r="AQ62" s="314">
        <f>COUNTIF(TT!$D$781:$D$789,TALLY!A62)</f>
        <v>0</v>
      </c>
      <c r="AR62" s="94" t="s">
        <v>78</v>
      </c>
      <c r="AS62" s="4">
        <f>SUM($B62:$D62)</f>
        <v>0</v>
      </c>
      <c r="AT62" s="4">
        <f>SUM(E62:G62)</f>
        <v>1</v>
      </c>
      <c r="AU62" s="4">
        <f>SUM(H62:J62)</f>
        <v>1</v>
      </c>
      <c r="AV62" s="4">
        <f>SUM(K62:M62)</f>
        <v>1</v>
      </c>
      <c r="AW62" s="4">
        <f>SUM(N62:P62)</f>
        <v>1</v>
      </c>
      <c r="AX62" s="4">
        <f>SUM($Q62:$S62)</f>
        <v>0</v>
      </c>
      <c r="AY62" s="4">
        <f>SUM(T62:V62)</f>
        <v>0</v>
      </c>
      <c r="AZ62" s="4">
        <f>SUM(W62:Y62)</f>
        <v>1</v>
      </c>
      <c r="BA62" s="314">
        <f>SUM(Z62:AB62)</f>
        <v>0</v>
      </c>
      <c r="BB62" s="314">
        <f>SUM(AC62:AE62)</f>
        <v>0</v>
      </c>
      <c r="BC62" s="314">
        <f>SUM(AF62:AH62)</f>
        <v>1</v>
      </c>
      <c r="BD62" s="4">
        <f>SUM(AI62:AK62)</f>
        <v>1</v>
      </c>
      <c r="BE62" s="4">
        <f>SUM(AL62:AN62)</f>
        <v>0</v>
      </c>
      <c r="BF62" s="4">
        <f>SUM(AO62:AQ62)</f>
        <v>1</v>
      </c>
      <c r="BG62" s="92">
        <f>SUM(AS62:BF62)</f>
        <v>8</v>
      </c>
    </row>
    <row r="63" spans="1:59">
      <c r="A63" s="94" t="s">
        <v>113</v>
      </c>
      <c r="B63" s="95">
        <f>COUNTIF(TT!$D$6:$D$15,TALLY!A63)</f>
        <v>0</v>
      </c>
      <c r="C63" s="95">
        <f>COUNTIF(TT!$D$22:$D$32,TALLY!A63)</f>
        <v>0</v>
      </c>
      <c r="D63" s="95">
        <f>COUNTIF(TT!$D$39:$D$49,TALLY!A63)</f>
        <v>0</v>
      </c>
      <c r="E63" s="4">
        <f>COUNTIF(TT!$D$57:$D$67,TALLY!A63)</f>
        <v>0</v>
      </c>
      <c r="F63" s="4">
        <f>COUNTIF(TT!$D$74:$D$86,TALLY!A63)</f>
        <v>1</v>
      </c>
      <c r="G63" s="4">
        <f>COUNTIF(TT!$D$93:$D$107,TALLY!A63)</f>
        <v>0</v>
      </c>
      <c r="H63" s="95">
        <f>COUNTIF(TT!$D$113:$D$129,TALLY!A63)</f>
        <v>0</v>
      </c>
      <c r="I63" s="95">
        <f>COUNTIF(TT!$D$135:$D$155,TALLY!A63)</f>
        <v>0</v>
      </c>
      <c r="J63" s="95">
        <f>COUNTIF(TT!$D$162:$D$173,TALLY!A63)</f>
        <v>0</v>
      </c>
      <c r="K63" s="4">
        <f>COUNTIF(TT!$D$180:$D$199,TALLY!A63)</f>
        <v>0</v>
      </c>
      <c r="L63" s="4">
        <f>COUNTIF(TT!$D$207:$D$215,TALLY!A63)</f>
        <v>0</v>
      </c>
      <c r="M63" s="4">
        <f>COUNTIF(TT!$D$224:$D$231,TALLY!A63)</f>
        <v>0</v>
      </c>
      <c r="N63" s="345">
        <f>COUNTIF(TT!$D$237:$D$249,TALLY!A63)</f>
        <v>0</v>
      </c>
      <c r="O63" s="345">
        <f>COUNTIF(TT!$D$256:$D$264,TALLY!A63)</f>
        <v>0</v>
      </c>
      <c r="P63" s="345">
        <f>COUNTIF(TT!$D$271:$D$286,TALLY!A63)</f>
        <v>0</v>
      </c>
      <c r="Q63" s="4">
        <f>COUNTIF(TT!$D$293:$D$300,TALLY!A63)</f>
        <v>0</v>
      </c>
      <c r="R63" s="4">
        <f>COUNTIF(TT!$D$307:$D$319,TALLY!A63)</f>
        <v>0</v>
      </c>
      <c r="S63" s="4">
        <f>COUNTIF(TT!$D$326:$D$334,TALLY!A63)</f>
        <v>0</v>
      </c>
      <c r="T63" s="95">
        <f>COUNTIF(TT!$D$341:$D$350,TALLY!A63)</f>
        <v>0</v>
      </c>
      <c r="U63" s="95">
        <f>COUNTIF(TT!$D$357:$D$366,TALLY!A63)</f>
        <v>0</v>
      </c>
      <c r="V63" s="95">
        <f>COUNTIF(TT!$D$373:$D$383,TALLY!A63)</f>
        <v>1</v>
      </c>
      <c r="W63" s="4">
        <f>COUNTIF(TT!$D$390:$D$405,TALLY!A63)</f>
        <v>0</v>
      </c>
      <c r="X63" s="4">
        <f>COUNTIF(TT!$D$412:$D$423,TALLY!A63)</f>
        <v>1</v>
      </c>
      <c r="Y63" s="4">
        <f>COUNTIF(TT!$D$430:$D$438,TALLY!A63)</f>
        <v>0</v>
      </c>
      <c r="Z63" s="95">
        <f>COUNTIF(TT!$D$443:$D$457,TALLY!A63)</f>
        <v>0</v>
      </c>
      <c r="AA63" s="95">
        <f>COUNTIF(TT!$D$464:$D$474,TALLY!A63)</f>
        <v>0</v>
      </c>
      <c r="AB63" s="95">
        <f>COUNTIF(TT!$D$481:$D$494,TALLY!A63)</f>
        <v>0</v>
      </c>
      <c r="AC63" s="345">
        <f>COUNTIF(TT!$D$503:$D$522,TALLY!A63)</f>
        <v>0</v>
      </c>
      <c r="AD63" s="345">
        <f>COUNTIF(TT!$D$529:$D$541,TALLY!A63)</f>
        <v>1</v>
      </c>
      <c r="AE63" s="345">
        <f>COUNTIF(TT!$D$548:$D$561,TALLY!A63)</f>
        <v>0</v>
      </c>
      <c r="AF63" s="95">
        <f>COUNTIF(TT!$D$574:$D$584,TALLY!A63)</f>
        <v>0</v>
      </c>
      <c r="AG63" s="95">
        <f>COUNTIF(TT!$D$591:$D$601,TALLY!A63)</f>
        <v>0</v>
      </c>
      <c r="AH63" s="95">
        <f>COUNTIF(TT!$D$608:$D$619,TALLY!A63)</f>
        <v>1</v>
      </c>
      <c r="AI63" s="314">
        <f>COUNTIF(TT!$D$628:$D$647,TALLY!A63)</f>
        <v>0</v>
      </c>
      <c r="AJ63" s="314">
        <f>COUNTIF(TT!$D$654:$D$668,TALLY!A63)</f>
        <v>0</v>
      </c>
      <c r="AK63" s="314">
        <f>COUNTIF(TT!$D$675:$D$685,TALLY!A63)</f>
        <v>0</v>
      </c>
      <c r="AL63" s="95">
        <f>COUNTIF(TT!$D$692:$D$702,TALLY!A63)</f>
        <v>0</v>
      </c>
      <c r="AM63" s="95">
        <f>COUNTIF(TT!$D$709:$D$721,TALLY!A63)</f>
        <v>0</v>
      </c>
      <c r="AN63" s="95">
        <f>COUNTIF(TT!$D$728:$D$737,TALLY!A63)</f>
        <v>0</v>
      </c>
      <c r="AO63" s="314">
        <f>COUNTIF(TT!$D$744:$D$753,TALLY!A63)</f>
        <v>0</v>
      </c>
      <c r="AP63" s="314">
        <f>COUNTIF(TT!$D$759:$D$774,TALLY!A63)</f>
        <v>0</v>
      </c>
      <c r="AQ63" s="314">
        <f>COUNTIF(TT!$D$781:$D$789,TALLY!A63)</f>
        <v>0</v>
      </c>
      <c r="AR63" s="94" t="s">
        <v>113</v>
      </c>
      <c r="AS63" s="4">
        <f>SUM($B63:$D63)</f>
        <v>0</v>
      </c>
      <c r="AT63" s="4">
        <f>SUM(E63:G63)</f>
        <v>1</v>
      </c>
      <c r="AU63" s="4">
        <f>SUM(H63:J63)</f>
        <v>0</v>
      </c>
      <c r="AV63" s="4">
        <f>SUM(K63:M63)</f>
        <v>0</v>
      </c>
      <c r="AW63" s="4">
        <f>SUM(N63:P63)</f>
        <v>0</v>
      </c>
      <c r="AX63" s="4">
        <f>SUM($Q63:$S63)</f>
        <v>0</v>
      </c>
      <c r="AY63" s="4">
        <f>SUM(T63:V63)</f>
        <v>1</v>
      </c>
      <c r="AZ63" s="4">
        <f>SUM(W63:Y63)</f>
        <v>1</v>
      </c>
      <c r="BA63" s="314">
        <f>SUM(Z63:AB63)</f>
        <v>0</v>
      </c>
      <c r="BB63" s="314">
        <f>SUM(AC63:AE63)</f>
        <v>1</v>
      </c>
      <c r="BC63" s="314">
        <f>SUM(AF63:AH63)</f>
        <v>1</v>
      </c>
      <c r="BD63" s="4">
        <f>SUM(AI63:AK63)</f>
        <v>0</v>
      </c>
      <c r="BE63" s="4">
        <f>SUM(AL63:AN63)</f>
        <v>0</v>
      </c>
      <c r="BF63" s="4">
        <f>SUM(AO63:AQ63)</f>
        <v>0</v>
      </c>
      <c r="BG63" s="92">
        <f>SUM(AS63:BF63)</f>
        <v>5</v>
      </c>
    </row>
    <row r="64" spans="1:59">
      <c r="A64" s="94" t="s">
        <v>114</v>
      </c>
      <c r="B64" s="95">
        <f>COUNTIF(TT!$D$6:$D$15,TALLY!A64)</f>
        <v>0</v>
      </c>
      <c r="C64" s="95">
        <f>COUNTIF(TT!$D$22:$D$32,TALLY!A64)</f>
        <v>1</v>
      </c>
      <c r="D64" s="95">
        <f>COUNTIF(TT!$D$39:$D$49,TALLY!A64)</f>
        <v>0</v>
      </c>
      <c r="E64" s="4">
        <f>COUNTIF(TT!$D$57:$D$67,TALLY!A64)</f>
        <v>0</v>
      </c>
      <c r="F64" s="4">
        <f>COUNTIF(TT!$D$74:$D$86,TALLY!A64)</f>
        <v>0</v>
      </c>
      <c r="G64" s="4">
        <f>COUNTIF(TT!$D$93:$D$107,TALLY!A64)</f>
        <v>0</v>
      </c>
      <c r="H64" s="95">
        <f>COUNTIF(TT!$D$113:$D$129,TALLY!A64)</f>
        <v>0</v>
      </c>
      <c r="I64" s="95">
        <f>COUNTIF(TT!$D$135:$D$155,TALLY!A64)</f>
        <v>0</v>
      </c>
      <c r="J64" s="95">
        <f>COUNTIF(TT!$D$162:$D$173,TALLY!A64)</f>
        <v>0</v>
      </c>
      <c r="K64" s="4">
        <f>COUNTIF(TT!$D$180:$D$199,TALLY!A64)</f>
        <v>0</v>
      </c>
      <c r="L64" s="4">
        <f>COUNTIF(TT!$D$207:$D$215,TALLY!A64)</f>
        <v>0</v>
      </c>
      <c r="M64" s="4">
        <f>COUNTIF(TT!$D$224:$D$231,TALLY!A64)</f>
        <v>0</v>
      </c>
      <c r="N64" s="345">
        <f>COUNTIF(TT!$D$237:$D$249,TALLY!A64)</f>
        <v>0</v>
      </c>
      <c r="O64" s="345">
        <f>COUNTIF(TT!$D$256:$D$264,TALLY!A64)</f>
        <v>0</v>
      </c>
      <c r="P64" s="345">
        <f>COUNTIF(TT!$D$271:$D$286,TALLY!A64)</f>
        <v>0</v>
      </c>
      <c r="Q64" s="4">
        <f>COUNTIF(TT!$D$293:$D$300,TALLY!A64)</f>
        <v>0</v>
      </c>
      <c r="R64" s="4">
        <f>COUNTIF(TT!$D$307:$D$319,TALLY!A64)</f>
        <v>0</v>
      </c>
      <c r="S64" s="4">
        <f>COUNTIF(TT!$D$326:$D$334,TALLY!A64)</f>
        <v>0</v>
      </c>
      <c r="T64" s="95">
        <f>COUNTIF(TT!$D$341:$D$350,TALLY!A64)</f>
        <v>0</v>
      </c>
      <c r="U64" s="95">
        <f>COUNTIF(TT!$D$357:$D$366,TALLY!A64)</f>
        <v>1</v>
      </c>
      <c r="V64" s="95">
        <f>COUNTIF(TT!$D$373:$D$383,TALLY!A64)</f>
        <v>0</v>
      </c>
      <c r="W64" s="4">
        <f>COUNTIF(TT!$D$390:$D$405,TALLY!A64)</f>
        <v>0</v>
      </c>
      <c r="X64" s="4">
        <f>COUNTIF(TT!$D$412:$D$423,TALLY!A64)</f>
        <v>1</v>
      </c>
      <c r="Y64" s="4">
        <f>COUNTIF(TT!$D$430:$D$438,TALLY!A64)</f>
        <v>0</v>
      </c>
      <c r="Z64" s="95">
        <f>COUNTIF(TT!$D$443:$D$457,TALLY!A64)</f>
        <v>0</v>
      </c>
      <c r="AA64" s="95">
        <f>COUNTIF(TT!$D$464:$D$474,TALLY!A64)</f>
        <v>0</v>
      </c>
      <c r="AB64" s="95">
        <f>COUNTIF(TT!$D$481:$D$494,TALLY!A64)</f>
        <v>0</v>
      </c>
      <c r="AC64" s="345">
        <f>COUNTIF(TT!$D$503:$D$522,TALLY!A64)</f>
        <v>0</v>
      </c>
      <c r="AD64" s="345">
        <f>COUNTIF(TT!$D$529:$D$541,TALLY!A64)</f>
        <v>0</v>
      </c>
      <c r="AE64" s="345">
        <f>COUNTIF(TT!$D$548:$D$561,TALLY!A64)</f>
        <v>1</v>
      </c>
      <c r="AF64" s="95">
        <f>COUNTIF(TT!$D$574:$D$584,TALLY!A64)</f>
        <v>0</v>
      </c>
      <c r="AG64" s="95">
        <f>COUNTIF(TT!$D$591:$D$601,TALLY!A64)</f>
        <v>0</v>
      </c>
      <c r="AH64" s="95">
        <f>COUNTIF(TT!$D$608:$D$619,TALLY!A64)</f>
        <v>0</v>
      </c>
      <c r="AI64" s="314">
        <f>COUNTIF(TT!$D$628:$D$647,TALLY!A64)</f>
        <v>0</v>
      </c>
      <c r="AJ64" s="314">
        <f>COUNTIF(TT!$D$654:$D$668,TALLY!A64)</f>
        <v>1</v>
      </c>
      <c r="AK64" s="314">
        <f>COUNTIF(TT!$D$675:$D$685,TALLY!A64)</f>
        <v>0</v>
      </c>
      <c r="AL64" s="95">
        <f>COUNTIF(TT!$D$692:$D$702,TALLY!A64)</f>
        <v>0</v>
      </c>
      <c r="AM64" s="95">
        <f>COUNTIF(TT!$D$709:$D$721,TALLY!A64)</f>
        <v>0</v>
      </c>
      <c r="AN64" s="95">
        <f>COUNTIF(TT!$D$728:$D$737,TALLY!A64)</f>
        <v>0</v>
      </c>
      <c r="AO64" s="314">
        <f>COUNTIF(TT!$D$744:$D$753,TALLY!A64)</f>
        <v>1</v>
      </c>
      <c r="AP64" s="314">
        <f>COUNTIF(TT!$D$759:$D$774,TALLY!A64)</f>
        <v>0</v>
      </c>
      <c r="AQ64" s="314">
        <f>COUNTIF(TT!$D$781:$D$789,TALLY!A64)</f>
        <v>0</v>
      </c>
      <c r="AR64" s="94" t="s">
        <v>114</v>
      </c>
      <c r="AS64" s="4">
        <f>SUM($B64:$D64)</f>
        <v>1</v>
      </c>
      <c r="AT64" s="4">
        <f>SUM(E64:G64)</f>
        <v>0</v>
      </c>
      <c r="AU64" s="4">
        <f>SUM(H64:J64)</f>
        <v>0</v>
      </c>
      <c r="AV64" s="4">
        <f>SUM(K64:M64)</f>
        <v>0</v>
      </c>
      <c r="AW64" s="4">
        <f>SUM(N64:P64)</f>
        <v>0</v>
      </c>
      <c r="AX64" s="4">
        <f>SUM($Q64:$S64)</f>
        <v>0</v>
      </c>
      <c r="AY64" s="4">
        <f>SUM(T64:V64)</f>
        <v>1</v>
      </c>
      <c r="AZ64" s="4">
        <f>SUM(W64:Y64)</f>
        <v>1</v>
      </c>
      <c r="BA64" s="314">
        <f>SUM(Z64:AB64)</f>
        <v>0</v>
      </c>
      <c r="BB64" s="314">
        <f>SUM(AC64:AE64)</f>
        <v>1</v>
      </c>
      <c r="BC64" s="314">
        <f>SUM(AF64:AH64)</f>
        <v>0</v>
      </c>
      <c r="BD64" s="4">
        <f>SUM(AI64:AK64)</f>
        <v>1</v>
      </c>
      <c r="BE64" s="4">
        <f>SUM(AL64:AN64)</f>
        <v>0</v>
      </c>
      <c r="BF64" s="4">
        <f>SUM(AO64:AQ64)</f>
        <v>1</v>
      </c>
      <c r="BG64" s="92">
        <f>SUM(AS64:BF64)</f>
        <v>6</v>
      </c>
    </row>
    <row r="65" spans="1:59">
      <c r="A65" s="94" t="s">
        <v>22</v>
      </c>
      <c r="B65" s="95">
        <f>COUNTIF(TT!$D$6:$D$15,TALLY!A65)</f>
        <v>0</v>
      </c>
      <c r="C65" s="95">
        <f>COUNTIF(TT!$D$22:$D$32,TALLY!A65)</f>
        <v>0</v>
      </c>
      <c r="D65" s="95">
        <f>COUNTIF(TT!$D$39:$D$49,TALLY!A65)</f>
        <v>1</v>
      </c>
      <c r="E65" s="4">
        <f>COUNTIF(TT!$D$57:$D$67,TALLY!A65)</f>
        <v>0</v>
      </c>
      <c r="F65" s="4">
        <f>COUNTIF(TT!$D$74:$D$86,TALLY!A65)</f>
        <v>0</v>
      </c>
      <c r="G65" s="4">
        <f>COUNTIF(TT!$D$93:$D$107,TALLY!A65)</f>
        <v>0</v>
      </c>
      <c r="H65" s="95">
        <f>COUNTIF(TT!$D$113:$D$129,TALLY!A65)</f>
        <v>0</v>
      </c>
      <c r="I65" s="95">
        <f>COUNTIF(TT!$D$135:$D$155,TALLY!A65)</f>
        <v>0</v>
      </c>
      <c r="J65" s="95">
        <f>COUNTIF(TT!$D$162:$D$173,TALLY!A65)</f>
        <v>1</v>
      </c>
      <c r="K65" s="4">
        <f>COUNTIF(TT!$D$180:$D$199,TALLY!A65)</f>
        <v>0</v>
      </c>
      <c r="L65" s="4">
        <f>COUNTIF(TT!$D$207:$D$215,TALLY!A65)</f>
        <v>0</v>
      </c>
      <c r="M65" s="4">
        <f>COUNTIF(TT!$D$224:$D$231,TALLY!A65)</f>
        <v>0</v>
      </c>
      <c r="N65" s="345">
        <f>COUNTIF(TT!$D$237:$D$249,TALLY!A65)</f>
        <v>0</v>
      </c>
      <c r="O65" s="345">
        <f>COUNTIF(TT!$D$256:$D$264,TALLY!A65)</f>
        <v>0</v>
      </c>
      <c r="P65" s="345">
        <f>COUNTIF(TT!$D$271:$D$286,TALLY!A65)</f>
        <v>0</v>
      </c>
      <c r="Q65" s="4">
        <f>COUNTIF(TT!$D$293:$D$300,TALLY!A65)</f>
        <v>0</v>
      </c>
      <c r="R65" s="4">
        <f>COUNTIF(TT!$D$307:$D$319,TALLY!A65)</f>
        <v>0</v>
      </c>
      <c r="S65" s="4">
        <f>COUNTIF(TT!$D$326:$D$334,TALLY!A65)</f>
        <v>0</v>
      </c>
      <c r="T65" s="95">
        <f>COUNTIF(TT!$D$341:$D$350,TALLY!A65)</f>
        <v>0</v>
      </c>
      <c r="U65" s="95">
        <f>COUNTIF(TT!$D$357:$D$366,TALLY!A65)</f>
        <v>0</v>
      </c>
      <c r="V65" s="95">
        <f>COUNTIF(TT!$D$373:$D$383,TALLY!A65)</f>
        <v>1</v>
      </c>
      <c r="W65" s="4">
        <f>COUNTIF(TT!$D$390:$D$405,TALLY!A65)</f>
        <v>0</v>
      </c>
      <c r="X65" s="4">
        <f>COUNTIF(TT!$D$412:$D$423,TALLY!A65)</f>
        <v>0</v>
      </c>
      <c r="Y65" s="4">
        <f>COUNTIF(TT!$D$430:$D$438,TALLY!A65)</f>
        <v>0</v>
      </c>
      <c r="Z65" s="95">
        <f>COUNTIF(TT!$D$443:$D$457,TALLY!A65)</f>
        <v>1</v>
      </c>
      <c r="AA65" s="95">
        <f>COUNTIF(TT!$D$464:$D$474,TALLY!A65)</f>
        <v>0</v>
      </c>
      <c r="AB65" s="95">
        <f>COUNTIF(TT!$D$481:$D$494,TALLY!A65)</f>
        <v>0</v>
      </c>
      <c r="AC65" s="345">
        <f>COUNTIF(TT!$D$503:$D$522,TALLY!A65)</f>
        <v>0</v>
      </c>
      <c r="AD65" s="345">
        <f>COUNTIF(TT!$D$529:$D$541,TALLY!A65)</f>
        <v>0</v>
      </c>
      <c r="AE65" s="345">
        <f>COUNTIF(TT!$D$548:$D$561,TALLY!A65)</f>
        <v>0</v>
      </c>
      <c r="AF65" s="95">
        <f>COUNTIF(TT!$D$574:$D$584,TALLY!A65)</f>
        <v>1</v>
      </c>
      <c r="AG65" s="95">
        <f>COUNTIF(TT!$D$591:$D$601,TALLY!A65)</f>
        <v>0</v>
      </c>
      <c r="AH65" s="95">
        <f>COUNTIF(TT!$D$608:$D$619,TALLY!A65)</f>
        <v>0</v>
      </c>
      <c r="AI65" s="314">
        <f>COUNTIF(TT!$D$628:$D$647,TALLY!A65)</f>
        <v>0</v>
      </c>
      <c r="AJ65" s="314">
        <f>COUNTIF(TT!$D$654:$D$668,TALLY!A65)</f>
        <v>0</v>
      </c>
      <c r="AK65" s="314">
        <f>COUNTIF(TT!$D$675:$D$685,TALLY!A65)</f>
        <v>0</v>
      </c>
      <c r="AL65" s="95">
        <f>COUNTIF(TT!$D$692:$D$702,TALLY!A65)</f>
        <v>1</v>
      </c>
      <c r="AM65" s="95">
        <f>COUNTIF(TT!$D$709:$D$721,TALLY!A65)</f>
        <v>0</v>
      </c>
      <c r="AN65" s="95">
        <f>COUNTIF(TT!$D$728:$D$737,TALLY!A65)</f>
        <v>0</v>
      </c>
      <c r="AO65" s="314">
        <f>COUNTIF(TT!$D$744:$D$753,TALLY!A65)</f>
        <v>0</v>
      </c>
      <c r="AP65" s="314">
        <f>COUNTIF(TT!$D$759:$D$774,TALLY!A65)</f>
        <v>0</v>
      </c>
      <c r="AQ65" s="314">
        <f>COUNTIF(TT!$D$781:$D$789,TALLY!A65)</f>
        <v>0</v>
      </c>
      <c r="AR65" s="94" t="s">
        <v>22</v>
      </c>
      <c r="AS65" s="4">
        <f>SUM($B65:$D65)</f>
        <v>1</v>
      </c>
      <c r="AT65" s="4">
        <f>SUM(E65:G65)</f>
        <v>0</v>
      </c>
      <c r="AU65" s="4">
        <f>SUM(H65:J65)</f>
        <v>1</v>
      </c>
      <c r="AV65" s="4">
        <f>SUM(K65:M65)</f>
        <v>0</v>
      </c>
      <c r="AW65" s="4">
        <f>SUM(N65:P65)</f>
        <v>0</v>
      </c>
      <c r="AX65" s="4">
        <f>SUM($Q65:$S65)</f>
        <v>0</v>
      </c>
      <c r="AY65" s="4">
        <f>SUM(T65:V65)</f>
        <v>1</v>
      </c>
      <c r="AZ65" s="4">
        <f>SUM(W65:Y65)</f>
        <v>0</v>
      </c>
      <c r="BA65" s="314">
        <f>SUM(Z65:AB65)</f>
        <v>1</v>
      </c>
      <c r="BB65" s="314">
        <f>SUM(AC65:AE65)</f>
        <v>0</v>
      </c>
      <c r="BC65" s="314">
        <f>SUM(AF65:AH65)</f>
        <v>1</v>
      </c>
      <c r="BD65" s="4">
        <f>SUM(AI65:AK65)</f>
        <v>0</v>
      </c>
      <c r="BE65" s="4">
        <f>SUM(AL65:AN65)</f>
        <v>1</v>
      </c>
      <c r="BF65" s="4">
        <f>SUM(AO65:AQ65)</f>
        <v>0</v>
      </c>
      <c r="BG65" s="92">
        <f>SUM(AS65:BF65)</f>
        <v>6</v>
      </c>
    </row>
    <row r="66" spans="1:59">
      <c r="A66" s="94" t="s">
        <v>58</v>
      </c>
      <c r="B66" s="95">
        <f>COUNTIF(TT!$D$6:$D$15,TALLY!A66)</f>
        <v>0</v>
      </c>
      <c r="C66" s="95">
        <f>COUNTIF(TT!$D$22:$D$32,TALLY!A66)</f>
        <v>0</v>
      </c>
      <c r="D66" s="95">
        <f>COUNTIF(TT!$D$39:$D$49,TALLY!A66)</f>
        <v>0</v>
      </c>
      <c r="E66" s="4">
        <f>COUNTIF(TT!$D$57:$D$67,TALLY!A66)</f>
        <v>0</v>
      </c>
      <c r="F66" s="4">
        <f>COUNTIF(TT!$D$74:$D$86,TALLY!A66)</f>
        <v>0</v>
      </c>
      <c r="G66" s="4">
        <f>COUNTIF(TT!$D$93:$D$107,TALLY!A66)</f>
        <v>0</v>
      </c>
      <c r="H66" s="95">
        <f>COUNTIF(TT!$D$113:$D$129,TALLY!A66)</f>
        <v>0</v>
      </c>
      <c r="I66" s="95">
        <f>COUNTIF(TT!$D$135:$D$155,TALLY!A66)</f>
        <v>1</v>
      </c>
      <c r="J66" s="95">
        <f>COUNTIF(TT!$D$162:$D$173,TALLY!A66)</f>
        <v>0</v>
      </c>
      <c r="K66" s="4">
        <f>COUNTIF(TT!$D$180:$D$199,TALLY!A66)</f>
        <v>0</v>
      </c>
      <c r="L66" s="4">
        <f>COUNTIF(TT!$D$207:$D$215,TALLY!A66)</f>
        <v>0</v>
      </c>
      <c r="M66" s="4">
        <f>COUNTIF(TT!$D$224:$D$231,TALLY!A66)</f>
        <v>0</v>
      </c>
      <c r="N66" s="345">
        <f>COUNTIF(TT!$D$237:$D$249,TALLY!A66)</f>
        <v>0</v>
      </c>
      <c r="O66" s="345">
        <f>COUNTIF(TT!$D$256:$D$264,TALLY!A66)</f>
        <v>0</v>
      </c>
      <c r="P66" s="345">
        <f>COUNTIF(TT!$D$271:$D$286,TALLY!A66)</f>
        <v>0</v>
      </c>
      <c r="Q66" s="4">
        <f>COUNTIF(TT!$D$293:$D$300,TALLY!A66)</f>
        <v>0</v>
      </c>
      <c r="R66" s="4">
        <f>COUNTIF(TT!$D$307:$D$319,TALLY!A66)</f>
        <v>0</v>
      </c>
      <c r="S66" s="4">
        <f>COUNTIF(TT!$D$326:$D$334,TALLY!A66)</f>
        <v>0</v>
      </c>
      <c r="T66" s="95">
        <f>COUNTIF(TT!$D$341:$D$350,TALLY!A66)</f>
        <v>0</v>
      </c>
      <c r="U66" s="95">
        <f>COUNTIF(TT!$D$357:$D$366,TALLY!A66)</f>
        <v>0</v>
      </c>
      <c r="V66" s="95">
        <f>COUNTIF(TT!$D$373:$D$383,TALLY!A66)</f>
        <v>1</v>
      </c>
      <c r="W66" s="4">
        <f>COUNTIF(TT!$D$390:$D$405,TALLY!A66)</f>
        <v>0</v>
      </c>
      <c r="X66" s="4">
        <f>COUNTIF(TT!$D$412:$D$423,TALLY!A66)</f>
        <v>0</v>
      </c>
      <c r="Y66" s="4">
        <f>COUNTIF(TT!$D$430:$D$438,TALLY!A66)</f>
        <v>0</v>
      </c>
      <c r="Z66" s="95">
        <f>COUNTIF(TT!$D$443:$D$457,TALLY!A66)</f>
        <v>0</v>
      </c>
      <c r="AA66" s="95">
        <f>COUNTIF(TT!$D$464:$D$474,TALLY!A66)</f>
        <v>0</v>
      </c>
      <c r="AB66" s="95">
        <f>COUNTIF(TT!$D$481:$D$494,TALLY!A66)</f>
        <v>0</v>
      </c>
      <c r="AC66" s="345">
        <f>COUNTIF(TT!$D$503:$D$522,TALLY!A66)</f>
        <v>1</v>
      </c>
      <c r="AD66" s="345">
        <f>COUNTIF(TT!$D$529:$D$541,TALLY!A66)</f>
        <v>0</v>
      </c>
      <c r="AE66" s="345">
        <f>COUNTIF(TT!$D$548:$D$561,TALLY!A66)</f>
        <v>0</v>
      </c>
      <c r="AF66" s="95">
        <f>COUNTIF(TT!$D$574:$D$584,TALLY!A66)</f>
        <v>0</v>
      </c>
      <c r="AG66" s="95">
        <f>COUNTIF(TT!$D$591:$D$601,TALLY!A66)</f>
        <v>0</v>
      </c>
      <c r="AH66" s="95">
        <f>COUNTIF(TT!$D$608:$D$619,TALLY!A66)</f>
        <v>0</v>
      </c>
      <c r="AI66" s="314">
        <f>COUNTIF(TT!$D$628:$D$647,TALLY!A66)</f>
        <v>0</v>
      </c>
      <c r="AJ66" s="314">
        <f>COUNTIF(TT!$D$654:$D$668,TALLY!A66)</f>
        <v>0</v>
      </c>
      <c r="AK66" s="314">
        <f>COUNTIF(TT!$D$675:$D$685,TALLY!A66)</f>
        <v>1</v>
      </c>
      <c r="AL66" s="95">
        <f>COUNTIF(TT!$D$692:$D$702,TALLY!A66)</f>
        <v>0</v>
      </c>
      <c r="AM66" s="95">
        <f>COUNTIF(TT!$D$709:$D$721,TALLY!A66)</f>
        <v>0</v>
      </c>
      <c r="AN66" s="95">
        <f>COUNTIF(TT!$D$728:$D$737,TALLY!A66)</f>
        <v>0</v>
      </c>
      <c r="AO66" s="314">
        <f>COUNTIF(TT!$D$744:$D$753,TALLY!A66)</f>
        <v>1</v>
      </c>
      <c r="AP66" s="314">
        <f>COUNTIF(TT!$D$759:$D$774,TALLY!A66)</f>
        <v>0</v>
      </c>
      <c r="AQ66" s="314">
        <f>COUNTIF(TT!$D$781:$D$789,TALLY!A66)</f>
        <v>0</v>
      </c>
      <c r="AR66" s="94" t="s">
        <v>58</v>
      </c>
      <c r="AS66" s="4">
        <f>SUM($B66:$D66)</f>
        <v>0</v>
      </c>
      <c r="AT66" s="4">
        <f>SUM(E66:G66)</f>
        <v>0</v>
      </c>
      <c r="AU66" s="4">
        <f>SUM(H66:J66)</f>
        <v>1</v>
      </c>
      <c r="AV66" s="4">
        <f>SUM(K66:M66)</f>
        <v>0</v>
      </c>
      <c r="AW66" s="4">
        <f>SUM(N66:P66)</f>
        <v>0</v>
      </c>
      <c r="AX66" s="4">
        <f>SUM($Q66:$S66)</f>
        <v>0</v>
      </c>
      <c r="AY66" s="4">
        <f>SUM(T66:V66)</f>
        <v>1</v>
      </c>
      <c r="AZ66" s="4">
        <f>SUM(W66:Y66)</f>
        <v>0</v>
      </c>
      <c r="BA66" s="314">
        <f>SUM(Z66:AB66)</f>
        <v>0</v>
      </c>
      <c r="BB66" s="314">
        <f>SUM(AC66:AE66)</f>
        <v>1</v>
      </c>
      <c r="BC66" s="314">
        <f>SUM(AF66:AH66)</f>
        <v>0</v>
      </c>
      <c r="BD66" s="4">
        <f>SUM(AI66:AK66)</f>
        <v>1</v>
      </c>
      <c r="BE66" s="4">
        <f>SUM(AL66:AN66)</f>
        <v>0</v>
      </c>
      <c r="BF66" s="4">
        <f>SUM(AO66:AQ66)</f>
        <v>1</v>
      </c>
      <c r="BG66" s="92">
        <f>SUM(AS66:BF66)</f>
        <v>5</v>
      </c>
    </row>
    <row r="67" spans="1:59">
      <c r="A67" s="94" t="s">
        <v>115</v>
      </c>
      <c r="B67" s="95">
        <f>COUNTIF(TT!$D$6:$D$15,TALLY!A67)</f>
        <v>0</v>
      </c>
      <c r="C67" s="95">
        <f>COUNTIF(TT!$D$22:$D$32,TALLY!A67)</f>
        <v>0</v>
      </c>
      <c r="D67" s="95">
        <f>COUNTIF(TT!$D$39:$D$49,TALLY!A67)</f>
        <v>0</v>
      </c>
      <c r="E67" s="4">
        <f>COUNTIF(TT!$D$57:$D$67,TALLY!A67)</f>
        <v>0</v>
      </c>
      <c r="F67" s="4">
        <f>COUNTIF(TT!$D$74:$D$86,TALLY!A67)</f>
        <v>1</v>
      </c>
      <c r="G67" s="4">
        <f>COUNTIF(TT!$D$93:$D$107,TALLY!A67)</f>
        <v>0</v>
      </c>
      <c r="H67" s="95">
        <f>COUNTIF(TT!$D$113:$D$129,TALLY!A67)</f>
        <v>0</v>
      </c>
      <c r="I67" s="95">
        <f>COUNTIF(TT!$D$135:$D$155,TALLY!A67)</f>
        <v>0</v>
      </c>
      <c r="J67" s="95">
        <f>COUNTIF(TT!$D$162:$D$173,TALLY!A67)</f>
        <v>1</v>
      </c>
      <c r="K67" s="4">
        <f>COUNTIF(TT!$D$180:$D$199,TALLY!A67)</f>
        <v>0</v>
      </c>
      <c r="L67" s="4">
        <f>COUNTIF(TT!$D$207:$D$215,TALLY!A67)</f>
        <v>0</v>
      </c>
      <c r="M67" s="4">
        <f>COUNTIF(TT!$D$224:$D$231,TALLY!A67)</f>
        <v>0</v>
      </c>
      <c r="N67" s="345">
        <f>COUNTIF(TT!$D$237:$D$249,TALLY!A67)</f>
        <v>1</v>
      </c>
      <c r="O67" s="345">
        <f>COUNTIF(TT!$D$256:$D$264,TALLY!A67)</f>
        <v>0</v>
      </c>
      <c r="P67" s="345">
        <f>COUNTIF(TT!$D$271:$D$286,TALLY!A67)</f>
        <v>0</v>
      </c>
      <c r="Q67" s="4">
        <f>COUNTIF(TT!$D$293:$D$300,TALLY!A67)</f>
        <v>0</v>
      </c>
      <c r="R67" s="4">
        <f>COUNTIF(TT!$D$307:$D$319,TALLY!A67)</f>
        <v>0</v>
      </c>
      <c r="S67" s="4">
        <f>COUNTIF(TT!$D$326:$D$334,TALLY!A67)</f>
        <v>0</v>
      </c>
      <c r="T67" s="95">
        <f>COUNTIF(TT!$D$341:$D$350,TALLY!A67)</f>
        <v>0</v>
      </c>
      <c r="U67" s="95">
        <f>COUNTIF(TT!$D$357:$D$366,TALLY!A67)</f>
        <v>0</v>
      </c>
      <c r="V67" s="95">
        <f>COUNTIF(TT!$D$373:$D$383,TALLY!A67)</f>
        <v>0</v>
      </c>
      <c r="W67" s="4">
        <f>COUNTIF(TT!$D$390:$D$405,TALLY!A67)</f>
        <v>0</v>
      </c>
      <c r="X67" s="4">
        <f>COUNTIF(TT!$D$412:$D$423,TALLY!A67)</f>
        <v>1</v>
      </c>
      <c r="Y67" s="4">
        <f>COUNTIF(TT!$D$430:$D$438,TALLY!A67)</f>
        <v>0</v>
      </c>
      <c r="Z67" s="95">
        <f>COUNTIF(TT!$D$443:$D$457,TALLY!A67)</f>
        <v>0</v>
      </c>
      <c r="AA67" s="95">
        <f>COUNTIF(TT!$D$464:$D$474,TALLY!A67)</f>
        <v>0</v>
      </c>
      <c r="AB67" s="95">
        <f>COUNTIF(TT!$D$481:$D$494,TALLY!A67)</f>
        <v>0</v>
      </c>
      <c r="AC67" s="345">
        <f>COUNTIF(TT!$D$503:$D$522,TALLY!A67)</f>
        <v>0</v>
      </c>
      <c r="AD67" s="345">
        <f>COUNTIF(TT!$D$529:$D$541,TALLY!A67)</f>
        <v>0</v>
      </c>
      <c r="AE67" s="345">
        <f>COUNTIF(TT!$D$548:$D$561,TALLY!A67)</f>
        <v>0</v>
      </c>
      <c r="AF67" s="95">
        <f>COUNTIF(TT!$D$574:$D$584,TALLY!A67)</f>
        <v>0</v>
      </c>
      <c r="AG67" s="95">
        <f>COUNTIF(TT!$D$591:$D$601,TALLY!A67)</f>
        <v>1</v>
      </c>
      <c r="AH67" s="95">
        <f>COUNTIF(TT!$D$608:$D$619,TALLY!A67)</f>
        <v>0</v>
      </c>
      <c r="AI67" s="314">
        <f>COUNTIF(TT!$D$628:$D$647,TALLY!A67)</f>
        <v>0</v>
      </c>
      <c r="AJ67" s="314">
        <f>COUNTIF(TT!$D$654:$D$668,TALLY!A67)</f>
        <v>0</v>
      </c>
      <c r="AK67" s="314">
        <f>COUNTIF(TT!$D$675:$D$685,TALLY!A67)</f>
        <v>0</v>
      </c>
      <c r="AL67" s="95">
        <f>COUNTIF(TT!$D$692:$D$702,TALLY!A67)</f>
        <v>0</v>
      </c>
      <c r="AM67" s="95">
        <f>COUNTIF(TT!$D$709:$D$721,TALLY!A67)</f>
        <v>1</v>
      </c>
      <c r="AN67" s="95">
        <f>COUNTIF(TT!$D$728:$D$737,TALLY!A67)</f>
        <v>0</v>
      </c>
      <c r="AO67" s="314">
        <f>COUNTIF(TT!$D$744:$D$753,TALLY!A67)</f>
        <v>0</v>
      </c>
      <c r="AP67" s="314">
        <f>COUNTIF(TT!$D$759:$D$774,TALLY!A67)</f>
        <v>0</v>
      </c>
      <c r="AQ67" s="314">
        <f>COUNTIF(TT!$D$781:$D$789,TALLY!A67)</f>
        <v>0</v>
      </c>
      <c r="AR67" s="94" t="s">
        <v>115</v>
      </c>
      <c r="AS67" s="4">
        <f>SUM($B67:$D67)</f>
        <v>0</v>
      </c>
      <c r="AT67" s="4">
        <f>SUM(E67:G67)</f>
        <v>1</v>
      </c>
      <c r="AU67" s="4">
        <f>SUM(H67:J67)</f>
        <v>1</v>
      </c>
      <c r="AV67" s="4">
        <f>SUM(K67:M67)</f>
        <v>0</v>
      </c>
      <c r="AW67" s="4">
        <f>SUM(N67:P67)</f>
        <v>1</v>
      </c>
      <c r="AX67" s="4">
        <f>SUM($Q67:$S67)</f>
        <v>0</v>
      </c>
      <c r="AY67" s="4">
        <f>SUM(T67:V67)</f>
        <v>0</v>
      </c>
      <c r="AZ67" s="4">
        <f>SUM(W67:Y67)</f>
        <v>1</v>
      </c>
      <c r="BA67" s="314">
        <f>SUM(Z67:AB67)</f>
        <v>0</v>
      </c>
      <c r="BB67" s="314">
        <f>SUM(AC67:AE67)</f>
        <v>0</v>
      </c>
      <c r="BC67" s="314">
        <f>SUM(AF67:AH67)</f>
        <v>1</v>
      </c>
      <c r="BD67" s="4">
        <f>SUM(AI67:AK67)</f>
        <v>0</v>
      </c>
      <c r="BE67" s="4">
        <f>SUM(AL67:AN67)</f>
        <v>1</v>
      </c>
      <c r="BF67" s="4">
        <f>SUM(AO67:AQ67)</f>
        <v>0</v>
      </c>
      <c r="BG67" s="92">
        <f>SUM(AS67:BF67)</f>
        <v>6</v>
      </c>
    </row>
    <row r="68" spans="1:59">
      <c r="A68" s="94" t="s">
        <v>116</v>
      </c>
      <c r="B68" s="95">
        <f>COUNTIF(TT!$D$6:$D$15,TALLY!A68)</f>
        <v>0</v>
      </c>
      <c r="C68" s="95">
        <f>COUNTIF(TT!$D$22:$D$32,TALLY!A68)</f>
        <v>0</v>
      </c>
      <c r="D68" s="95">
        <f>COUNTIF(TT!$D$39:$D$49,TALLY!A68)</f>
        <v>0</v>
      </c>
      <c r="E68" s="4">
        <f>COUNTIF(TT!$D$57:$D$67,TALLY!A68)</f>
        <v>0</v>
      </c>
      <c r="F68" s="4">
        <f>COUNTIF(TT!$D$74:$D$86,TALLY!A68)</f>
        <v>0</v>
      </c>
      <c r="G68" s="4">
        <f>COUNTIF(TT!$D$93:$D$107,TALLY!A68)</f>
        <v>0</v>
      </c>
      <c r="H68" s="95">
        <f>COUNTIF(TT!$D$113:$D$129,TALLY!A68)</f>
        <v>0</v>
      </c>
      <c r="I68" s="95">
        <f>COUNTIF(TT!$D$135:$D$155,TALLY!A68)</f>
        <v>0</v>
      </c>
      <c r="J68" s="95">
        <f>COUNTIF(TT!$D$162:$D$173,TALLY!A68)</f>
        <v>1</v>
      </c>
      <c r="K68" s="4">
        <f>COUNTIF(TT!$D$180:$D$199,TALLY!A68)</f>
        <v>0</v>
      </c>
      <c r="L68" s="4">
        <f>COUNTIF(TT!$D$207:$D$215,TALLY!A68)</f>
        <v>0</v>
      </c>
      <c r="M68" s="4">
        <f>COUNTIF(TT!$D$224:$D$231,TALLY!A68)</f>
        <v>0</v>
      </c>
      <c r="N68" s="345">
        <f>COUNTIF(TT!$D$237:$D$249,TALLY!A68)</f>
        <v>0</v>
      </c>
      <c r="O68" s="345">
        <f>COUNTIF(TT!$D$256:$D$264,TALLY!A68)</f>
        <v>0</v>
      </c>
      <c r="P68" s="345">
        <f>COUNTIF(TT!$D$271:$D$286,TALLY!A68)</f>
        <v>1</v>
      </c>
      <c r="Q68" s="4">
        <f>COUNTIF(TT!$D$293:$D$300,TALLY!A68)</f>
        <v>0</v>
      </c>
      <c r="R68" s="4">
        <f>COUNTIF(TT!$D$307:$D$319,TALLY!A68)</f>
        <v>0</v>
      </c>
      <c r="S68" s="4">
        <f>COUNTIF(TT!$D$326:$D$334,TALLY!A68)</f>
        <v>0</v>
      </c>
      <c r="T68" s="95">
        <f>COUNTIF(TT!$D$341:$D$350,TALLY!A68)</f>
        <v>0</v>
      </c>
      <c r="U68" s="95">
        <f>COUNTIF(TT!$D$357:$D$366,TALLY!A68)</f>
        <v>0</v>
      </c>
      <c r="V68" s="95">
        <f>COUNTIF(TT!$D$373:$D$383,TALLY!A68)</f>
        <v>0</v>
      </c>
      <c r="W68" s="4">
        <f>COUNTIF(TT!$D$390:$D$405,TALLY!A68)</f>
        <v>0</v>
      </c>
      <c r="X68" s="4">
        <f>COUNTIF(TT!$D$412:$D$423,TALLY!A68)</f>
        <v>1</v>
      </c>
      <c r="Y68" s="4">
        <f>COUNTIF(TT!$D$430:$D$438,TALLY!A68)</f>
        <v>0</v>
      </c>
      <c r="Z68" s="95">
        <f>COUNTIF(TT!$D$443:$D$457,TALLY!A68)</f>
        <v>0</v>
      </c>
      <c r="AA68" s="95">
        <f>COUNTIF(TT!$D$464:$D$474,TALLY!A68)</f>
        <v>0</v>
      </c>
      <c r="AB68" s="95">
        <f>COUNTIF(TT!$D$481:$D$494,TALLY!A68)</f>
        <v>0</v>
      </c>
      <c r="AC68" s="345">
        <f>COUNTIF(TT!$D$503:$D$522,TALLY!A68)</f>
        <v>0</v>
      </c>
      <c r="AD68" s="345">
        <f>COUNTIF(TT!$D$529:$D$541,TALLY!A68)</f>
        <v>0</v>
      </c>
      <c r="AE68" s="345">
        <f>COUNTIF(TT!$D$548:$D$561,TALLY!A68)</f>
        <v>0</v>
      </c>
      <c r="AF68" s="95">
        <f>COUNTIF(TT!$D$574:$D$584,TALLY!A68)</f>
        <v>0</v>
      </c>
      <c r="AG68" s="95">
        <f>COUNTIF(TT!$D$591:$D$601,TALLY!A68)</f>
        <v>0</v>
      </c>
      <c r="AH68" s="95">
        <f>COUNTIF(TT!$D$608:$D$619,TALLY!A68)</f>
        <v>0</v>
      </c>
      <c r="AI68" s="314">
        <f>COUNTIF(TT!$D$628:$D$647,TALLY!A68)</f>
        <v>0</v>
      </c>
      <c r="AJ68" s="314">
        <f>COUNTIF(TT!$D$654:$D$668,TALLY!A68)</f>
        <v>0</v>
      </c>
      <c r="AK68" s="314">
        <f>COUNTIF(TT!$D$675:$D$685,TALLY!A68)</f>
        <v>0</v>
      </c>
      <c r="AL68" s="95">
        <f>COUNTIF(TT!$D$692:$D$702,TALLY!A68)</f>
        <v>0</v>
      </c>
      <c r="AM68" s="95">
        <f>COUNTIF(TT!$D$709:$D$721,TALLY!A68)</f>
        <v>0</v>
      </c>
      <c r="AN68" s="95">
        <f>COUNTIF(TT!$D$728:$D$737,TALLY!A68)</f>
        <v>1</v>
      </c>
      <c r="AO68" s="314">
        <f>COUNTIF(TT!$D$744:$D$753,TALLY!A68)</f>
        <v>0</v>
      </c>
      <c r="AP68" s="314">
        <f>COUNTIF(TT!$D$759:$D$774,TALLY!A68)</f>
        <v>0</v>
      </c>
      <c r="AQ68" s="314">
        <f>COUNTIF(TT!$D$781:$D$789,TALLY!A68)</f>
        <v>1</v>
      </c>
      <c r="AR68" s="94" t="s">
        <v>116</v>
      </c>
      <c r="AS68" s="4">
        <f>SUM($B68:$D68)</f>
        <v>0</v>
      </c>
      <c r="AT68" s="4">
        <f>SUM(E68:G68)</f>
        <v>0</v>
      </c>
      <c r="AU68" s="4">
        <f>SUM(H68:J68)</f>
        <v>1</v>
      </c>
      <c r="AV68" s="4">
        <f>SUM(K68:M68)</f>
        <v>0</v>
      </c>
      <c r="AW68" s="4">
        <f>SUM(N68:P68)</f>
        <v>1</v>
      </c>
      <c r="AX68" s="4">
        <f>SUM($Q68:$S68)</f>
        <v>0</v>
      </c>
      <c r="AY68" s="4">
        <f>SUM(T68:V68)</f>
        <v>0</v>
      </c>
      <c r="AZ68" s="4">
        <f>SUM(W68:Y68)</f>
        <v>1</v>
      </c>
      <c r="BA68" s="314">
        <f>SUM(Z68:AB68)</f>
        <v>0</v>
      </c>
      <c r="BB68" s="314">
        <f>SUM(AC68:AE68)</f>
        <v>0</v>
      </c>
      <c r="BC68" s="314">
        <f>SUM(AF68:AH68)</f>
        <v>0</v>
      </c>
      <c r="BD68" s="4">
        <f>SUM(AI68:AK68)</f>
        <v>0</v>
      </c>
      <c r="BE68" s="4">
        <f>SUM(AL68:AN68)</f>
        <v>1</v>
      </c>
      <c r="BF68" s="4">
        <f>SUM(AO68:AQ68)</f>
        <v>1</v>
      </c>
      <c r="BG68" s="92">
        <f>SUM(AS68:BF68)</f>
        <v>5</v>
      </c>
    </row>
    <row r="69" spans="1:59">
      <c r="A69" s="96" t="s">
        <v>15</v>
      </c>
      <c r="B69" s="95">
        <f>COUNTIF(TT!$D$6:$D$15,TALLY!A69)</f>
        <v>0</v>
      </c>
      <c r="C69" s="95">
        <f>COUNTIF(TT!$D$22:$D$32,TALLY!A69)</f>
        <v>0</v>
      </c>
      <c r="D69" s="95">
        <f>COUNTIF(TT!$D$39:$D$49,TALLY!A69)</f>
        <v>0</v>
      </c>
      <c r="E69" s="4">
        <f>COUNTIF(TT!$D$57:$D$67,TALLY!A69)</f>
        <v>0</v>
      </c>
      <c r="F69" s="4">
        <f>COUNTIF(TT!$D$74:$D$86,TALLY!A69)</f>
        <v>1</v>
      </c>
      <c r="G69" s="4">
        <f>COUNTIF(TT!$D$93:$D$107,TALLY!A69)</f>
        <v>0</v>
      </c>
      <c r="H69" s="95">
        <f>COUNTIF(TT!$D$113:$D$129,TALLY!A69)</f>
        <v>0</v>
      </c>
      <c r="I69" s="95">
        <f>COUNTIF(TT!$D$135:$D$155,TALLY!A69)</f>
        <v>1</v>
      </c>
      <c r="J69" s="95">
        <f>COUNTIF(TT!$D$162:$D$173,TALLY!A69)</f>
        <v>0</v>
      </c>
      <c r="K69" s="4">
        <f>COUNTIF(TT!$D$180:$D$199,TALLY!A69)</f>
        <v>1</v>
      </c>
      <c r="L69" s="4">
        <f>COUNTIF(TT!$D$207:$D$215,TALLY!A69)</f>
        <v>0</v>
      </c>
      <c r="M69" s="4">
        <f>COUNTIF(TT!$D$224:$D$231,TALLY!A69)</f>
        <v>0</v>
      </c>
      <c r="N69" s="345">
        <f>COUNTIF(TT!$D$237:$D$249,TALLY!A69)</f>
        <v>1</v>
      </c>
      <c r="O69" s="345">
        <f>COUNTIF(TT!$D$256:$D$264,TALLY!A69)</f>
        <v>0</v>
      </c>
      <c r="P69" s="345">
        <f>COUNTIF(TT!$D$271:$D$286,TALLY!A69)</f>
        <v>0</v>
      </c>
      <c r="Q69" s="4">
        <f>COUNTIF(TT!$D$293:$D$300,TALLY!A69)</f>
        <v>0</v>
      </c>
      <c r="R69" s="4">
        <f>COUNTIF(TT!$D$307:$D$319,TALLY!A69)</f>
        <v>0</v>
      </c>
      <c r="S69" s="4">
        <f>COUNTIF(TT!$D$326:$D$334,TALLY!A69)</f>
        <v>0</v>
      </c>
      <c r="T69" s="95">
        <f>COUNTIF(TT!$D$341:$D$350,TALLY!A69)</f>
        <v>0</v>
      </c>
      <c r="U69" s="95">
        <f>COUNTIF(TT!$D$357:$D$366,TALLY!A69)</f>
        <v>0</v>
      </c>
      <c r="V69" s="95">
        <f>COUNTIF(TT!$D$373:$D$383,TALLY!A69)</f>
        <v>0</v>
      </c>
      <c r="W69" s="4">
        <f>COUNTIF(TT!$D$390:$D$405,TALLY!A69)</f>
        <v>0</v>
      </c>
      <c r="X69" s="4">
        <f>COUNTIF(TT!$D$412:$D$423,TALLY!A69)</f>
        <v>1</v>
      </c>
      <c r="Y69" s="4">
        <f>COUNTIF(TT!$D$430:$D$438,TALLY!A69)</f>
        <v>0</v>
      </c>
      <c r="Z69" s="95">
        <f>COUNTIF(TT!$D$443:$D$457,TALLY!A69)</f>
        <v>1</v>
      </c>
      <c r="AA69" s="95">
        <f>COUNTIF(TT!$D$464:$D$474,TALLY!A69)</f>
        <v>0</v>
      </c>
      <c r="AB69" s="95">
        <f>COUNTIF(TT!$D$481:$D$494,TALLY!A69)</f>
        <v>0</v>
      </c>
      <c r="AC69" s="345">
        <f>COUNTIF(TT!$D$503:$D$522,TALLY!A69)</f>
        <v>0</v>
      </c>
      <c r="AD69" s="345">
        <f>COUNTIF(TT!$D$529:$D$541,TALLY!A69)</f>
        <v>0</v>
      </c>
      <c r="AE69" s="345">
        <f>COUNTIF(TT!$D$548:$D$561,TALLY!A69)</f>
        <v>1</v>
      </c>
      <c r="AF69" s="95">
        <f>COUNTIF(TT!$D$574:$D$584,TALLY!A69)</f>
        <v>0</v>
      </c>
      <c r="AG69" s="95">
        <f>COUNTIF(TT!$D$591:$D$601,TALLY!A69)</f>
        <v>0</v>
      </c>
      <c r="AH69" s="95">
        <f>COUNTIF(TT!$D$608:$D$619,TALLY!A69)</f>
        <v>0</v>
      </c>
      <c r="AI69" s="314">
        <f>COUNTIF(TT!$D$628:$D$647,TALLY!A69)</f>
        <v>0</v>
      </c>
      <c r="AJ69" s="314">
        <f>COUNTIF(TT!$D$654:$D$668,TALLY!A69)</f>
        <v>0</v>
      </c>
      <c r="AK69" s="314">
        <f>COUNTIF(TT!$D$675:$D$685,TALLY!A69)</f>
        <v>0</v>
      </c>
      <c r="AL69" s="95">
        <f>COUNTIF(TT!$D$692:$D$702,TALLY!A69)</f>
        <v>0</v>
      </c>
      <c r="AM69" s="95">
        <f>COUNTIF(TT!$D$709:$D$721,TALLY!A69)</f>
        <v>0</v>
      </c>
      <c r="AN69" s="95">
        <f>COUNTIF(TT!$D$728:$D$737,TALLY!A69)</f>
        <v>1</v>
      </c>
      <c r="AO69" s="314">
        <f>COUNTIF(TT!$D$744:$D$753,TALLY!A69)</f>
        <v>0</v>
      </c>
      <c r="AP69" s="314">
        <f>COUNTIF(TT!$D$759:$D$774,TALLY!A69)</f>
        <v>0</v>
      </c>
      <c r="AQ69" s="314">
        <f>COUNTIF(TT!$D$781:$D$789,TALLY!A69)</f>
        <v>1</v>
      </c>
      <c r="AR69" s="94" t="s">
        <v>15</v>
      </c>
      <c r="AS69" s="4">
        <f>SUM($B69:$D69)</f>
        <v>0</v>
      </c>
      <c r="AT69" s="4">
        <f>SUM(E69:G69)</f>
        <v>1</v>
      </c>
      <c r="AU69" s="4">
        <f>SUM(H69:J69)</f>
        <v>1</v>
      </c>
      <c r="AV69" s="4">
        <f>SUM(K69:M69)</f>
        <v>1</v>
      </c>
      <c r="AW69" s="4">
        <f>SUM(N69:P69)</f>
        <v>1</v>
      </c>
      <c r="AX69" s="4">
        <f>SUM($Q69:$S69)</f>
        <v>0</v>
      </c>
      <c r="AY69" s="4">
        <f>SUM(T69:V69)</f>
        <v>0</v>
      </c>
      <c r="AZ69" s="4">
        <f>SUM(W69:Y69)</f>
        <v>1</v>
      </c>
      <c r="BA69" s="314">
        <f>SUM(Z69:AB69)</f>
        <v>1</v>
      </c>
      <c r="BB69" s="314">
        <f>SUM(AC69:AE69)</f>
        <v>1</v>
      </c>
      <c r="BC69" s="314">
        <f>SUM(AF69:AH69)</f>
        <v>0</v>
      </c>
      <c r="BD69" s="4">
        <f>SUM(AI69:AK69)</f>
        <v>0</v>
      </c>
      <c r="BE69" s="4">
        <f>SUM(AL69:AN69)</f>
        <v>1</v>
      </c>
      <c r="BF69" s="4">
        <f>SUM(AO69:AQ69)</f>
        <v>1</v>
      </c>
      <c r="BG69" s="92">
        <f>SUM(AS69:BF69)</f>
        <v>9</v>
      </c>
    </row>
    <row r="70" spans="1:59">
      <c r="A70" s="94" t="s">
        <v>62</v>
      </c>
      <c r="B70" s="95">
        <f>COUNTIF(TT!$D$6:$D$15,TALLY!A70)</f>
        <v>0</v>
      </c>
      <c r="C70" s="95">
        <f>COUNTIF(TT!$D$22:$D$32,TALLY!A70)</f>
        <v>0</v>
      </c>
      <c r="D70" s="95">
        <f>COUNTIF(TT!$D$39:$D$49,TALLY!A70)</f>
        <v>0</v>
      </c>
      <c r="E70" s="4">
        <f>COUNTIF(TT!$D$57:$D$67,TALLY!A70)</f>
        <v>0</v>
      </c>
      <c r="F70" s="4">
        <f>COUNTIF(TT!$D$74:$D$86,TALLY!A70)</f>
        <v>0</v>
      </c>
      <c r="G70" s="4">
        <f>COUNTIF(TT!$D$93:$D$107,TALLY!A70)</f>
        <v>0</v>
      </c>
      <c r="H70" s="95">
        <f>COUNTIF(TT!$D$113:$D$129,TALLY!A70)</f>
        <v>0</v>
      </c>
      <c r="I70" s="95">
        <f>COUNTIF(TT!$D$135:$D$155,TALLY!A70)</f>
        <v>0</v>
      </c>
      <c r="J70" s="95">
        <f>COUNTIF(TT!$D$162:$D$173,TALLY!A70)</f>
        <v>1</v>
      </c>
      <c r="K70" s="4">
        <f>COUNTIF(TT!$D$180:$D$199,TALLY!A70)</f>
        <v>0</v>
      </c>
      <c r="L70" s="4">
        <f>COUNTIF(TT!$D$207:$D$215,TALLY!A70)</f>
        <v>0</v>
      </c>
      <c r="M70" s="4">
        <f>COUNTIF(TT!$D$224:$D$231,TALLY!A70)</f>
        <v>0</v>
      </c>
      <c r="N70" s="345">
        <f>COUNTIF(TT!$D$237:$D$249,TALLY!A70)</f>
        <v>1</v>
      </c>
      <c r="O70" s="345">
        <f>COUNTIF(TT!$D$256:$D$264,TALLY!A70)</f>
        <v>0</v>
      </c>
      <c r="P70" s="345">
        <f>COUNTIF(TT!$D$271:$D$286,TALLY!A70)</f>
        <v>0</v>
      </c>
      <c r="Q70" s="4">
        <f>COUNTIF(TT!$D$293:$D$300,TALLY!A70)</f>
        <v>0</v>
      </c>
      <c r="R70" s="4">
        <f>COUNTIF(TT!$D$307:$D$319,TALLY!A70)</f>
        <v>0</v>
      </c>
      <c r="S70" s="4">
        <f>COUNTIF(TT!$D$326:$D$334,TALLY!A70)</f>
        <v>0</v>
      </c>
      <c r="T70" s="95">
        <f>COUNTIF(TT!$D$341:$D$350,TALLY!A70)</f>
        <v>0</v>
      </c>
      <c r="U70" s="95">
        <f>COUNTIF(TT!$D$357:$D$366,TALLY!A70)</f>
        <v>0</v>
      </c>
      <c r="V70" s="95">
        <f>COUNTIF(TT!$D$373:$D$383,TALLY!A70)</f>
        <v>0</v>
      </c>
      <c r="W70" s="4">
        <f>COUNTIF(TT!$D$390:$D$405,TALLY!A70)</f>
        <v>0</v>
      </c>
      <c r="X70" s="4">
        <f>COUNTIF(TT!$D$412:$D$423,TALLY!A70)</f>
        <v>1</v>
      </c>
      <c r="Y70" s="4">
        <f>COUNTIF(TT!$D$430:$D$438,TALLY!A70)</f>
        <v>0</v>
      </c>
      <c r="Z70" s="95">
        <f>COUNTIF(TT!$D$443:$D$457,TALLY!A70)</f>
        <v>0</v>
      </c>
      <c r="AA70" s="95">
        <f>COUNTIF(TT!$D$464:$D$474,TALLY!A70)</f>
        <v>0</v>
      </c>
      <c r="AB70" s="95">
        <f>COUNTIF(TT!$D$481:$D$494,TALLY!A70)</f>
        <v>0</v>
      </c>
      <c r="AC70" s="345">
        <f>COUNTIF(TT!$D$503:$D$522,TALLY!A70)</f>
        <v>0</v>
      </c>
      <c r="AD70" s="345">
        <f>COUNTIF(TT!$D$529:$D$541,TALLY!A70)</f>
        <v>0</v>
      </c>
      <c r="AE70" s="345">
        <f>COUNTIF(TT!$D$548:$D$561,TALLY!A70)</f>
        <v>1</v>
      </c>
      <c r="AF70" s="95">
        <f>COUNTIF(TT!$D$574:$D$584,TALLY!A70)</f>
        <v>0</v>
      </c>
      <c r="AG70" s="95">
        <f>COUNTIF(TT!$D$591:$D$601,TALLY!A70)</f>
        <v>0</v>
      </c>
      <c r="AH70" s="95">
        <f>COUNTIF(TT!$D$608:$D$619,TALLY!A70)</f>
        <v>0</v>
      </c>
      <c r="AI70" s="314">
        <f>COUNTIF(TT!$D$628:$D$647,TALLY!A70)</f>
        <v>0</v>
      </c>
      <c r="AJ70" s="314">
        <f>COUNTIF(TT!$D$654:$D$668,TALLY!A70)</f>
        <v>0</v>
      </c>
      <c r="AK70" s="314">
        <f>COUNTIF(TT!$D$675:$D$685,TALLY!A70)</f>
        <v>1</v>
      </c>
      <c r="AL70" s="95">
        <f>COUNTIF(TT!$D$692:$D$702,TALLY!A70)</f>
        <v>0</v>
      </c>
      <c r="AM70" s="95">
        <f>COUNTIF(TT!$D$709:$D$721,TALLY!A70)</f>
        <v>0</v>
      </c>
      <c r="AN70" s="95">
        <f>COUNTIF(TT!$D$728:$D$737,TALLY!A70)</f>
        <v>0</v>
      </c>
      <c r="AO70" s="314">
        <f>COUNTIF(TT!$D$744:$D$753,TALLY!A70)</f>
        <v>0</v>
      </c>
      <c r="AP70" s="314">
        <f>COUNTIF(TT!$D$759:$D$774,TALLY!A70)</f>
        <v>0</v>
      </c>
      <c r="AQ70" s="314">
        <f>COUNTIF(TT!$D$781:$D$789,TALLY!A70)</f>
        <v>0</v>
      </c>
      <c r="AR70" s="94" t="s">
        <v>62</v>
      </c>
      <c r="AS70" s="4">
        <f>SUM($B70:$D70)</f>
        <v>0</v>
      </c>
      <c r="AT70" s="4">
        <f>SUM(E70:G70)</f>
        <v>0</v>
      </c>
      <c r="AU70" s="4">
        <f>SUM(H70:J70)</f>
        <v>1</v>
      </c>
      <c r="AV70" s="4">
        <f>SUM(K70:M70)</f>
        <v>0</v>
      </c>
      <c r="AW70" s="4">
        <f>SUM(N70:P70)</f>
        <v>1</v>
      </c>
      <c r="AX70" s="4">
        <f>SUM($Q70:$S70)</f>
        <v>0</v>
      </c>
      <c r="AY70" s="4">
        <f>SUM(T70:V70)</f>
        <v>0</v>
      </c>
      <c r="AZ70" s="4">
        <f>SUM(W70:Y70)</f>
        <v>1</v>
      </c>
      <c r="BA70" s="314">
        <f>SUM(Z70:AB70)</f>
        <v>0</v>
      </c>
      <c r="BB70" s="314">
        <f>SUM(AC70:AE70)</f>
        <v>1</v>
      </c>
      <c r="BC70" s="314">
        <f>SUM(AF70:AH70)</f>
        <v>0</v>
      </c>
      <c r="BD70" s="4">
        <f>SUM(AI70:AK70)</f>
        <v>1</v>
      </c>
      <c r="BE70" s="4">
        <f>SUM(AL70:AN70)</f>
        <v>0</v>
      </c>
      <c r="BF70" s="4">
        <f>SUM(AO70:AQ70)</f>
        <v>0</v>
      </c>
      <c r="BG70" s="92">
        <f>SUM(AS70:BF70)</f>
        <v>5</v>
      </c>
    </row>
    <row r="71" spans="1:59">
      <c r="A71" s="94" t="s">
        <v>64</v>
      </c>
      <c r="B71" s="95">
        <f>COUNTIF(TT!$D$6:$D$15,TALLY!A71)</f>
        <v>0</v>
      </c>
      <c r="C71" s="95">
        <f>COUNTIF(TT!$D$22:$D$32,TALLY!A71)</f>
        <v>0</v>
      </c>
      <c r="D71" s="95">
        <f>COUNTIF(TT!$D$39:$D$49,TALLY!A71)</f>
        <v>0</v>
      </c>
      <c r="E71" s="4">
        <f>COUNTIF(TT!$D$57:$D$67,TALLY!A71)</f>
        <v>0</v>
      </c>
      <c r="F71" s="4">
        <f>COUNTIF(TT!$D$74:$D$86,TALLY!A71)</f>
        <v>0</v>
      </c>
      <c r="G71" s="4">
        <f>COUNTIF(TT!$D$93:$D$107,TALLY!A71)</f>
        <v>0</v>
      </c>
      <c r="H71" s="95">
        <f>COUNTIF(TT!$D$113:$D$129,TALLY!A71)</f>
        <v>0</v>
      </c>
      <c r="I71" s="95">
        <f>COUNTIF(TT!$D$135:$D$155,TALLY!A71)</f>
        <v>0</v>
      </c>
      <c r="J71" s="95">
        <f>COUNTIF(TT!$D$162:$D$173,TALLY!A71)</f>
        <v>1</v>
      </c>
      <c r="K71" s="4">
        <f>COUNTIF(TT!$D$180:$D$199,TALLY!A71)</f>
        <v>0</v>
      </c>
      <c r="L71" s="4">
        <f>COUNTIF(TT!$D$207:$D$215,TALLY!A71)</f>
        <v>0</v>
      </c>
      <c r="M71" s="4">
        <f>COUNTIF(TT!$D$224:$D$231,TALLY!A71)</f>
        <v>0</v>
      </c>
      <c r="N71" s="345">
        <f>COUNTIF(TT!$D$237:$D$249,TALLY!A71)</f>
        <v>1</v>
      </c>
      <c r="O71" s="345">
        <f>COUNTIF(TT!$D$256:$D$264,TALLY!A71)</f>
        <v>0</v>
      </c>
      <c r="P71" s="345">
        <f>COUNTIF(TT!$D$271:$D$286,TALLY!A71)</f>
        <v>0</v>
      </c>
      <c r="Q71" s="4">
        <f>COUNTIF(TT!$D$293:$D$300,TALLY!A71)</f>
        <v>0</v>
      </c>
      <c r="R71" s="4">
        <f>COUNTIF(TT!$D$307:$D$319,TALLY!A71)</f>
        <v>0</v>
      </c>
      <c r="S71" s="4">
        <f>COUNTIF(TT!$D$326:$D$334,TALLY!A71)</f>
        <v>0</v>
      </c>
      <c r="T71" s="95">
        <f>COUNTIF(TT!$D$341:$D$350,TALLY!A71)</f>
        <v>0</v>
      </c>
      <c r="U71" s="95">
        <f>COUNTIF(TT!$D$357:$D$366,TALLY!A71)</f>
        <v>0</v>
      </c>
      <c r="V71" s="95">
        <f>COUNTIF(TT!$D$373:$D$383,TALLY!A71)</f>
        <v>0</v>
      </c>
      <c r="W71" s="4">
        <f>COUNTIF(TT!$D$390:$D$405,TALLY!A71)</f>
        <v>0</v>
      </c>
      <c r="X71" s="4">
        <f>COUNTIF(TT!$D$412:$D$423,TALLY!A71)</f>
        <v>1</v>
      </c>
      <c r="Y71" s="4">
        <f>COUNTIF(TT!$D$430:$D$438,TALLY!A71)</f>
        <v>0</v>
      </c>
      <c r="Z71" s="95">
        <f>COUNTIF(TT!$D$443:$D$457,TALLY!A71)</f>
        <v>0</v>
      </c>
      <c r="AA71" s="95">
        <f>COUNTIF(TT!$D$464:$D$474,TALLY!A71)</f>
        <v>0</v>
      </c>
      <c r="AB71" s="95">
        <f>COUNTIF(TT!$D$481:$D$494,TALLY!A71)</f>
        <v>0</v>
      </c>
      <c r="AC71" s="345">
        <f>COUNTIF(TT!$D$503:$D$522,TALLY!A71)</f>
        <v>0</v>
      </c>
      <c r="AD71" s="345">
        <f>COUNTIF(TT!$D$529:$D$541,TALLY!A71)</f>
        <v>0</v>
      </c>
      <c r="AE71" s="345">
        <f>COUNTIF(TT!$D$548:$D$561,TALLY!A71)</f>
        <v>1</v>
      </c>
      <c r="AF71" s="95">
        <f>COUNTIF(TT!$D$574:$D$584,TALLY!A71)</f>
        <v>0</v>
      </c>
      <c r="AG71" s="95">
        <f>COUNTIF(TT!$D$591:$D$601,TALLY!A71)</f>
        <v>0</v>
      </c>
      <c r="AH71" s="95">
        <f>COUNTIF(TT!$D$608:$D$619,TALLY!A71)</f>
        <v>0</v>
      </c>
      <c r="AI71" s="314">
        <f>COUNTIF(TT!$D$628:$D$647,TALLY!A71)</f>
        <v>0</v>
      </c>
      <c r="AJ71" s="314">
        <f>COUNTIF(TT!$D$654:$D$668,TALLY!A71)</f>
        <v>0</v>
      </c>
      <c r="AK71" s="314">
        <f>COUNTIF(TT!$D$675:$D$685,TALLY!A71)</f>
        <v>1</v>
      </c>
      <c r="AL71" s="95">
        <f>COUNTIF(TT!$D$692:$D$702,TALLY!A71)</f>
        <v>0</v>
      </c>
      <c r="AM71" s="95">
        <f>COUNTIF(TT!$D$709:$D$721,TALLY!A71)</f>
        <v>0</v>
      </c>
      <c r="AN71" s="95">
        <f>COUNTIF(TT!$D$728:$D$737,TALLY!A71)</f>
        <v>0</v>
      </c>
      <c r="AO71" s="314">
        <f>COUNTIF(TT!$D$744:$D$753,TALLY!A71)</f>
        <v>0</v>
      </c>
      <c r="AP71" s="314">
        <f>COUNTIF(TT!$D$759:$D$774,TALLY!A71)</f>
        <v>0</v>
      </c>
      <c r="AQ71" s="314">
        <f>COUNTIF(TT!$D$781:$D$789,TALLY!A71)</f>
        <v>0</v>
      </c>
      <c r="AR71" s="94" t="s">
        <v>64</v>
      </c>
      <c r="AS71" s="4">
        <f>SUM($B71:$D71)</f>
        <v>0</v>
      </c>
      <c r="AT71" s="4">
        <f>SUM(E71:G71)</f>
        <v>0</v>
      </c>
      <c r="AU71" s="4">
        <f>SUM(H71:J71)</f>
        <v>1</v>
      </c>
      <c r="AV71" s="4">
        <f>SUM(K71:M71)</f>
        <v>0</v>
      </c>
      <c r="AW71" s="4">
        <f>SUM(N71:P71)</f>
        <v>1</v>
      </c>
      <c r="AX71" s="4">
        <f>SUM($Q71:$S71)</f>
        <v>0</v>
      </c>
      <c r="AY71" s="4">
        <f>SUM(T71:V71)</f>
        <v>0</v>
      </c>
      <c r="AZ71" s="4">
        <f>SUM(W71:Y71)</f>
        <v>1</v>
      </c>
      <c r="BA71" s="314">
        <f>SUM(Z71:AB71)</f>
        <v>0</v>
      </c>
      <c r="BB71" s="314">
        <f>SUM(AC71:AE71)</f>
        <v>1</v>
      </c>
      <c r="BC71" s="314">
        <f>SUM(AF71:AH71)</f>
        <v>0</v>
      </c>
      <c r="BD71" s="4">
        <f>SUM(AI71:AK71)</f>
        <v>1</v>
      </c>
      <c r="BE71" s="4">
        <f>SUM(AL71:AN71)</f>
        <v>0</v>
      </c>
      <c r="BF71" s="4">
        <f>SUM(AO71:AQ71)</f>
        <v>0</v>
      </c>
      <c r="BG71" s="92">
        <f>SUM(AS71:BF71)</f>
        <v>5</v>
      </c>
    </row>
    <row r="72" spans="1:59">
      <c r="A72" s="94" t="s">
        <v>79</v>
      </c>
      <c r="B72" s="95">
        <f>COUNTIF(TT!$D$6:$D$15,TALLY!A72)</f>
        <v>1</v>
      </c>
      <c r="C72" s="95">
        <f>COUNTIF(TT!$D$22:$D$32,TALLY!A72)</f>
        <v>0</v>
      </c>
      <c r="D72" s="95">
        <f>COUNTIF(TT!$D$39:$D$49,TALLY!A72)</f>
        <v>0</v>
      </c>
      <c r="E72" s="4">
        <f>COUNTIF(TT!$D$57:$D$67,TALLY!A72)</f>
        <v>0</v>
      </c>
      <c r="F72" s="4">
        <f>COUNTIF(TT!$D$74:$D$86,TALLY!A72)</f>
        <v>0</v>
      </c>
      <c r="G72" s="4">
        <f>COUNTIF(TT!$D$93:$D$107,TALLY!A72)</f>
        <v>1</v>
      </c>
      <c r="H72" s="95">
        <f>COUNTIF(TT!$D$113:$D$129,TALLY!A72)</f>
        <v>0</v>
      </c>
      <c r="I72" s="95">
        <f>COUNTIF(TT!$D$135:$D$155,TALLY!A72)</f>
        <v>0</v>
      </c>
      <c r="J72" s="95">
        <f>COUNTIF(TT!$D$162:$D$173,TALLY!A72)</f>
        <v>0</v>
      </c>
      <c r="K72" s="4">
        <f>COUNTIF(TT!$D$180:$D$199,TALLY!A72)</f>
        <v>0</v>
      </c>
      <c r="L72" s="4">
        <f>COUNTIF(TT!$D$207:$D$215,TALLY!A72)</f>
        <v>0</v>
      </c>
      <c r="M72" s="4">
        <f>COUNTIF(TT!$D$224:$D$231,TALLY!A72)</f>
        <v>1</v>
      </c>
      <c r="N72" s="345">
        <f>COUNTIF(TT!$D$237:$D$249,TALLY!A72)</f>
        <v>0</v>
      </c>
      <c r="O72" s="345">
        <f>COUNTIF(TT!$D$256:$D$264,TALLY!A72)</f>
        <v>0</v>
      </c>
      <c r="P72" s="345">
        <f>COUNTIF(TT!$D$271:$D$286,TALLY!A72)</f>
        <v>1</v>
      </c>
      <c r="Q72" s="4">
        <f>COUNTIF(TT!$D$293:$D$300,TALLY!A72)</f>
        <v>0</v>
      </c>
      <c r="R72" s="4">
        <f>COUNTIF(TT!$D$307:$D$319,TALLY!A72)</f>
        <v>0</v>
      </c>
      <c r="S72" s="4">
        <f>COUNTIF(TT!$D$326:$D$334,TALLY!A72)</f>
        <v>0</v>
      </c>
      <c r="T72" s="95">
        <f>COUNTIF(TT!$D$341:$D$350,TALLY!A72)</f>
        <v>0</v>
      </c>
      <c r="U72" s="95">
        <f>COUNTIF(TT!$D$357:$D$366,TALLY!A72)</f>
        <v>0</v>
      </c>
      <c r="V72" s="95">
        <f>COUNTIF(TT!$D$373:$D$383,TALLY!A72)</f>
        <v>0</v>
      </c>
      <c r="W72" s="4">
        <f>COUNTIF(TT!$D$390:$D$405,TALLY!A72)</f>
        <v>0</v>
      </c>
      <c r="X72" s="4">
        <f>COUNTIF(TT!$D$412:$D$423,TALLY!A72)</f>
        <v>0</v>
      </c>
      <c r="Y72" s="4">
        <f>COUNTIF(TT!$D$430:$D$438,TALLY!A72)</f>
        <v>1</v>
      </c>
      <c r="Z72" s="95">
        <f>COUNTIF(TT!$D$443:$D$457,TALLY!A72)</f>
        <v>0</v>
      </c>
      <c r="AA72" s="95">
        <f>COUNTIF(TT!$D$464:$D$474,TALLY!A72)</f>
        <v>0</v>
      </c>
      <c r="AB72" s="95">
        <f>COUNTIF(TT!$D$481:$D$494,TALLY!A72)</f>
        <v>0</v>
      </c>
      <c r="AC72" s="345">
        <f>COUNTIF(TT!$D$503:$D$522,TALLY!A72)</f>
        <v>0</v>
      </c>
      <c r="AD72" s="345">
        <f>COUNTIF(TT!$D$529:$D$541,TALLY!A72)</f>
        <v>1</v>
      </c>
      <c r="AE72" s="345">
        <f>COUNTIF(TT!$D$548:$D$561,TALLY!A72)</f>
        <v>0</v>
      </c>
      <c r="AF72" s="95">
        <f>COUNTIF(TT!$D$574:$D$584,TALLY!A72)</f>
        <v>0</v>
      </c>
      <c r="AG72" s="95">
        <f>COUNTIF(TT!$D$591:$D$601,TALLY!A72)</f>
        <v>0</v>
      </c>
      <c r="AH72" s="95">
        <f>COUNTIF(TT!$D$608:$D$619,TALLY!A72)</f>
        <v>1</v>
      </c>
      <c r="AI72" s="314">
        <f>COUNTIF(TT!$D$628:$D$647,TALLY!A72)</f>
        <v>0</v>
      </c>
      <c r="AJ72" s="314">
        <f>COUNTIF(TT!$D$654:$D$668,TALLY!A72)</f>
        <v>1</v>
      </c>
      <c r="AK72" s="314">
        <f>COUNTIF(TT!$D$675:$D$685,TALLY!A72)</f>
        <v>0</v>
      </c>
      <c r="AL72" s="95">
        <f>COUNTIF(TT!$D$692:$D$702,TALLY!A72)</f>
        <v>1</v>
      </c>
      <c r="AM72" s="95">
        <f>COUNTIF(TT!$D$709:$D$721,TALLY!A72)</f>
        <v>0</v>
      </c>
      <c r="AN72" s="95">
        <f>COUNTIF(TT!$D$728:$D$737,TALLY!A72)</f>
        <v>0</v>
      </c>
      <c r="AO72" s="314">
        <f>COUNTIF(TT!$D$744:$D$753,TALLY!A72)</f>
        <v>0</v>
      </c>
      <c r="AP72" s="314">
        <f>COUNTIF(TT!$D$759:$D$774,TALLY!A72)</f>
        <v>0</v>
      </c>
      <c r="AQ72" s="314">
        <f>COUNTIF(TT!$D$781:$D$789,TALLY!A72)</f>
        <v>0</v>
      </c>
      <c r="AR72" s="94" t="s">
        <v>79</v>
      </c>
      <c r="AS72" s="4">
        <f>SUM($B72:$D72)</f>
        <v>1</v>
      </c>
      <c r="AT72" s="4">
        <f>SUM(E72:G72)</f>
        <v>1</v>
      </c>
      <c r="AU72" s="4">
        <f>SUM(H72:J72)</f>
        <v>0</v>
      </c>
      <c r="AV72" s="4">
        <f>SUM(K72:M72)</f>
        <v>1</v>
      </c>
      <c r="AW72" s="4">
        <f>SUM(N72:P72)</f>
        <v>1</v>
      </c>
      <c r="AX72" s="4">
        <f>SUM($Q72:$S72)</f>
        <v>0</v>
      </c>
      <c r="AY72" s="4">
        <f>SUM(T72:V72)</f>
        <v>0</v>
      </c>
      <c r="AZ72" s="4">
        <f>SUM(W72:Y72)</f>
        <v>1</v>
      </c>
      <c r="BA72" s="314">
        <f>SUM(Z72:AB72)</f>
        <v>0</v>
      </c>
      <c r="BB72" s="314">
        <f>SUM(AC72:AE72)</f>
        <v>1</v>
      </c>
      <c r="BC72" s="314">
        <f>SUM(AF72:AH72)</f>
        <v>1</v>
      </c>
      <c r="BD72" s="4">
        <f>SUM(AI72:AK72)</f>
        <v>1</v>
      </c>
      <c r="BE72" s="4">
        <f>SUM(AL72:AN72)</f>
        <v>1</v>
      </c>
      <c r="BF72" s="4">
        <f>SUM(AO72:AQ72)</f>
        <v>0</v>
      </c>
      <c r="BG72" s="92">
        <f>SUM(AS72:BF72)</f>
        <v>9</v>
      </c>
    </row>
    <row r="73" spans="1:59">
      <c r="A73" s="94" t="s">
        <v>1470</v>
      </c>
      <c r="B73" s="95">
        <f>COUNTIF(TT!$D$6:$D$15,TALLY!A73)</f>
        <v>0</v>
      </c>
      <c r="C73" s="95">
        <f>COUNTIF(TT!$D$22:$D$32,TALLY!A73)</f>
        <v>0</v>
      </c>
      <c r="D73" s="95">
        <f>COUNTIF(TT!$D$39:$D$49,TALLY!A73)</f>
        <v>0</v>
      </c>
      <c r="E73" s="4">
        <f>COUNTIF(TT!$D$57:$D$67,TALLY!A73)</f>
        <v>0</v>
      </c>
      <c r="F73" s="4">
        <f>COUNTIF(TT!$D$74:$D$86,TALLY!A73)</f>
        <v>0</v>
      </c>
      <c r="G73" s="4">
        <f>COUNTIF(TT!$D$93:$D$107,TALLY!A73)</f>
        <v>1</v>
      </c>
      <c r="H73" s="95">
        <f>COUNTIF(TT!$D$113:$D$129,TALLY!A73)</f>
        <v>0</v>
      </c>
      <c r="I73" s="95">
        <f>COUNTIF(TT!$D$135:$D$155,TALLY!A73)</f>
        <v>1</v>
      </c>
      <c r="J73" s="95">
        <f>COUNTIF(TT!$D$162:$D$173,TALLY!A73)</f>
        <v>0</v>
      </c>
      <c r="K73" s="4">
        <f>COUNTIF(TT!$D$180:$D$199,TALLY!A73)</f>
        <v>0</v>
      </c>
      <c r="L73" s="4">
        <f>COUNTIF(TT!$D$207:$D$215,TALLY!A73)</f>
        <v>0</v>
      </c>
      <c r="M73" s="4">
        <f>COUNTIF(TT!$D$224:$D$231,TALLY!A73)</f>
        <v>0</v>
      </c>
      <c r="N73" s="345">
        <f>COUNTIF(TT!$D$237:$D$249,TALLY!A73)</f>
        <v>0</v>
      </c>
      <c r="O73" s="345">
        <f>COUNTIF(TT!$D$256:$D$264,TALLY!A73)</f>
        <v>0</v>
      </c>
      <c r="P73" s="345">
        <f>COUNTIF(TT!$D$271:$D$286,TALLY!A73)</f>
        <v>0</v>
      </c>
      <c r="Q73" s="4">
        <f>COUNTIF(TT!$D$293:$D$300,TALLY!A73)</f>
        <v>0</v>
      </c>
      <c r="R73" s="4">
        <f>COUNTIF(TT!$D$307:$D$319,TALLY!A73)</f>
        <v>0</v>
      </c>
      <c r="S73" s="4">
        <f>COUNTIF(TT!$D$326:$D$334,TALLY!A73)</f>
        <v>0</v>
      </c>
      <c r="T73" s="95">
        <f>COUNTIF(TT!$D$341:$D$350,TALLY!A73)</f>
        <v>0</v>
      </c>
      <c r="U73" s="95">
        <f>COUNTIF(TT!$D$357:$D$366,TALLY!A73)</f>
        <v>0</v>
      </c>
      <c r="V73" s="95">
        <f>COUNTIF(TT!$D$373:$D$383,TALLY!A73)</f>
        <v>0</v>
      </c>
      <c r="W73" s="4">
        <f>COUNTIF(TT!$D$390:$D$405,TALLY!A73)</f>
        <v>0</v>
      </c>
      <c r="X73" s="4">
        <f>COUNTIF(TT!$D$412:$D$423,TALLY!A73)</f>
        <v>0</v>
      </c>
      <c r="Y73" s="4">
        <f>COUNTIF(TT!$D$430:$D$438,TALLY!A73)</f>
        <v>1</v>
      </c>
      <c r="Z73" s="95">
        <f>COUNTIF(TT!$D$443:$D$457,TALLY!A73)</f>
        <v>0</v>
      </c>
      <c r="AA73" s="95">
        <f>COUNTIF(TT!$D$464:$D$474,TALLY!A73)</f>
        <v>0</v>
      </c>
      <c r="AB73" s="95">
        <f>COUNTIF(TT!$D$481:$D$494,TALLY!A73)</f>
        <v>0</v>
      </c>
      <c r="AC73" s="345">
        <f>COUNTIF(TT!$D$503:$D$522,TALLY!A73)</f>
        <v>0</v>
      </c>
      <c r="AD73" s="345">
        <f>COUNTIF(TT!$D$529:$D$541,TALLY!A73)</f>
        <v>1</v>
      </c>
      <c r="AE73" s="345">
        <f>COUNTIF(TT!$D$548:$D$561,TALLY!A73)</f>
        <v>0</v>
      </c>
      <c r="AF73" s="95">
        <f>COUNTIF(TT!$D$574:$D$584,TALLY!A73)</f>
        <v>0</v>
      </c>
      <c r="AG73" s="95">
        <f>COUNTIF(TT!$D$591:$D$601,TALLY!A73)</f>
        <v>0</v>
      </c>
      <c r="AH73" s="95">
        <f>COUNTIF(TT!$D$608:$D$619,TALLY!A73)</f>
        <v>1</v>
      </c>
      <c r="AI73" s="314">
        <f>COUNTIF(TT!$D$628:$D$647,TALLY!A73)</f>
        <v>0</v>
      </c>
      <c r="AJ73" s="314">
        <f>COUNTIF(TT!$D$654:$D$668,TALLY!A73)</f>
        <v>0</v>
      </c>
      <c r="AK73" s="314">
        <f>COUNTIF(TT!$D$675:$D$685,TALLY!A73)</f>
        <v>0</v>
      </c>
      <c r="AL73" s="95">
        <f>COUNTIF(TT!$D$692:$D$702,TALLY!A73)</f>
        <v>0</v>
      </c>
      <c r="AM73" s="95">
        <f>COUNTIF(TT!$D$709:$D$721,TALLY!A73)</f>
        <v>0</v>
      </c>
      <c r="AN73" s="95">
        <f>COUNTIF(TT!$D$728:$D$737,TALLY!A73)</f>
        <v>0</v>
      </c>
      <c r="AO73" s="314">
        <f>COUNTIF(TT!$D$744:$D$753,TALLY!A73)</f>
        <v>0</v>
      </c>
      <c r="AP73" s="314">
        <f>COUNTIF(TT!$D$759:$D$774,TALLY!A73)</f>
        <v>0</v>
      </c>
      <c r="AQ73" s="314">
        <f>COUNTIF(TT!$D$781:$D$789,TALLY!A73)</f>
        <v>0</v>
      </c>
      <c r="AR73" s="94" t="s">
        <v>1470</v>
      </c>
      <c r="AS73" s="4">
        <f>SUM($B73:$D73)</f>
        <v>0</v>
      </c>
      <c r="AT73" s="4">
        <f>SUM(E73:G73)</f>
        <v>1</v>
      </c>
      <c r="AU73" s="4">
        <f>SUM(H73:J73)</f>
        <v>1</v>
      </c>
      <c r="AV73" s="4">
        <f>SUM(K73:M73)</f>
        <v>0</v>
      </c>
      <c r="AW73" s="4">
        <f>SUM(N73:P73)</f>
        <v>0</v>
      </c>
      <c r="AX73" s="4">
        <f>SUM($Q73:$S73)</f>
        <v>0</v>
      </c>
      <c r="AY73" s="4">
        <f>SUM(T73:V73)</f>
        <v>0</v>
      </c>
      <c r="AZ73" s="4">
        <f>SUM(W73:Y73)</f>
        <v>1</v>
      </c>
      <c r="BA73" s="314">
        <f>SUM(Z73:AB73)</f>
        <v>0</v>
      </c>
      <c r="BB73" s="314">
        <f>SUM(AC73:AE73)</f>
        <v>1</v>
      </c>
      <c r="BC73" s="314">
        <f>SUM(AF73:AH73)</f>
        <v>1</v>
      </c>
      <c r="BD73" s="4">
        <f>SUM(AI73:AK73)</f>
        <v>0</v>
      </c>
      <c r="BE73" s="4">
        <f>SUM(AL73:AN73)</f>
        <v>0</v>
      </c>
      <c r="BF73" s="4">
        <f>SUM(AO73:AQ73)</f>
        <v>0</v>
      </c>
      <c r="BG73" s="92">
        <f>SUM(AS73:BF73)</f>
        <v>5</v>
      </c>
    </row>
    <row r="74" spans="1:59">
      <c r="A74" s="94" t="s">
        <v>117</v>
      </c>
      <c r="B74" s="95">
        <f>COUNTIF(TT!$D$6:$D$15,TALLY!A74)</f>
        <v>0</v>
      </c>
      <c r="C74" s="95">
        <f>COUNTIF(TT!$D$22:$D$32,TALLY!A74)</f>
        <v>0</v>
      </c>
      <c r="D74" s="95">
        <f>COUNTIF(TT!$D$39:$D$49,TALLY!A74)</f>
        <v>0</v>
      </c>
      <c r="E74" s="4">
        <f>COUNTIF(TT!$D$57:$D$67,TALLY!A74)</f>
        <v>1</v>
      </c>
      <c r="F74" s="4">
        <f>COUNTIF(TT!$D$74:$D$86,TALLY!A74)</f>
        <v>0</v>
      </c>
      <c r="G74" s="4">
        <f>COUNTIF(TT!$D$93:$D$107,TALLY!A74)</f>
        <v>0</v>
      </c>
      <c r="H74" s="95">
        <f>COUNTIF(TT!$D$113:$D$129,TALLY!A74)</f>
        <v>0</v>
      </c>
      <c r="I74" s="95">
        <f>COUNTIF(TT!$D$135:$D$155,TALLY!A74)</f>
        <v>0</v>
      </c>
      <c r="J74" s="95">
        <f>COUNTIF(TT!$D$162:$D$173,TALLY!A74)</f>
        <v>1</v>
      </c>
      <c r="K74" s="4">
        <f>COUNTIF(TT!$D$180:$D$199,TALLY!A74)</f>
        <v>0</v>
      </c>
      <c r="L74" s="4">
        <f>COUNTIF(TT!$D$207:$D$215,TALLY!A74)</f>
        <v>0</v>
      </c>
      <c r="M74" s="4">
        <f>COUNTIF(TT!$D$224:$D$231,TALLY!A74)</f>
        <v>0</v>
      </c>
      <c r="N74" s="345">
        <f>COUNTIF(TT!$D$237:$D$249,TALLY!A74)</f>
        <v>0</v>
      </c>
      <c r="O74" s="345">
        <f>COUNTIF(TT!$D$256:$D$264,TALLY!A74)</f>
        <v>0</v>
      </c>
      <c r="P74" s="345">
        <f>COUNTIF(TT!$D$271:$D$286,TALLY!A74)</f>
        <v>0</v>
      </c>
      <c r="Q74" s="4">
        <f>COUNTIF(TT!$D$293:$D$300,TALLY!A74)</f>
        <v>0</v>
      </c>
      <c r="R74" s="4">
        <f>COUNTIF(TT!$D$307:$D$319,TALLY!A74)</f>
        <v>0</v>
      </c>
      <c r="S74" s="4">
        <f>COUNTIF(TT!$D$326:$D$334,TALLY!A74)</f>
        <v>0</v>
      </c>
      <c r="T74" s="95">
        <f>COUNTIF(TT!$D$341:$D$350,TALLY!A74)</f>
        <v>0</v>
      </c>
      <c r="U74" s="95">
        <f>COUNTIF(TT!$D$357:$D$366,TALLY!A74)</f>
        <v>1</v>
      </c>
      <c r="V74" s="95">
        <f>COUNTIF(TT!$D$373:$D$383,TALLY!A74)</f>
        <v>0</v>
      </c>
      <c r="W74" s="4">
        <f>COUNTIF(TT!$D$390:$D$405,TALLY!A74)</f>
        <v>0</v>
      </c>
      <c r="X74" s="4">
        <f>COUNTIF(TT!$D$412:$D$423,TALLY!A74)</f>
        <v>0</v>
      </c>
      <c r="Y74" s="4">
        <f>COUNTIF(TT!$D$430:$D$438,TALLY!A74)</f>
        <v>0</v>
      </c>
      <c r="Z74" s="95">
        <f>COUNTIF(TT!$D$443:$D$457,TALLY!A74)</f>
        <v>0</v>
      </c>
      <c r="AA74" s="95">
        <f>COUNTIF(TT!$D$464:$D$474,TALLY!A74)</f>
        <v>0</v>
      </c>
      <c r="AB74" s="95">
        <f>COUNTIF(TT!$D$481:$D$494,TALLY!A74)</f>
        <v>0</v>
      </c>
      <c r="AC74" s="345">
        <f>COUNTIF(TT!$D$503:$D$522,TALLY!A74)</f>
        <v>0</v>
      </c>
      <c r="AD74" s="345">
        <f>COUNTIF(TT!$D$529:$D$541,TALLY!A74)</f>
        <v>0</v>
      </c>
      <c r="AE74" s="345">
        <f>COUNTIF(TT!$D$548:$D$561,TALLY!A74)</f>
        <v>0</v>
      </c>
      <c r="AF74" s="95">
        <f>COUNTIF(TT!$D$574:$D$584,TALLY!A74)</f>
        <v>0</v>
      </c>
      <c r="AG74" s="95">
        <f>COUNTIF(TT!$D$591:$D$601,TALLY!A74)</f>
        <v>0</v>
      </c>
      <c r="AH74" s="95">
        <f>COUNTIF(TT!$D$608:$D$619,TALLY!A74)</f>
        <v>1</v>
      </c>
      <c r="AI74" s="314">
        <f>COUNTIF(TT!$D$628:$D$647,TALLY!A74)</f>
        <v>0</v>
      </c>
      <c r="AJ74" s="314">
        <f>COUNTIF(TT!$D$654:$D$668,TALLY!A74)</f>
        <v>1</v>
      </c>
      <c r="AK74" s="314">
        <f>COUNTIF(TT!$D$675:$D$685,TALLY!A74)</f>
        <v>0</v>
      </c>
      <c r="AL74" s="95">
        <f>COUNTIF(TT!$D$692:$D$702,TALLY!A74)</f>
        <v>0</v>
      </c>
      <c r="AM74" s="95">
        <f>COUNTIF(TT!$D$709:$D$721,TALLY!A74)</f>
        <v>0</v>
      </c>
      <c r="AN74" s="95">
        <f>COUNTIF(TT!$D$728:$D$737,TALLY!A74)</f>
        <v>1</v>
      </c>
      <c r="AO74" s="314">
        <f>COUNTIF(TT!$D$744:$D$753,TALLY!A74)</f>
        <v>0</v>
      </c>
      <c r="AP74" s="314">
        <f>COUNTIF(TT!$D$759:$D$774,TALLY!A74)</f>
        <v>0</v>
      </c>
      <c r="AQ74" s="314">
        <f>COUNTIF(TT!$D$781:$D$789,TALLY!A74)</f>
        <v>0</v>
      </c>
      <c r="AR74" s="94" t="s">
        <v>117</v>
      </c>
      <c r="AS74" s="4">
        <f>SUM($B74:$D74)</f>
        <v>0</v>
      </c>
      <c r="AT74" s="4">
        <f>SUM(E74:G74)</f>
        <v>1</v>
      </c>
      <c r="AU74" s="4">
        <f>SUM(H74:J74)</f>
        <v>1</v>
      </c>
      <c r="AV74" s="4">
        <f>SUM(K74:M74)</f>
        <v>0</v>
      </c>
      <c r="AW74" s="4">
        <f>SUM(N74:P74)</f>
        <v>0</v>
      </c>
      <c r="AX74" s="4">
        <f>SUM($Q74:$S74)</f>
        <v>0</v>
      </c>
      <c r="AY74" s="4">
        <f>SUM(T74:V74)</f>
        <v>1</v>
      </c>
      <c r="AZ74" s="4">
        <f>SUM(W74:Y74)</f>
        <v>0</v>
      </c>
      <c r="BA74" s="314">
        <f>SUM(Z74:AB74)</f>
        <v>0</v>
      </c>
      <c r="BB74" s="314">
        <f>SUM(AC74:AE74)</f>
        <v>0</v>
      </c>
      <c r="BC74" s="314">
        <f>SUM(AF74:AH74)</f>
        <v>1</v>
      </c>
      <c r="BD74" s="4">
        <f>SUM(AI74:AK74)</f>
        <v>1</v>
      </c>
      <c r="BE74" s="4">
        <f>SUM(AL74:AN74)</f>
        <v>1</v>
      </c>
      <c r="BF74" s="4">
        <f>SUM(AO74:AQ74)</f>
        <v>0</v>
      </c>
      <c r="BG74" s="92">
        <f>SUM(AS74:BF74)</f>
        <v>6</v>
      </c>
    </row>
    <row r="75" spans="1:59">
      <c r="A75" s="101" t="s">
        <v>592</v>
      </c>
      <c r="B75" s="93">
        <f>SUM(B3:B74)</f>
        <v>10</v>
      </c>
      <c r="C75" s="93">
        <f>SUM(C3:C74)</f>
        <v>11</v>
      </c>
      <c r="D75" s="93">
        <f>SUM(D3:D74)</f>
        <v>11</v>
      </c>
      <c r="E75" s="93">
        <f>SUM(E3:E74)</f>
        <v>11</v>
      </c>
      <c r="F75" s="93">
        <f>SUM(F3:F74)</f>
        <v>13</v>
      </c>
      <c r="G75" s="93">
        <f>SUM(G3:G74)</f>
        <v>15</v>
      </c>
      <c r="H75" s="93">
        <f>SUM(H3:H74)</f>
        <v>17</v>
      </c>
      <c r="I75" s="93">
        <f>SUM(I3:I74)</f>
        <v>21</v>
      </c>
      <c r="J75" s="93">
        <f>SUM(J3:J74)</f>
        <v>12</v>
      </c>
      <c r="K75" s="93">
        <f>SUM(K3:K74)</f>
        <v>20</v>
      </c>
      <c r="L75" s="93">
        <f>SUM(L3:L74)</f>
        <v>9</v>
      </c>
      <c r="M75" s="93">
        <f>SUM(M3:M74)</f>
        <v>8</v>
      </c>
      <c r="N75" s="346">
        <f>SUM(N3:N74)</f>
        <v>13</v>
      </c>
      <c r="O75" s="346">
        <f>SUM(O3:O74)</f>
        <v>9</v>
      </c>
      <c r="P75" s="346">
        <f>SUM(P3:P74)</f>
        <v>16</v>
      </c>
      <c r="Q75" s="93">
        <f>SUM(Q3:Q74)</f>
        <v>8</v>
      </c>
      <c r="R75" s="93">
        <f>SUM(R3:R74)</f>
        <v>13</v>
      </c>
      <c r="S75" s="93">
        <f>SUM(S3:S74)</f>
        <v>9</v>
      </c>
      <c r="T75" s="93">
        <f>SUM(T3:T74)</f>
        <v>10</v>
      </c>
      <c r="U75" s="93">
        <f>SUM(U3:U74)</f>
        <v>10</v>
      </c>
      <c r="V75" s="93">
        <f>SUM(V3:V74)</f>
        <v>11</v>
      </c>
      <c r="W75" s="93">
        <f>SUM(W3:W74)</f>
        <v>16</v>
      </c>
      <c r="X75" s="93">
        <f>SUM(X3:X74)</f>
        <v>12</v>
      </c>
      <c r="Y75" s="93">
        <f>SUM(Y3:Y74)</f>
        <v>9</v>
      </c>
      <c r="Z75" s="93">
        <f>SUM(Z3:Z74)</f>
        <v>14</v>
      </c>
      <c r="AA75" s="93">
        <f>SUM(AA3:AA74)</f>
        <v>11</v>
      </c>
      <c r="AB75" s="93">
        <f>SUM(AB3:AB74)</f>
        <v>14</v>
      </c>
      <c r="AC75" s="346">
        <f>SUM(AC3:AC74)</f>
        <v>20</v>
      </c>
      <c r="AD75" s="346">
        <f>SUM(AD3:AD74)</f>
        <v>13</v>
      </c>
      <c r="AE75" s="346">
        <f>SUM(AE3:AE74)</f>
        <v>14</v>
      </c>
      <c r="AF75" s="93">
        <f>SUM(AF3:AF74)</f>
        <v>11</v>
      </c>
      <c r="AG75" s="93">
        <f>SUM(AG3:AG74)</f>
        <v>11</v>
      </c>
      <c r="AH75" s="93">
        <f>SUM(AH3:AH74)</f>
        <v>12</v>
      </c>
      <c r="AI75" s="173">
        <f>SUM(AI3:AI74)</f>
        <v>20</v>
      </c>
      <c r="AJ75" s="173">
        <f>SUM(AJ3:AJ74)</f>
        <v>15</v>
      </c>
      <c r="AK75" s="173">
        <f>SUM(AK3:AK74)</f>
        <v>11</v>
      </c>
      <c r="AL75" s="93">
        <f>SUM(AL3:AL74)</f>
        <v>11</v>
      </c>
      <c r="AM75" s="93">
        <f>SUM(AM3:AM74)</f>
        <v>13</v>
      </c>
      <c r="AN75" s="93">
        <f>SUM(AN3:AN74)</f>
        <v>10</v>
      </c>
      <c r="AO75" s="173">
        <f>SUM(AO3:AO74)</f>
        <v>10</v>
      </c>
      <c r="AP75" s="173">
        <f>SUM(AP3:AP74)</f>
        <v>16</v>
      </c>
      <c r="AQ75" s="173">
        <f>SUM(AQ3:AQ74)</f>
        <v>9</v>
      </c>
    </row>
  </sheetData>
  <mergeCells count="14">
    <mergeCell ref="AI1:AK1"/>
    <mergeCell ref="AL1:AN1"/>
    <mergeCell ref="AO1:AQ1"/>
    <mergeCell ref="T1:V1"/>
    <mergeCell ref="W1:Y1"/>
    <mergeCell ref="Z1:AB1"/>
    <mergeCell ref="AF1:AH1"/>
    <mergeCell ref="AC1:AE1"/>
    <mergeCell ref="Q1:S1"/>
    <mergeCell ref="B1:D1"/>
    <mergeCell ref="E1:G1"/>
    <mergeCell ref="H1:J1"/>
    <mergeCell ref="K1:M1"/>
    <mergeCell ref="N1:P1"/>
  </mergeCells>
  <conditionalFormatting sqref="AS3:BF74 B3:AQ74">
    <cfRule type="cellIs" dxfId="214" priority="1" operator="greaterThan">
      <formula>1</formula>
    </cfRule>
  </conditionalFormatting>
  <pageMargins left="0.7" right="0.7" top="0.75" bottom="0.75" header="0.3" footer="0.3"/>
  <pageSetup scale="90" orientation="landscape" r:id="rId1"/>
  <rowBreaks count="1" manualBreakCount="1">
    <brk id="38" max="54" man="1"/>
  </rowBreaks>
  <colBreaks count="1" manualBreakCount="1">
    <brk id="43" max="1048575" man="1"/>
  </colBreaks>
  <legacyDrawing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1C0CED2E-79B2-4120-A024-EC519F2B55A0}">
  <sheetPr codeName="Sheet25"/>
  <sheetViews>
    <sheetView topLeftCell="A4" zoomScale="55" workbookViewId="0" view="pageBreakPreview" zoomScaleNormal="70" zoomScaleSheetLayoutView="55">
      <selection pane="topLeft" activeCell="A4" sqref="A4"/>
    </sheetView>
  </sheetViews>
  <sheetFormatPr baseColWidth="8" defaultColWidth="9.875" defaultRowHeight="15"/>
  <cols>
    <col min="1" max="1" width="30.5" style="1" bestFit="1" customWidth="1"/>
    <col min="2" max="2" width="7.25" style="1" customWidth="1"/>
    <col min="3" max="3" width="5.625" style="1" customWidth="1"/>
    <col min="4" max="4" width="10.625" style="1" customWidth="1"/>
    <col min="5" max="5" width="16.625" style="1" customWidth="1"/>
    <col min="6" max="6" width="16" style="23" customWidth="1"/>
    <col min="7" max="7" width="7" style="1" hidden="1" customWidth="1"/>
    <col min="8" max="8" width="21" style="1" customWidth="1"/>
    <col min="9" max="9" width="25.375" style="1" customWidth="1"/>
    <col min="10" max="10" width="13.75" style="1" customWidth="1"/>
    <col min="11" max="11" width="3.25" style="1" customWidth="1"/>
    <col min="12" max="12" width="33" style="1" customWidth="1"/>
    <col min="13" max="13" width="73.375" style="1" customWidth="1"/>
    <col min="14" max="14" width="46.5" style="1" customWidth="1"/>
    <col min="15" max="15" width="15.5" style="1" customWidth="1"/>
    <col min="16" max="16" width="17.125" style="1" bestFit="1" customWidth="1"/>
    <col min="17" max="17" width="4.75" style="1" customWidth="1"/>
    <col min="18" max="42" width="3.25" style="1" customWidth="1"/>
    <col min="43" max="43" width="9.875" style="1" customWidth="1"/>
    <col min="44" max="44" width="4.25" style="1" customWidth="1"/>
    <col min="45" max="45" width="3.625" style="1" customWidth="1"/>
    <col min="46" max="46" width="3.25" style="1" customWidth="1"/>
    <col min="47" max="47" width="4" style="1" customWidth="1"/>
    <col min="48" max="48" width="3.25" style="1" customWidth="1"/>
    <col min="49" max="49" width="3.625" style="1" customWidth="1"/>
    <col min="50" max="50" width="3.25" style="1" customWidth="1"/>
    <col min="51" max="51" width="4" style="1" customWidth="1"/>
    <col min="52" max="52" width="3.25" style="1" customWidth="1"/>
    <col min="53" max="53" width="4.25" style="1" customWidth="1"/>
    <col min="54" max="54" width="3.625" style="1" customWidth="1"/>
    <col min="55" max="55" width="3.25" style="1" customWidth="1"/>
    <col min="56" max="16384" width="9.875" style="1" customWidth="1"/>
  </cols>
  <sheetData>
    <row ht="35.1" customHeight="1" r="1" spans="1:56" thickBot="1">
      <c r="A1" s="386"/>
      <c r="B1" s="386"/>
      <c r="C1" s="10"/>
      <c r="D1" s="10"/>
      <c r="E1" s="10"/>
      <c r="F1" s="80"/>
      <c r="G1" s="10"/>
      <c r="H1" s="10"/>
      <c r="I1" s="10"/>
      <c r="J1" s="10"/>
      <c r="K1" s="10"/>
    </row>
    <row ht="35.1" customHeight="1" r="2" spans="1:56" thickBot="1">
      <c r="A2" s="386"/>
      <c r="B2" s="386"/>
      <c r="C2" s="10"/>
      <c r="D2" s="10"/>
      <c r="E2" s="10"/>
      <c r="F2" s="80"/>
      <c r="G2" s="10"/>
      <c r="H2" s="10"/>
      <c r="I2" s="387"/>
      <c r="J2" s="387"/>
      <c r="K2" s="387"/>
      <c r="L2" s="388"/>
      <c r="M2" s="388"/>
      <c r="N2" s="30"/>
      <c r="O2" s="30"/>
      <c r="P2" s="30"/>
      <c r="AN2" s="381"/>
      <c r="AO2" s="381"/>
      <c r="AP2" s="381"/>
    </row>
    <row ht="35.1" customHeight="1" r="3" spans="1:56" thickBot="1">
      <c r="A3" s="84"/>
      <c r="B3" s="389"/>
      <c r="C3" s="84"/>
      <c r="D3" s="84"/>
      <c r="E3" s="76"/>
      <c r="F3" s="75"/>
      <c r="G3" s="79"/>
      <c r="H3" s="78"/>
      <c r="I3" s="391"/>
      <c r="J3" s="393"/>
      <c r="K3" s="31"/>
      <c r="L3" s="395"/>
      <c r="M3" s="395"/>
      <c r="N3" s="30"/>
      <c r="O3" s="30"/>
      <c r="P3" s="30"/>
    </row>
    <row ht="35.1" customHeight="1" r="4" spans="1:56" thickBot="1">
      <c r="A4" s="77"/>
      <c r="B4" s="76"/>
      <c r="C4" s="76"/>
      <c r="D4" s="76"/>
      <c r="E4" s="76"/>
      <c r="F4" s="75"/>
      <c r="G4" s="74"/>
      <c r="H4" s="73"/>
      <c r="I4" s="392"/>
      <c r="J4" s="394"/>
      <c r="K4" s="31"/>
      <c r="L4" s="72"/>
      <c r="M4" s="72"/>
      <c r="N4" s="72"/>
      <c r="O4" s="72"/>
      <c r="P4" s="85"/>
      <c r="Q4" s="19"/>
      <c r="AQ4" s="10"/>
    </row>
    <row ht="35.1" customHeight="1" r="5" spans="1:56">
      <c r="A5" s="68"/>
      <c r="B5" s="63"/>
      <c r="C5" s="63"/>
      <c r="D5" s="63"/>
      <c r="E5" s="62"/>
      <c r="F5" s="61"/>
      <c r="G5" s="55"/>
      <c r="H5" s="58"/>
      <c r="I5" s="71"/>
      <c r="J5" s="53"/>
      <c r="K5" s="31"/>
      <c r="L5" s="25"/>
      <c r="M5" s="20"/>
      <c r="N5" s="20"/>
      <c r="O5" s="20"/>
      <c r="P5" s="60"/>
      <c r="Q5" s="17"/>
      <c r="AQ5" s="10"/>
    </row>
    <row ht="35.1" customHeight="1" r="6" spans="1:56">
      <c r="A6" s="68"/>
      <c r="B6" s="52"/>
      <c r="C6" s="52"/>
      <c r="D6" s="63"/>
      <c r="E6" s="62"/>
      <c r="F6" s="61"/>
      <c r="G6" s="65"/>
      <c r="H6" s="58"/>
      <c r="I6" s="53"/>
      <c r="J6" s="53"/>
      <c r="K6" s="31"/>
      <c r="L6" s="25"/>
      <c r="M6" s="5"/>
      <c r="N6" s="5"/>
      <c r="O6" s="5"/>
      <c r="P6" s="60"/>
      <c r="AQ6" s="10"/>
    </row>
    <row ht="35.1" customHeight="1" r="7" spans="1:56">
      <c r="A7" s="68"/>
      <c r="B7" s="52"/>
      <c r="C7" s="52"/>
      <c r="D7" s="63"/>
      <c r="E7" s="62"/>
      <c r="F7" s="61"/>
      <c r="G7" s="65"/>
      <c r="H7" s="58"/>
      <c r="I7" s="53"/>
      <c r="J7" s="53"/>
      <c r="K7" s="31"/>
      <c r="L7" s="25"/>
      <c r="M7" s="5"/>
      <c r="N7" s="5"/>
      <c r="O7" s="5"/>
      <c r="P7" s="60"/>
      <c r="AQ7" s="11"/>
    </row>
    <row ht="35.1" customHeight="1" r="8" spans="1:56">
      <c r="A8" s="68"/>
      <c r="B8" s="52"/>
      <c r="C8" s="52"/>
      <c r="D8" s="63"/>
      <c r="E8" s="62"/>
      <c r="F8" s="61"/>
      <c r="G8" s="65"/>
      <c r="H8" s="58"/>
      <c r="I8" s="53"/>
      <c r="J8" s="53"/>
      <c r="K8" s="31"/>
      <c r="L8" s="25"/>
      <c r="M8" s="5"/>
      <c r="N8" s="5"/>
      <c r="O8" s="5"/>
      <c r="P8" s="60"/>
      <c r="AQ8" s="10"/>
    </row>
    <row ht="35.1" customHeight="1" r="9" spans="1:56">
      <c r="A9" s="70"/>
      <c r="B9" s="52"/>
      <c r="C9" s="52"/>
      <c r="D9" s="63"/>
      <c r="E9" s="62"/>
      <c r="F9" s="61"/>
      <c r="G9" s="65"/>
      <c r="H9" s="58"/>
      <c r="I9" s="53"/>
      <c r="J9" s="53"/>
      <c r="K9" s="31"/>
      <c r="L9" s="26"/>
      <c r="M9" s="5"/>
      <c r="N9" s="5"/>
      <c r="O9" s="5"/>
      <c r="P9" s="60"/>
      <c r="AQ9" s="11"/>
    </row>
    <row ht="35.1" customHeight="1" r="10" spans="1:56">
      <c r="A10" s="70"/>
      <c r="B10" s="52"/>
      <c r="C10" s="52"/>
      <c r="D10" s="63"/>
      <c r="E10" s="62"/>
      <c r="F10" s="61"/>
      <c r="G10" s="65"/>
      <c r="H10" s="58"/>
      <c r="I10" s="53"/>
      <c r="J10" s="53"/>
      <c r="K10" s="31"/>
      <c r="L10" s="26"/>
      <c r="M10" s="5"/>
      <c r="N10" s="5"/>
      <c r="O10" s="5"/>
      <c r="P10" s="60"/>
      <c r="AQ10" s="11"/>
    </row>
    <row ht="35.1" customHeight="1" r="11" spans="1:56">
      <c r="A11" s="70"/>
      <c r="B11" s="52"/>
      <c r="C11" s="52"/>
      <c r="D11" s="63"/>
      <c r="E11" s="62"/>
      <c r="F11" s="61"/>
      <c r="G11" s="65"/>
      <c r="H11" s="58"/>
      <c r="I11" s="53"/>
      <c r="J11" s="53"/>
      <c r="K11" s="31"/>
      <c r="L11" s="26"/>
      <c r="M11" s="5"/>
      <c r="N11" s="5"/>
      <c r="O11" s="5"/>
      <c r="P11" s="60"/>
      <c r="AQ11" s="10"/>
    </row>
    <row ht="35.1" customHeight="1" r="12" spans="1:56">
      <c r="A12" s="68"/>
      <c r="B12" s="52"/>
      <c r="C12" s="52"/>
      <c r="D12" s="63"/>
      <c r="E12" s="62"/>
      <c r="F12" s="61"/>
      <c r="G12" s="65"/>
      <c r="H12" s="58"/>
      <c r="I12" s="53"/>
      <c r="J12" s="53"/>
      <c r="K12" s="31"/>
      <c r="L12" s="25"/>
      <c r="M12" s="5"/>
      <c r="N12" s="5"/>
      <c r="O12" s="5"/>
      <c r="P12" s="60"/>
      <c r="AQ12" s="10"/>
    </row>
    <row ht="35.1" customHeight="1" r="13" spans="1:56">
      <c r="A13" s="68"/>
      <c r="B13" s="52"/>
      <c r="C13" s="52"/>
      <c r="D13" s="63"/>
      <c r="E13" s="62"/>
      <c r="F13" s="61"/>
      <c r="G13" s="65"/>
      <c r="H13" s="58"/>
      <c r="I13" s="53"/>
      <c r="J13" s="53"/>
      <c r="K13" s="31"/>
      <c r="L13" s="25"/>
      <c r="M13" s="5"/>
      <c r="N13" s="5"/>
      <c r="O13" s="5"/>
      <c r="P13" s="60"/>
      <c r="AQ13" s="10"/>
    </row>
    <row ht="35.1" customHeight="1" r="14" spans="1:56">
      <c r="A14" s="67"/>
      <c r="B14" s="52"/>
      <c r="C14" s="52"/>
      <c r="D14" s="63"/>
      <c r="E14" s="62"/>
      <c r="F14" s="61"/>
      <c r="G14" s="65"/>
      <c r="H14" s="58"/>
      <c r="I14" s="53"/>
      <c r="J14" s="53"/>
      <c r="K14" s="31"/>
      <c r="L14" s="29"/>
      <c r="M14" s="5"/>
      <c r="N14" s="5"/>
      <c r="O14" s="5"/>
      <c r="P14" s="60"/>
      <c r="AQ14" s="10"/>
    </row>
    <row ht="35.1" customHeight="1" r="15" spans="1:56">
      <c r="A15" s="67"/>
      <c r="B15" s="52"/>
      <c r="C15" s="52"/>
      <c r="D15" s="63"/>
      <c r="E15" s="62"/>
      <c r="F15" s="61"/>
      <c r="G15" s="65"/>
      <c r="H15" s="58"/>
      <c r="I15" s="53"/>
      <c r="J15" s="53"/>
      <c r="K15" s="31"/>
      <c r="L15" s="29"/>
      <c r="M15" s="5"/>
      <c r="N15" s="5"/>
      <c r="O15" s="5"/>
      <c r="P15" s="60"/>
      <c r="AQ15" s="10"/>
    </row>
    <row ht="35.1" customHeight="1" r="16" spans="1:56">
      <c r="A16" s="67"/>
      <c r="B16" s="52"/>
      <c r="C16" s="52"/>
      <c r="D16" s="63"/>
      <c r="E16" s="62"/>
      <c r="F16" s="61"/>
      <c r="G16" s="65"/>
      <c r="H16" s="58"/>
      <c r="I16" s="53"/>
      <c r="J16" s="53"/>
      <c r="K16" s="31"/>
      <c r="L16" s="29"/>
      <c r="M16" s="5"/>
      <c r="N16" s="5"/>
      <c r="O16" s="5"/>
      <c r="P16" s="60"/>
      <c r="AQ16" s="10"/>
    </row>
    <row ht="35.1" customHeight="1" r="17" spans="1:58">
      <c r="A17" s="67"/>
      <c r="B17" s="52"/>
      <c r="C17" s="52"/>
      <c r="D17" s="63"/>
      <c r="E17" s="62"/>
      <c r="F17" s="61"/>
      <c r="G17" s="65"/>
      <c r="H17" s="58"/>
      <c r="I17" s="53"/>
      <c r="J17" s="53"/>
      <c r="K17" s="31"/>
      <c r="L17" s="29"/>
      <c r="M17" s="5"/>
      <c r="N17" s="5"/>
      <c r="O17" s="5"/>
      <c r="P17" s="60"/>
      <c r="AQ17" s="10"/>
    </row>
    <row ht="35.1" customHeight="1" r="18" spans="1:58">
      <c r="A18" s="67"/>
      <c r="B18" s="52"/>
      <c r="C18" s="52"/>
      <c r="D18" s="63"/>
      <c r="E18" s="62"/>
      <c r="F18" s="61"/>
      <c r="G18" s="65"/>
      <c r="H18" s="58"/>
      <c r="I18" s="53"/>
      <c r="J18" s="53"/>
      <c r="K18" s="31"/>
      <c r="L18" s="29"/>
      <c r="M18" s="58"/>
      <c r="N18" s="5"/>
      <c r="O18" s="5"/>
      <c r="P18" s="60"/>
      <c r="AQ18" s="10"/>
    </row>
    <row ht="35.1" customHeight="1" r="19" spans="1:58">
      <c r="A19" s="67"/>
      <c r="B19" s="52"/>
      <c r="C19" s="52"/>
      <c r="D19" s="63"/>
      <c r="E19" s="62"/>
      <c r="F19" s="61"/>
      <c r="G19" s="65"/>
      <c r="H19" s="58"/>
      <c r="I19" s="53"/>
      <c r="J19" s="53"/>
      <c r="K19" s="31"/>
      <c r="L19" s="29"/>
      <c r="M19" s="54"/>
      <c r="N19" s="5"/>
      <c r="O19" s="5"/>
      <c r="P19" s="60"/>
      <c r="AQ19" s="10"/>
    </row>
    <row ht="35.1" customHeight="1" r="20" spans="1:58">
      <c r="A20" s="67"/>
      <c r="B20" s="52"/>
      <c r="C20" s="52"/>
      <c r="D20" s="63"/>
      <c r="E20" s="62"/>
      <c r="F20" s="61"/>
      <c r="G20" s="65"/>
      <c r="H20" s="58"/>
      <c r="I20" s="53"/>
      <c r="J20" s="53"/>
      <c r="K20" s="31"/>
      <c r="L20" s="29"/>
      <c r="M20" s="54"/>
      <c r="N20" s="5"/>
      <c r="O20" s="5"/>
      <c r="P20" s="60"/>
      <c r="AQ20" s="10"/>
    </row>
    <row ht="35.1" customHeight="1" r="21" spans="1:58">
      <c r="A21" s="67"/>
      <c r="B21" s="52"/>
      <c r="C21" s="52"/>
      <c r="D21" s="63"/>
      <c r="E21" s="62"/>
      <c r="F21" s="61"/>
      <c r="G21" s="65"/>
      <c r="H21" s="58"/>
      <c r="I21" s="53"/>
      <c r="J21" s="53"/>
      <c r="K21" s="31"/>
      <c r="L21" s="29"/>
      <c r="M21" s="58"/>
      <c r="N21" s="5"/>
      <c r="O21" s="5"/>
      <c r="P21" s="60"/>
      <c r="AQ21" s="10"/>
    </row>
    <row ht="35.1" customHeight="1" r="22" spans="1:58">
      <c r="A22" s="66"/>
      <c r="B22" s="52"/>
      <c r="C22" s="52"/>
      <c r="D22" s="63"/>
      <c r="E22" s="62"/>
      <c r="F22" s="61"/>
      <c r="G22" s="65"/>
      <c r="H22" s="58"/>
      <c r="I22" s="53"/>
      <c r="J22" s="53"/>
      <c r="K22" s="31"/>
      <c r="L22" s="27"/>
      <c r="M22" s="54"/>
      <c r="N22" s="5"/>
      <c r="O22" s="5"/>
      <c r="P22" s="60"/>
      <c r="AQ22" s="10"/>
    </row>
    <row ht="35.1" customHeight="1" r="23" spans="1:58">
      <c r="A23" s="66"/>
      <c r="B23" s="52"/>
      <c r="C23" s="52"/>
      <c r="D23" s="63"/>
      <c r="E23" s="62"/>
      <c r="F23" s="61"/>
      <c r="G23" s="65"/>
      <c r="H23" s="58"/>
      <c r="I23" s="53"/>
      <c r="J23" s="53"/>
      <c r="K23" s="31"/>
      <c r="L23" s="27"/>
      <c r="M23" s="54"/>
      <c r="N23" s="5"/>
      <c r="O23" s="5"/>
      <c r="P23" s="60"/>
      <c r="AQ23" s="10"/>
    </row>
    <row ht="35.1" customHeight="1" r="24" spans="1:58">
      <c r="A24" s="66"/>
      <c r="B24" s="52"/>
      <c r="C24" s="52"/>
      <c r="D24" s="63"/>
      <c r="E24" s="62"/>
      <c r="F24" s="61"/>
      <c r="G24" s="65"/>
      <c r="H24" s="58"/>
      <c r="I24" s="53"/>
      <c r="J24" s="53"/>
      <c r="K24" s="31"/>
      <c r="L24" s="27"/>
      <c r="M24" s="5"/>
      <c r="N24" s="5"/>
      <c r="O24" s="5"/>
      <c r="P24" s="60"/>
      <c r="AQ24" s="10"/>
    </row>
    <row ht="35.1" customHeight="1" r="25" spans="1:58">
      <c r="A25" s="66"/>
      <c r="B25" s="52"/>
      <c r="C25" s="52"/>
      <c r="D25" s="63"/>
      <c r="E25" s="62"/>
      <c r="F25" s="61"/>
      <c r="G25" s="65"/>
      <c r="H25" s="58"/>
      <c r="I25" s="53"/>
      <c r="J25" s="53"/>
      <c r="K25" s="31"/>
      <c r="L25" s="27"/>
      <c r="M25" s="5"/>
      <c r="N25" s="5"/>
      <c r="O25" s="5"/>
      <c r="P25" s="60"/>
      <c r="AQ25" s="10"/>
    </row>
    <row ht="35.1" customHeight="1" r="26" spans="1:58">
      <c r="A26" s="69"/>
      <c r="B26" s="52"/>
      <c r="C26" s="52"/>
      <c r="D26" s="63"/>
      <c r="E26" s="62"/>
      <c r="F26" s="61"/>
      <c r="G26" s="65"/>
      <c r="H26" s="58"/>
      <c r="I26" s="53"/>
      <c r="J26" s="53"/>
      <c r="K26" s="31"/>
      <c r="L26" s="28"/>
      <c r="M26" s="5"/>
      <c r="N26" s="5"/>
      <c r="O26" s="5"/>
      <c r="P26" s="60"/>
      <c r="AQ26" s="10"/>
    </row>
    <row ht="30" customHeight="1" r="27" spans="1:58">
      <c r="A27" s="68"/>
      <c r="B27" s="63"/>
      <c r="C27" s="52"/>
      <c r="D27" s="63"/>
      <c r="E27" s="62"/>
      <c r="F27" s="61"/>
      <c r="G27" s="55"/>
      <c r="H27" s="58"/>
      <c r="I27" s="53"/>
      <c r="J27" s="53"/>
      <c r="L27" s="25"/>
      <c r="M27" s="12"/>
      <c r="N27" s="5"/>
      <c r="O27" s="5"/>
      <c r="P27" s="86"/>
      <c r="R27" s="87"/>
      <c r="AS27" s="10"/>
    </row>
    <row ht="30" customHeight="1" r="28" spans="1:58">
      <c r="A28" s="68"/>
      <c r="B28" s="63"/>
      <c r="C28" s="52"/>
      <c r="D28" s="63"/>
      <c r="E28" s="62"/>
      <c r="F28" s="61"/>
      <c r="G28" s="55"/>
      <c r="H28" s="58"/>
      <c r="I28" s="53"/>
      <c r="J28" s="53"/>
      <c r="L28" s="25"/>
      <c r="M28" s="12"/>
      <c r="N28" s="5"/>
      <c r="O28" s="5"/>
      <c r="P28" s="86"/>
      <c r="R28" s="87"/>
      <c r="AS28" s="10"/>
    </row>
    <row ht="30" customHeight="1" r="29" spans="1:58">
      <c r="A29" s="68"/>
      <c r="B29" s="63"/>
      <c r="C29" s="52"/>
      <c r="D29" s="63"/>
      <c r="E29" s="62"/>
      <c r="F29" s="61"/>
      <c r="G29" s="55"/>
      <c r="H29" s="58"/>
      <c r="I29" s="53"/>
      <c r="J29" s="53"/>
      <c r="L29" s="25"/>
      <c r="M29" s="4"/>
      <c r="N29" s="5"/>
      <c r="O29" s="5"/>
      <c r="P29" s="86"/>
      <c r="R29" s="87"/>
      <c r="AS29" s="10"/>
    </row>
    <row ht="30" customHeight="1" r="30" spans="1:58">
      <c r="A30" s="68"/>
      <c r="B30" s="63"/>
      <c r="C30" s="52"/>
      <c r="D30" s="63"/>
      <c r="E30" s="62"/>
      <c r="F30" s="61"/>
      <c r="G30" s="55"/>
      <c r="H30" s="58"/>
      <c r="I30" s="53"/>
      <c r="J30" s="53"/>
      <c r="L30" s="25"/>
      <c r="M30" s="4"/>
      <c r="N30" s="5"/>
      <c r="O30" s="5"/>
      <c r="P30" s="86"/>
      <c r="R30" s="87"/>
      <c r="AS30" s="10"/>
    </row>
    <row ht="30" customHeight="1" r="31" spans="1:58">
      <c r="A31" s="68"/>
      <c r="B31" s="63"/>
      <c r="C31" s="52"/>
      <c r="D31" s="63"/>
      <c r="E31" s="62"/>
      <c r="F31" s="61"/>
      <c r="G31" s="55"/>
      <c r="H31" s="58"/>
      <c r="I31" s="53"/>
      <c r="J31" s="53"/>
      <c r="L31" s="25"/>
      <c r="M31" s="4"/>
      <c r="N31" s="5"/>
      <c r="O31" s="5"/>
      <c r="P31" s="60"/>
      <c r="R31" s="87"/>
      <c r="AS31" s="2"/>
    </row>
    <row ht="35.1" customHeight="1" r="32" spans="1:58" s="7" customFormat="1">
      <c r="A32" s="57"/>
      <c r="B32" s="57"/>
      <c r="C32" s="56"/>
      <c r="D32" s="56"/>
      <c r="E32" s="56"/>
      <c r="F32" s="88"/>
      <c r="G32" s="65"/>
      <c r="H32" s="54"/>
      <c r="I32" s="53"/>
      <c r="J32" s="90"/>
      <c r="K32" s="89"/>
      <c r="L32" s="57"/>
      <c r="M32" s="14"/>
      <c r="N32" s="15"/>
      <c r="O32" s="15"/>
      <c r="P32" s="24"/>
      <c r="Q32" s="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9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ht="35.1" customHeight="1" r="33" spans="1:56" s="7" customFormat="1">
      <c r="A33" s="57"/>
      <c r="B33" s="57"/>
      <c r="C33" s="56"/>
      <c r="D33" s="56"/>
      <c r="E33" s="56"/>
      <c r="F33" s="88"/>
      <c r="G33" s="65"/>
      <c r="H33" s="54"/>
      <c r="I33" s="53"/>
      <c r="J33" s="90"/>
      <c r="K33" s="89"/>
      <c r="L33" s="57"/>
      <c r="M33" s="14"/>
      <c r="N33" s="15"/>
      <c r="O33" s="15"/>
      <c r="P33" s="24"/>
      <c r="Q33" s="1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9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ht="34.5" customHeight="1" r="34" spans="1:56" s="7" customFormat="1">
      <c r="A34" s="57"/>
      <c r="B34" s="57"/>
      <c r="C34" s="56"/>
      <c r="D34" s="56"/>
      <c r="E34" s="56"/>
      <c r="F34" s="88"/>
      <c r="G34" s="65"/>
      <c r="H34" s="48"/>
      <c r="I34" s="53"/>
      <c r="J34" s="90"/>
      <c r="K34" s="89"/>
      <c r="L34" s="57"/>
      <c r="M34" s="14"/>
      <c r="N34" s="15"/>
      <c r="O34" s="15"/>
      <c r="P34" s="24"/>
      <c r="Q34" s="1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ht="35.1" customHeight="1" r="35" spans="1:56" s="7" customFormat="1">
      <c r="A35" s="57"/>
      <c r="B35" s="57"/>
      <c r="C35" s="56"/>
      <c r="D35" s="56"/>
      <c r="E35" s="56"/>
      <c r="F35" s="88"/>
      <c r="G35" s="65"/>
      <c r="H35" s="54"/>
      <c r="I35" s="53"/>
      <c r="J35" s="90"/>
      <c r="K35" s="89"/>
      <c r="L35" s="57"/>
      <c r="M35" s="14"/>
      <c r="N35" s="15"/>
      <c r="O35" s="15"/>
      <c r="P35" s="24"/>
      <c r="Q35" s="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ht="35.1" customHeight="1" r="36" spans="1:56" s="7" customFormat="1">
      <c r="A36" s="57"/>
      <c r="B36" s="57"/>
      <c r="C36" s="56"/>
      <c r="D36" s="56"/>
      <c r="E36" s="56"/>
      <c r="F36" s="88"/>
      <c r="G36" s="65"/>
      <c r="H36" s="54"/>
      <c r="I36" s="53"/>
      <c r="J36" s="90"/>
      <c r="K36" s="89"/>
      <c r="L36" s="57"/>
      <c r="M36" s="14"/>
      <c r="N36" s="15"/>
      <c r="O36" s="15"/>
      <c r="P36" s="24"/>
      <c r="Q36" s="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9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ht="35.1" customHeight="1" r="37" spans="1:56" s="7" customFormat="1">
      <c r="A37" s="57"/>
      <c r="B37" s="57"/>
      <c r="C37" s="56"/>
      <c r="D37" s="56"/>
      <c r="E37" s="56"/>
      <c r="F37" s="88"/>
      <c r="G37" s="65"/>
      <c r="H37" s="54"/>
      <c r="I37" s="53"/>
      <c r="J37" s="90"/>
      <c r="K37" s="89"/>
      <c r="L37" s="57"/>
      <c r="M37" s="14"/>
      <c r="N37" s="15"/>
      <c r="O37" s="15"/>
      <c r="P37" s="24"/>
      <c r="Q37" s="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ht="35.1" customHeight="1" r="38" spans="1:56" s="7" customFormat="1">
      <c r="A38" s="57"/>
      <c r="B38" s="59"/>
      <c r="C38" s="56"/>
      <c r="D38" s="56"/>
      <c r="E38" s="56"/>
      <c r="F38" s="88"/>
      <c r="G38" s="65"/>
      <c r="H38" s="48"/>
      <c r="I38" s="53"/>
      <c r="J38" s="90"/>
      <c r="K38" s="89"/>
      <c r="L38" s="57"/>
      <c r="M38" s="14"/>
      <c r="N38" s="15"/>
      <c r="O38" s="15"/>
      <c r="P38" s="24"/>
      <c r="Q38" s="1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ht="35.1" customHeight="1" r="39" spans="1:56" s="7" customFormat="1">
      <c r="A39" s="57"/>
      <c r="B39" s="57"/>
      <c r="C39" s="56"/>
      <c r="D39" s="56"/>
      <c r="E39" s="56"/>
      <c r="F39" s="88"/>
      <c r="G39" s="65"/>
      <c r="H39" s="54"/>
      <c r="I39" s="53"/>
      <c r="J39" s="90"/>
      <c r="K39" s="89"/>
      <c r="L39" s="57"/>
      <c r="M39" s="14"/>
      <c r="N39" s="15"/>
      <c r="O39" s="15"/>
      <c r="P39" s="24"/>
      <c r="Q39" s="1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ht="35.1" customHeight="1" r="40" spans="1:56" s="7" customFormat="1" thickBot="1">
      <c r="A40" s="57"/>
      <c r="B40" s="57"/>
      <c r="C40" s="56"/>
      <c r="D40" s="56"/>
      <c r="E40" s="56"/>
      <c r="F40" s="88"/>
      <c r="G40" s="65"/>
      <c r="H40" s="54"/>
      <c r="I40" s="53"/>
      <c r="J40" s="90"/>
      <c r="K40" s="89"/>
      <c r="L40" s="57"/>
      <c r="M40" s="14"/>
      <c r="N40" s="15"/>
      <c r="O40" s="15"/>
      <c r="P40" s="24"/>
      <c r="Q40" s="1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ht="35.1" customHeight="1" r="41" spans="1:56">
      <c r="A41" s="48"/>
      <c r="B41" s="52"/>
      <c r="C41" s="48"/>
      <c r="D41" s="48"/>
      <c r="E41" s="47"/>
      <c r="F41" s="51"/>
      <c r="G41" s="50"/>
      <c r="H41" s="44"/>
      <c r="I41" s="43"/>
      <c r="J41" s="43"/>
      <c r="K41" s="31"/>
      <c r="L41" s="13"/>
      <c r="M41" s="14"/>
      <c r="N41" s="15"/>
      <c r="O41" s="15"/>
      <c r="P41" s="15"/>
      <c r="Q41" s="18"/>
      <c r="AQ41" s="2"/>
    </row>
    <row ht="35.1" customHeight="1" r="42" spans="1:56" thickBot="1">
      <c r="A42" s="49"/>
      <c r="B42" s="48"/>
      <c r="C42" s="48"/>
      <c r="D42" s="48"/>
      <c r="E42" s="47"/>
      <c r="F42" s="46"/>
      <c r="G42" s="45"/>
      <c r="H42" s="44"/>
      <c r="I42" s="43"/>
      <c r="J42" s="43"/>
      <c r="K42" s="31"/>
      <c r="L42" s="12"/>
      <c r="M42" s="16"/>
      <c r="N42" s="12"/>
      <c r="O42" s="12"/>
      <c r="P42" s="12"/>
      <c r="AQ42" s="2"/>
    </row>
    <row ht="35.1" customHeight="1" r="43" spans="1:56" thickBot="1">
      <c r="A43" s="42"/>
      <c r="B43" s="41"/>
      <c r="C43" s="41"/>
      <c r="D43" s="41"/>
      <c r="E43" s="40"/>
      <c r="F43" s="396"/>
      <c r="G43" s="397"/>
      <c r="H43" s="402"/>
      <c r="I43" s="39"/>
      <c r="J43" s="38"/>
      <c r="K43" s="31"/>
      <c r="L43" s="6"/>
      <c r="M43" s="12"/>
      <c r="N43" s="12"/>
      <c r="O43" s="12"/>
      <c r="P43" s="12"/>
      <c r="AQ43" s="2"/>
    </row>
    <row ht="35.1" customHeight="1" r="44" spans="1:56" thickBot="1">
      <c r="A44" s="37"/>
      <c r="B44" s="405"/>
      <c r="C44" s="406"/>
      <c r="D44" s="406"/>
      <c r="E44" s="407"/>
      <c r="F44" s="398"/>
      <c r="G44" s="399"/>
      <c r="H44" s="403"/>
      <c r="I44" s="36"/>
      <c r="J44" s="35"/>
      <c r="K44" s="31"/>
      <c r="L44" s="3"/>
      <c r="M44" s="12"/>
      <c r="N44" s="12"/>
      <c r="O44" s="12"/>
      <c r="P44" s="12"/>
      <c r="Q44" s="382"/>
      <c r="AQ44" s="2"/>
    </row>
    <row ht="35.1" customHeight="1" r="45" spans="1:56" thickBot="1">
      <c r="A45" s="34"/>
      <c r="B45" s="383"/>
      <c r="C45" s="384"/>
      <c r="D45" s="384"/>
      <c r="E45" s="385"/>
      <c r="F45" s="400"/>
      <c r="G45" s="401"/>
      <c r="H45" s="404"/>
      <c r="I45" s="33"/>
      <c r="J45" s="32"/>
      <c r="K45" s="31"/>
      <c r="L45" s="21"/>
      <c r="M45" s="3"/>
      <c r="N45" s="3"/>
      <c r="O45" s="3"/>
      <c r="P45" s="3"/>
      <c r="Q45" s="382"/>
      <c r="AQ45" s="2"/>
    </row>
    <row ht="35.1" customHeight="1" r="46" spans="1:56">
      <c r="L46" s="22"/>
      <c r="M46" s="3"/>
      <c r="N46" s="3"/>
      <c r="O46" s="3"/>
      <c r="P46" s="3"/>
      <c r="Q46" s="382"/>
      <c r="AQ46" s="2"/>
    </row>
    <row ht="35.1" customHeight="1" r="47" spans="1:56">
      <c r="AQ47" s="2"/>
    </row>
    <row ht="15.95" customHeight="1" r="48" spans="1:56">
      <c r="AQ48" s="2"/>
    </row>
    <row r="49" spans="9:56">
      <c r="AQ49" s="2"/>
    </row>
    <row r="50" spans="9:56">
      <c r="AQ50" s="2"/>
    </row>
    <row r="51" spans="9:56">
      <c r="AQ51" s="2"/>
    </row>
    <row r="52" spans="9:56">
      <c r="AQ52" s="2"/>
    </row>
    <row r="53" spans="9:56">
      <c r="AQ53" s="2"/>
    </row>
    <row r="54" spans="9:56">
      <c r="AQ54" s="2"/>
    </row>
    <row r="55" spans="9:56">
      <c r="AQ55" s="2"/>
    </row>
    <row r="56" spans="9:56">
      <c r="AQ56" s="2"/>
    </row>
    <row r="57" spans="9:56">
      <c r="AQ57" s="2"/>
    </row>
    <row r="58" spans="9:56">
      <c r="AQ58" s="2"/>
    </row>
    <row r="59" spans="9:56">
      <c r="AQ59" s="2"/>
    </row>
    <row ht="15.75" r="60" spans="9:56">
      <c r="L60" s="5"/>
      <c r="AQ60" s="2"/>
    </row>
    <row ht="15.75" r="61" spans="9:56">
      <c r="L61" s="5"/>
      <c r="AQ61" s="2"/>
    </row>
    <row ht="15.75" r="62" spans="9:56">
      <c r="L62" s="5"/>
      <c r="AQ62" s="2"/>
    </row>
    <row r="63" spans="9:56">
      <c r="L63" s="64"/>
      <c r="AQ63" s="2"/>
    </row>
    <row r="64" spans="9:56">
      <c r="L64" s="64"/>
      <c r="AQ64" s="2"/>
    </row>
    <row ht="15.75" r="65" spans="9:56">
      <c r="L65" s="5"/>
      <c r="AQ65" s="2"/>
    </row>
    <row ht="15.75" r="66" spans="9:56">
      <c r="L66" s="5"/>
      <c r="AQ66" s="2"/>
    </row>
    <row r="67" spans="9:56">
      <c r="L67" s="64"/>
      <c r="AQ67" s="2"/>
    </row>
    <row r="68" spans="9:56">
      <c r="L68" s="64"/>
      <c r="AQ68" s="2"/>
    </row>
    <row r="69" spans="9:56">
      <c r="L69" s="12"/>
      <c r="AQ69" s="2"/>
    </row>
    <row r="70" spans="9:56">
      <c r="AQ70" s="2"/>
    </row>
    <row r="71" spans="9:56">
      <c r="AQ71" s="2"/>
    </row>
    <row r="72" spans="9:56">
      <c r="AQ72" s="2"/>
    </row>
    <row r="73" spans="9:56">
      <c r="AQ73" s="2"/>
    </row>
    <row r="74" spans="9:56">
      <c r="AQ74" s="2"/>
    </row>
    <row r="75" spans="9:56">
      <c r="AQ75" s="2"/>
    </row>
    <row r="76" spans="9:56">
      <c r="AQ76" s="2"/>
    </row>
    <row r="77" spans="9:56">
      <c r="AQ77" s="2"/>
    </row>
  </sheetData>
  <mergeCells count="14">
    <mergeCell ref="AN2:AP2"/>
    <mergeCell ref="Q44:Q46"/>
    <mergeCell ref="B45:E45"/>
    <mergeCell ref="A1:B1"/>
    <mergeCell ref="A2:B2"/>
    <mergeCell ref="I2:K2"/>
    <mergeCell ref="L2:M2"/>
    <mergeCell ref="B3:D3"/>
    <mergeCell ref="I3:I4"/>
    <mergeCell ref="J3:J4"/>
    <mergeCell ref="L3:M3"/>
    <mergeCell ref="F43:G45"/>
    <mergeCell ref="H43:H45"/>
    <mergeCell ref="B44:E44"/>
  </mergeCells>
  <conditionalFormatting sqref="M47:AP77 T28:AR31 AT28:BE31 R4:AP26 AR4:BC26 R32:AP46 AR32:BC77">
    <cfRule type="cellIs" dxfId="213" priority="6" operator="greaterThan">
      <formula>1</formula>
    </cfRule>
  </conditionalFormatting>
  <conditionalFormatting sqref="T27:AR28 AT27:BE28">
    <cfRule type="cellIs" dxfId="212" priority="4" operator="greaterThan">
      <formula>1</formula>
    </cfRule>
  </conditionalFormatting>
  <conditionalFormatting sqref="AT32:BE32 T32:AR32">
    <cfRule type="cellIs" dxfId="211" priority="1" operator="greaterThan">
      <formula>1</formula>
    </cfRule>
  </conditionalFormatting>
  <pageMargins left="0.25" right="0.25" top="0.75" bottom="0.75" header="0.3" footer="0.3"/>
  <pageSetup paperSize="9" scale="47" fitToHeight="0" orientation="portrait" r:id="rId1"/>
  <rowBreaks count="1" manualBreakCount="1">
    <brk id="47" max="16383" man="1"/>
  </rowBreaks>
  <colBreaks count="2" manualBreakCount="2">
    <brk id="11" max="45" man="1"/>
    <brk id="16" max="45" man="1"/>
  </colBreaks>
  <legacyDrawing r:id="rId2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DAFB-0789-4A73-BB67-24951BF7D6AB}">
  <sheetViews>
    <sheetView workbookViewId="0" zoomScaleNormal="100">
      <selection pane="topLeft" activeCell="G1" sqref="G1"/>
    </sheetView>
  </sheetViews>
  <sheetFormatPr baseColWidth="8" defaultColWidth="7.75" defaultRowHeight="15"/>
  <cols>
    <col min="1" max="1" width="17.21" style="1" customWidth="1"/>
    <col min="2" max="2" width="12.35" style="1" bestFit="1" customWidth="1"/>
    <col min="3" max="3" width="12.21" style="1" customWidth="1"/>
    <col min="4" max="5" width="12.35" style="1" customWidth="1"/>
    <col min="6" max="6" width="7.35" style="1" customWidth="1"/>
    <col min="7" max="8" width="7.75" style="1" customWidth="1"/>
    <col min="9" max="9" width="3.375" style="1" bestFit="1" customWidth="1"/>
    <col min="10" max="10" width="3.875" style="1" customWidth="1"/>
    <col min="11" max="15" width="3.375" style="1" bestFit="1" customWidth="1"/>
    <col min="16" max="22" width="2.875" style="1" bestFit="1" customWidth="1"/>
    <col min="23" max="29" width="3.5" style="1" bestFit="1" customWidth="1"/>
    <col min="30" max="36" width="3.125" style="1" bestFit="1" customWidth="1"/>
    <col min="37" max="37" width="2.75" style="1" bestFit="1" customWidth="1"/>
    <col min="38" max="38" width="5.75" style="1" customWidth="1"/>
    <col min="39" max="39" width="4.375" style="1" customWidth="1"/>
    <col min="40" max="40" width="5.25" style="1" customWidth="1"/>
    <col min="41" max="41" width="5.125" style="1" customWidth="1"/>
    <col min="42" max="42" width="5.875" style="1" customWidth="1"/>
    <col min="43" max="16384" width="7.75" style="1" customWidth="1"/>
  </cols>
  <sheetData>
    <row r="1" spans="1:6">
      <c r="A1" s="408" t="s">
        <v>118</v>
      </c>
      <c r="B1" s="408"/>
      <c r="C1" s="142"/>
      <c r="D1" s="142"/>
      <c r="E1" s="142"/>
      <c r="F1" s="142"/>
    </row>
    <row r="2" spans="1:6">
      <c r="A2" s="408" t="s">
        <v>119</v>
      </c>
      <c r="B2" s="408"/>
      <c r="C2" s="142"/>
      <c r="D2" s="142"/>
      <c r="E2" s="142"/>
      <c r="F2" s="142"/>
    </row>
    <row ht="15.75" r="3" spans="1:6" thickBot="1">
      <c r="A3" s="3" t="s">
        <v>120</v>
      </c>
      <c r="B3" s="3" t="s">
        <v>613</v>
      </c>
      <c r="C3" s="172"/>
      <c r="D3" s="172"/>
      <c r="E3" s="172"/>
      <c r="F3" s="172"/>
    </row>
    <row ht="15.75" r="4" spans="1:6">
      <c r="A4" s="168" t="s">
        <v>4</v>
      </c>
      <c r="B4" s="167">
        <v>50</v>
      </c>
      <c r="C4" s="417" t="s">
        <v>612</v>
      </c>
      <c r="D4" s="421" t="s">
        <v>611</v>
      </c>
      <c r="E4" s="166">
        <v>2</v>
      </c>
      <c r="F4" s="145"/>
    </row>
    <row ht="15.75" r="5" spans="1:6">
      <c r="A5" s="168" t="s">
        <v>610</v>
      </c>
      <c r="B5" s="167">
        <v>48</v>
      </c>
      <c r="C5" s="418"/>
      <c r="D5" s="422"/>
      <c r="E5" s="166">
        <v>1</v>
      </c>
      <c r="F5" s="145"/>
    </row>
    <row ht="15.75" r="6" spans="1:6">
      <c r="A6" s="168" t="s">
        <v>609</v>
      </c>
      <c r="B6" s="167">
        <v>48</v>
      </c>
      <c r="C6" s="418"/>
      <c r="D6" s="422"/>
      <c r="E6" s="166">
        <v>1</v>
      </c>
      <c r="F6" s="145"/>
    </row>
    <row ht="15.75" r="7" spans="1:6">
      <c r="A7" s="168" t="s">
        <v>277</v>
      </c>
      <c r="B7" s="167">
        <v>90</v>
      </c>
      <c r="C7" s="419"/>
      <c r="D7" s="422"/>
      <c r="E7" s="171">
        <v>2</v>
      </c>
      <c r="F7" s="170">
        <v>474</v>
      </c>
    </row>
    <row ht="15.75" r="8" spans="1:6">
      <c r="A8" s="169">
        <v>206</v>
      </c>
      <c r="B8" s="167">
        <v>48</v>
      </c>
      <c r="C8" s="420" t="s">
        <v>608</v>
      </c>
      <c r="D8" s="422"/>
      <c r="E8" s="166">
        <v>1</v>
      </c>
      <c r="F8" s="145"/>
    </row>
    <row ht="15.75" r="9" spans="1:6">
      <c r="A9" s="169">
        <v>303</v>
      </c>
      <c r="B9" s="167">
        <v>60</v>
      </c>
      <c r="C9" s="420"/>
      <c r="D9" s="422"/>
      <c r="E9" s="166">
        <v>2</v>
      </c>
      <c r="F9" s="145"/>
    </row>
    <row ht="15.75" r="10" spans="1:6">
      <c r="A10" s="169">
        <v>304</v>
      </c>
      <c r="B10" s="167">
        <v>40</v>
      </c>
      <c r="C10" s="420"/>
      <c r="D10" s="422"/>
      <c r="E10" s="166">
        <v>1</v>
      </c>
      <c r="F10" s="145"/>
    </row>
    <row ht="15.75" r="11" spans="1:6">
      <c r="A11" s="168" t="s">
        <v>20</v>
      </c>
      <c r="B11" s="167">
        <v>50</v>
      </c>
      <c r="C11" s="420" t="s">
        <v>607</v>
      </c>
      <c r="D11" s="422"/>
      <c r="E11" s="166">
        <v>1</v>
      </c>
      <c r="F11" s="145"/>
    </row>
    <row ht="15.75" r="12" spans="1:6">
      <c r="A12" s="168" t="s">
        <v>23</v>
      </c>
      <c r="B12" s="167">
        <v>40</v>
      </c>
      <c r="C12" s="420"/>
      <c r="D12" s="422"/>
      <c r="E12" s="166">
        <v>1</v>
      </c>
      <c r="F12" s="145"/>
    </row>
    <row ht="15.75" r="13" spans="1:6">
      <c r="A13" s="163" t="s">
        <v>81</v>
      </c>
      <c r="B13" s="162">
        <v>80</v>
      </c>
      <c r="C13" s="425" t="s">
        <v>606</v>
      </c>
      <c r="D13" s="423" t="s">
        <v>605</v>
      </c>
      <c r="E13" s="165">
        <v>2</v>
      </c>
      <c r="F13" s="164"/>
    </row>
    <row ht="15.75" r="14" spans="1:6">
      <c r="A14" s="163" t="s">
        <v>92</v>
      </c>
      <c r="B14" s="162">
        <v>80</v>
      </c>
      <c r="C14" s="425"/>
      <c r="D14" s="424"/>
      <c r="E14" s="165">
        <v>2</v>
      </c>
      <c r="F14" s="164"/>
    </row>
    <row ht="15.75" r="15" spans="1:6">
      <c r="A15" s="163" t="s">
        <v>12</v>
      </c>
      <c r="B15" s="162">
        <v>80</v>
      </c>
      <c r="C15" s="425"/>
      <c r="D15" s="424"/>
      <c r="E15" s="165">
        <v>2</v>
      </c>
      <c r="F15" s="164"/>
    </row>
    <row ht="15.75" r="16" spans="1:6">
      <c r="A16" s="163" t="s">
        <v>604</v>
      </c>
      <c r="B16" s="162">
        <v>0</v>
      </c>
      <c r="C16" s="425"/>
      <c r="D16" s="424"/>
      <c r="E16" s="165">
        <v>1</v>
      </c>
      <c r="F16" s="164"/>
    </row>
    <row ht="15.75" r="17" spans="1:6">
      <c r="A17" s="163" t="s">
        <v>67</v>
      </c>
      <c r="B17" s="162">
        <v>60</v>
      </c>
      <c r="C17" s="425"/>
      <c r="D17" s="424"/>
      <c r="E17" s="165">
        <v>2</v>
      </c>
      <c r="F17" s="164"/>
    </row>
    <row ht="15.75" r="18" spans="1:6">
      <c r="A18" s="163" t="s">
        <v>70</v>
      </c>
      <c r="B18" s="162">
        <v>80</v>
      </c>
      <c r="C18" s="425" t="s">
        <v>603</v>
      </c>
      <c r="D18" s="424"/>
      <c r="E18" s="165">
        <v>2</v>
      </c>
      <c r="F18" s="164"/>
    </row>
    <row ht="15.75" r="19" spans="1:6">
      <c r="A19" s="163" t="s">
        <v>69</v>
      </c>
      <c r="B19" s="162">
        <v>80</v>
      </c>
      <c r="C19" s="425"/>
      <c r="D19" s="424"/>
      <c r="E19" s="165">
        <v>2</v>
      </c>
      <c r="F19" s="164"/>
    </row>
    <row ht="15.75" r="20" spans="1:6">
      <c r="A20" s="163" t="s">
        <v>68</v>
      </c>
      <c r="B20" s="162">
        <v>50</v>
      </c>
      <c r="C20" s="425"/>
      <c r="D20" s="424"/>
      <c r="E20" s="165">
        <v>1</v>
      </c>
      <c r="F20" s="164"/>
    </row>
    <row ht="15.75" r="21" spans="1:6">
      <c r="A21" s="163" t="s">
        <v>34</v>
      </c>
      <c r="B21" s="162">
        <v>60</v>
      </c>
      <c r="C21" s="425"/>
      <c r="D21" s="424"/>
      <c r="E21" s="161">
        <v>1</v>
      </c>
      <c r="F21" s="160">
        <f>SUM(B13:B21)</f>
        <v>570</v>
      </c>
    </row>
    <row ht="15.75" r="22" spans="1:6">
      <c r="A22" s="157" t="s">
        <v>44</v>
      </c>
      <c r="B22" s="156">
        <v>50</v>
      </c>
      <c r="C22" s="409" t="s">
        <v>602</v>
      </c>
      <c r="D22" s="412" t="s">
        <v>601</v>
      </c>
      <c r="E22" s="159">
        <v>1</v>
      </c>
      <c r="F22" s="158"/>
    </row>
    <row ht="15.75" r="23" spans="1:6">
      <c r="A23" s="157" t="s">
        <v>121</v>
      </c>
      <c r="B23" s="156">
        <v>50</v>
      </c>
      <c r="C23" s="409"/>
      <c r="D23" s="413"/>
      <c r="E23" s="159">
        <v>1</v>
      </c>
      <c r="F23" s="158"/>
    </row>
    <row ht="15.75" r="24" spans="1:6">
      <c r="A24" s="157" t="s">
        <v>13</v>
      </c>
      <c r="B24" s="156">
        <v>60</v>
      </c>
      <c r="C24" s="409"/>
      <c r="D24" s="413"/>
      <c r="E24" s="159">
        <v>2</v>
      </c>
      <c r="F24" s="158"/>
    </row>
    <row ht="15.75" r="25" spans="1:6">
      <c r="A25" s="157" t="s">
        <v>278</v>
      </c>
      <c r="B25" s="156">
        <v>60</v>
      </c>
      <c r="C25" s="409" t="s">
        <v>600</v>
      </c>
      <c r="D25" s="413"/>
      <c r="E25" s="159">
        <v>3</v>
      </c>
      <c r="F25" s="158"/>
    </row>
    <row ht="15.75" r="26" spans="1:6">
      <c r="A26" s="157" t="s">
        <v>331</v>
      </c>
      <c r="B26" s="156">
        <v>90</v>
      </c>
      <c r="C26" s="409"/>
      <c r="D26" s="413"/>
      <c r="E26" s="155">
        <v>2</v>
      </c>
      <c r="F26" s="154">
        <f>SUM(B22:B26)</f>
        <v>310</v>
      </c>
    </row>
    <row ht="15.75" r="27" spans="1:6">
      <c r="A27" s="149" t="s">
        <v>599</v>
      </c>
      <c r="B27" s="152">
        <v>160</v>
      </c>
      <c r="C27" s="153" t="s">
        <v>598</v>
      </c>
      <c r="D27" s="414" t="s">
        <v>597</v>
      </c>
      <c r="E27" s="151">
        <v>3</v>
      </c>
      <c r="F27" s="150"/>
    </row>
    <row ht="15.75" r="28" spans="1:6">
      <c r="A28" s="149" t="s">
        <v>380</v>
      </c>
      <c r="B28" s="152">
        <v>60</v>
      </c>
      <c r="C28" s="153" t="s">
        <v>596</v>
      </c>
      <c r="D28" s="415"/>
      <c r="E28" s="151">
        <v>2</v>
      </c>
      <c r="F28" s="150"/>
    </row>
    <row ht="15.75" r="29" spans="1:6">
      <c r="A29" s="149" t="s">
        <v>381</v>
      </c>
      <c r="B29" s="152">
        <v>110</v>
      </c>
      <c r="C29" s="410" t="s">
        <v>595</v>
      </c>
      <c r="D29" s="415"/>
      <c r="E29" s="151"/>
      <c r="F29" s="150"/>
    </row>
    <row ht="16.5" r="30" spans="1:6" thickBot="1">
      <c r="A30" s="149" t="s">
        <v>431</v>
      </c>
      <c r="B30" s="148">
        <v>160</v>
      </c>
      <c r="C30" s="411"/>
      <c r="D30" s="416"/>
      <c r="E30" s="147">
        <v>2</v>
      </c>
      <c r="F30" s="146">
        <f>SUM(B27:B30)</f>
        <v>490</v>
      </c>
    </row>
    <row r="31" spans="1:6">
      <c r="B31" s="145"/>
      <c r="E31" s="1">
        <v>1</v>
      </c>
    </row>
    <row ht="15.75" r="32" spans="1:6">
      <c r="A32" s="6" t="s">
        <v>594</v>
      </c>
      <c r="B32" s="144">
        <f>SUM(B4:B30)</f>
        <v>1844</v>
      </c>
      <c r="C32" s="143"/>
      <c r="D32" s="143"/>
      <c r="E32" s="143"/>
      <c r="F32" s="142"/>
    </row>
  </sheetData>
  <mergeCells count="14">
    <mergeCell ref="A1:B1"/>
    <mergeCell ref="A2:B2"/>
    <mergeCell ref="C25:C26"/>
    <mergeCell ref="C29:C30"/>
    <mergeCell ref="D22:D26"/>
    <mergeCell ref="D27:D30"/>
    <mergeCell ref="C4:C7"/>
    <mergeCell ref="C11:C12"/>
    <mergeCell ref="C8:C10"/>
    <mergeCell ref="D4:D12"/>
    <mergeCell ref="D13:D21"/>
    <mergeCell ref="C13:C17"/>
    <mergeCell ref="C18:C21"/>
    <mergeCell ref="C22:C24"/>
  </mergeCells>
  <pageMargins left="0.7" right="0.7" top="0.75" bottom="0.75" header="0.3" footer="0.3"/>
  <pageSetup paperSize="9" scale="140" orientation="portrait"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3E54-119B-4D92-87E5-1B0B1369A4EC}">
  <sheetPr>
    <pageSetUpPr fitToPage="1"/>
  </sheetPr>
  <sheetViews>
    <sheetView zoomScale="120" workbookViewId="0" view="pageBreakPreview" zoomScaleNormal="130" zoomScaleSheetLayoutView="120">
      <selection pane="topLeft" activeCell="F890" sqref="F890"/>
    </sheetView>
  </sheetViews>
  <sheetFormatPr baseColWidth="8" defaultRowHeight="14"/>
  <cols>
    <col min="1" max="1" width="6.75" style="92" customWidth="1"/>
    <col min="2" max="2" width="32.125" style="4" customWidth="1"/>
    <col min="3" max="7" width="9" style="92" customWidth="1"/>
    <col min="8" max="8" width="11.375" style="92" customWidth="1"/>
    <col min="9" max="16384" width="9" style="92" customWidth="1"/>
  </cols>
  <sheetData>
    <row ht="20.25" r="1" spans="1:15">
      <c r="A1" s="426"/>
      <c r="B1" s="426"/>
      <c r="C1" s="426"/>
      <c r="D1" s="426"/>
      <c r="E1" s="426"/>
      <c r="F1" s="426"/>
      <c r="G1" s="426"/>
      <c r="H1" s="426"/>
      <c r="I1" s="426"/>
      <c r="J1" s="136"/>
      <c r="K1" s="136"/>
      <c r="L1" s="136"/>
      <c r="M1" s="136"/>
      <c r="N1" s="136"/>
      <c r="O1" s="136"/>
    </row>
    <row ht="20.25" r="2" spans="1:15">
      <c r="A2" s="426"/>
      <c r="B2" s="426"/>
      <c r="C2" s="426"/>
      <c r="D2" s="426"/>
      <c r="E2" s="426"/>
      <c r="F2" s="426"/>
      <c r="G2" s="426"/>
      <c r="H2" s="426"/>
      <c r="I2" s="426"/>
      <c r="J2" s="136"/>
      <c r="K2" s="136"/>
      <c r="L2" s="136"/>
      <c r="M2" s="136"/>
      <c r="N2" s="136"/>
      <c r="O2" s="136"/>
    </row>
    <row ht="20.25" r="3" spans="1:15">
      <c r="A3" s="426"/>
      <c r="B3" s="426"/>
      <c r="C3" s="426"/>
      <c r="D3" s="426"/>
      <c r="E3" s="426"/>
      <c r="F3" s="426"/>
      <c r="G3" s="426"/>
      <c r="H3" s="426"/>
      <c r="I3" s="426"/>
      <c r="J3" s="136"/>
      <c r="K3" s="136"/>
      <c r="L3" s="136"/>
      <c r="M3" s="136"/>
      <c r="N3" s="136"/>
      <c r="O3" s="136"/>
    </row>
    <row ht="30" r="4" spans="1:15">
      <c r="A4" s="242"/>
      <c r="B4" s="243"/>
      <c r="C4" s="244"/>
      <c r="D4" s="243"/>
      <c r="E4" s="243"/>
      <c r="F4" s="243"/>
      <c r="G4" s="243"/>
      <c r="H4" s="243"/>
      <c r="I4" s="243"/>
      <c r="J4" s="136"/>
      <c r="K4" s="195"/>
      <c r="L4" s="197"/>
      <c r="M4" s="197"/>
      <c r="N4" s="196"/>
      <c r="O4" s="195"/>
    </row>
    <row ht="15" r="5" spans="1:15" s="204" customFormat="1">
      <c r="A5" s="199"/>
      <c r="B5" s="200"/>
      <c r="C5" s="201"/>
      <c r="D5" s="207"/>
      <c r="E5" s="200"/>
      <c r="F5" s="200"/>
      <c r="G5" s="200"/>
      <c r="H5" s="200"/>
      <c r="I5" s="200"/>
      <c r="J5" s="208"/>
      <c r="K5" s="203"/>
      <c r="L5" s="206"/>
      <c r="M5" s="205"/>
      <c r="N5" s="205"/>
      <c r="O5" s="205"/>
    </row>
    <row ht="15" r="6" spans="1:15" s="204" customFormat="1">
      <c r="A6" s="199"/>
      <c r="B6" s="200"/>
      <c r="C6" s="201"/>
      <c r="D6" s="207"/>
      <c r="E6" s="200"/>
      <c r="F6" s="200"/>
      <c r="G6" s="200"/>
      <c r="H6" s="200"/>
      <c r="I6" s="200"/>
      <c r="J6" s="208"/>
      <c r="K6" s="203"/>
      <c r="L6" s="206"/>
      <c r="M6" s="205"/>
      <c r="N6" s="205"/>
      <c r="O6" s="205"/>
    </row>
    <row ht="15" r="7" spans="1:15" s="204" customFormat="1">
      <c r="A7" s="199"/>
      <c r="B7" s="200"/>
      <c r="C7" s="201"/>
      <c r="D7" s="207"/>
      <c r="E7" s="200"/>
      <c r="F7" s="200"/>
      <c r="G7" s="200"/>
      <c r="H7" s="200"/>
      <c r="I7" s="200"/>
      <c r="J7" s="208"/>
      <c r="K7" s="203"/>
      <c r="L7" s="206"/>
      <c r="M7" s="205"/>
      <c r="N7" s="205"/>
      <c r="O7" s="205"/>
    </row>
    <row ht="15" r="8" spans="1:15" s="204" customFormat="1">
      <c r="A8" s="199"/>
      <c r="B8" s="200"/>
      <c r="C8" s="201"/>
      <c r="D8" s="207"/>
      <c r="E8" s="200"/>
      <c r="F8" s="200"/>
      <c r="G8" s="200"/>
      <c r="H8" s="200"/>
      <c r="I8" s="200"/>
      <c r="K8" s="203"/>
      <c r="L8" s="202"/>
      <c r="M8" s="202"/>
      <c r="N8" s="202"/>
      <c r="O8" s="205"/>
    </row>
    <row ht="15" r="9" spans="1:15" s="204" customFormat="1">
      <c r="A9" s="199"/>
      <c r="B9" s="200"/>
      <c r="C9" s="201"/>
      <c r="D9" s="207"/>
      <c r="E9" s="200"/>
      <c r="F9" s="200"/>
      <c r="G9" s="200"/>
      <c r="H9" s="200"/>
      <c r="I9" s="200"/>
      <c r="K9" s="203"/>
      <c r="L9" s="202"/>
      <c r="M9" s="202"/>
      <c r="N9" s="202"/>
      <c r="O9" s="205"/>
    </row>
    <row ht="15" r="10" spans="1:15" s="204" customFormat="1">
      <c r="A10" s="199"/>
      <c r="B10" s="200"/>
      <c r="C10" s="201"/>
      <c r="D10" s="207"/>
      <c r="E10" s="200"/>
      <c r="F10" s="200"/>
      <c r="G10" s="200"/>
      <c r="H10" s="200"/>
      <c r="I10" s="200"/>
      <c r="K10" s="203"/>
      <c r="L10" s="202"/>
      <c r="M10" s="202"/>
      <c r="N10" s="202"/>
      <c r="O10" s="205"/>
    </row>
    <row ht="15" r="11" spans="1:15" s="204" customFormat="1">
      <c r="A11" s="199"/>
      <c r="B11" s="200"/>
      <c r="C11" s="201"/>
      <c r="D11" s="207"/>
      <c r="E11" s="200"/>
      <c r="F11" s="200"/>
      <c r="G11" s="200"/>
      <c r="H11" s="200"/>
      <c r="I11" s="200"/>
      <c r="K11" s="203"/>
      <c r="L11" s="202"/>
      <c r="M11" s="202"/>
      <c r="N11" s="202"/>
      <c r="O11" s="205"/>
    </row>
    <row ht="15" r="12" spans="1:15" s="204" customFormat="1">
      <c r="A12" s="199"/>
      <c r="B12" s="200"/>
      <c r="C12" s="201"/>
      <c r="D12" s="207"/>
      <c r="E12" s="200"/>
      <c r="F12" s="200"/>
      <c r="G12" s="200"/>
      <c r="H12" s="200"/>
      <c r="I12" s="200"/>
      <c r="K12" s="203"/>
      <c r="L12" s="202"/>
      <c r="M12" s="202"/>
      <c r="N12" s="202"/>
      <c r="O12" s="205"/>
    </row>
    <row ht="15" r="13" spans="1:15" s="204" customFormat="1">
      <c r="A13" s="199"/>
      <c r="B13" s="200"/>
      <c r="C13" s="201"/>
      <c r="D13" s="207"/>
      <c r="E13" s="200"/>
      <c r="F13" s="200"/>
      <c r="G13" s="200"/>
      <c r="H13" s="200"/>
      <c r="I13" s="200"/>
      <c r="K13" s="203"/>
      <c r="L13" s="202"/>
      <c r="M13" s="202"/>
      <c r="N13" s="202"/>
      <c r="O13" s="205"/>
    </row>
    <row ht="15" r="14" spans="1:15" s="204" customFormat="1">
      <c r="A14" s="199"/>
      <c r="B14" s="200"/>
      <c r="C14" s="201"/>
      <c r="D14" s="207"/>
      <c r="E14" s="200"/>
      <c r="F14" s="200"/>
      <c r="G14" s="200"/>
      <c r="H14" s="200"/>
      <c r="I14" s="200"/>
      <c r="K14" s="203"/>
      <c r="L14" s="202"/>
      <c r="M14" s="202"/>
      <c r="N14" s="202"/>
      <c r="O14" s="205"/>
    </row>
    <row ht="15" r="15" spans="1:15" s="204" customFormat="1">
      <c r="A15" s="199"/>
      <c r="B15" s="200"/>
      <c r="C15" s="201"/>
      <c r="D15" s="207"/>
      <c r="E15" s="200"/>
      <c r="F15" s="200"/>
      <c r="G15" s="200"/>
      <c r="H15" s="200"/>
      <c r="I15" s="200"/>
      <c r="K15" s="203"/>
      <c r="L15" s="202"/>
      <c r="M15" s="202"/>
      <c r="N15" s="202"/>
      <c r="O15" s="205"/>
    </row>
    <row ht="15" r="16" spans="1:15" s="204" customFormat="1">
      <c r="A16" s="199"/>
      <c r="B16" s="200"/>
      <c r="C16" s="201"/>
      <c r="D16" s="207"/>
      <c r="E16" s="200"/>
      <c r="F16" s="200"/>
      <c r="G16" s="200"/>
      <c r="H16" s="200"/>
      <c r="I16" s="200"/>
      <c r="K16" s="203"/>
      <c r="L16" s="202"/>
      <c r="M16" s="202"/>
      <c r="N16" s="202"/>
      <c r="O16" s="205"/>
    </row>
    <row ht="15" r="17" spans="1:16" s="204" customFormat="1">
      <c r="A17" s="199"/>
      <c r="B17" s="200"/>
      <c r="C17" s="201"/>
      <c r="D17" s="207"/>
      <c r="E17" s="200"/>
      <c r="F17" s="200"/>
      <c r="G17" s="200"/>
      <c r="H17" s="200"/>
      <c r="I17" s="200"/>
      <c r="K17" s="203"/>
      <c r="L17" s="202"/>
      <c r="M17" s="202"/>
      <c r="N17" s="202"/>
      <c r="O17" s="205"/>
    </row>
    <row ht="15" r="18" spans="1:16" s="204" customFormat="1">
      <c r="A18" s="199"/>
      <c r="B18" s="200"/>
      <c r="C18" s="201"/>
      <c r="D18" s="207"/>
      <c r="E18" s="200"/>
      <c r="F18" s="200"/>
      <c r="G18" s="200"/>
      <c r="H18" s="200"/>
      <c r="I18" s="200"/>
      <c r="K18" s="203"/>
      <c r="L18" s="202"/>
      <c r="M18" s="202"/>
      <c r="N18" s="202"/>
      <c r="O18" s="205"/>
    </row>
    <row ht="15" r="19" spans="1:16" s="204" customFormat="1">
      <c r="A19" s="199"/>
      <c r="B19" s="200"/>
      <c r="C19" s="201"/>
      <c r="D19" s="207"/>
      <c r="E19" s="200"/>
      <c r="F19" s="200"/>
      <c r="G19" s="200"/>
      <c r="H19" s="200"/>
      <c r="I19" s="200"/>
      <c r="K19" s="203"/>
      <c r="L19" s="202"/>
      <c r="M19" s="202"/>
      <c r="N19" s="202"/>
      <c r="O19" s="205"/>
    </row>
    <row ht="15" r="20" spans="1:16" s="204" customFormat="1">
      <c r="A20" s="199"/>
      <c r="B20" s="200"/>
      <c r="C20" s="201"/>
      <c r="D20" s="207"/>
      <c r="E20" s="200"/>
      <c r="F20" s="200"/>
      <c r="G20" s="200"/>
      <c r="H20" s="200"/>
      <c r="I20" s="200"/>
      <c r="K20" s="203"/>
      <c r="L20" s="202"/>
      <c r="M20" s="202"/>
      <c r="N20" s="202"/>
      <c r="O20" s="205"/>
    </row>
    <row ht="15" r="21" spans="1:16" s="204" customFormat="1">
      <c r="A21" s="199"/>
      <c r="B21" s="200"/>
      <c r="C21" s="201"/>
      <c r="D21" s="207"/>
      <c r="E21" s="200"/>
      <c r="F21" s="200"/>
      <c r="G21" s="200"/>
      <c r="H21" s="200"/>
      <c r="I21" s="200"/>
      <c r="K21" s="203"/>
      <c r="L21" s="202"/>
      <c r="M21" s="202"/>
      <c r="N21" s="202"/>
      <c r="O21" s="205"/>
    </row>
    <row ht="15" r="22" spans="1:16" s="204" customFormat="1">
      <c r="A22" s="199"/>
      <c r="B22" s="200"/>
      <c r="C22" s="201"/>
      <c r="D22" s="207"/>
      <c r="E22" s="200"/>
      <c r="F22" s="200"/>
      <c r="G22" s="200"/>
      <c r="H22" s="200"/>
      <c r="I22" s="200"/>
      <c r="K22" s="203"/>
      <c r="L22" s="202"/>
      <c r="M22" s="202"/>
      <c r="N22" s="202"/>
      <c r="O22" s="205"/>
    </row>
    <row ht="15" r="23" spans="1:16" s="204" customFormat="1">
      <c r="A23" s="199"/>
      <c r="B23" s="200"/>
      <c r="C23" s="201"/>
      <c r="D23" s="207"/>
      <c r="E23" s="200"/>
      <c r="F23" s="200"/>
      <c r="G23" s="200"/>
      <c r="H23" s="200"/>
      <c r="I23" s="200"/>
      <c r="K23" s="203"/>
      <c r="L23" s="202"/>
      <c r="M23" s="202"/>
      <c r="N23" s="202"/>
      <c r="O23" s="205"/>
    </row>
    <row ht="15" r="24" spans="1:16" s="204" customFormat="1">
      <c r="A24" s="199"/>
      <c r="B24" s="200"/>
      <c r="C24" s="201"/>
      <c r="D24" s="207"/>
      <c r="E24" s="200"/>
      <c r="F24" s="200"/>
      <c r="G24" s="200"/>
      <c r="H24" s="200"/>
      <c r="I24" s="200"/>
      <c r="K24" s="203"/>
      <c r="L24" s="209"/>
      <c r="M24" s="209"/>
      <c r="N24" s="209"/>
      <c r="O24" s="210"/>
    </row>
    <row ht="15" r="25" spans="1:16" s="204" customFormat="1">
      <c r="A25" s="199"/>
      <c r="B25" s="200"/>
      <c r="C25" s="201"/>
      <c r="D25" s="207"/>
      <c r="E25" s="200"/>
      <c r="F25" s="200"/>
      <c r="G25" s="200"/>
      <c r="H25" s="200"/>
      <c r="I25" s="200"/>
      <c r="J25" s="202"/>
      <c r="K25" s="203"/>
      <c r="L25" s="202"/>
      <c r="M25" s="202"/>
      <c r="N25" s="202"/>
      <c r="O25" s="202"/>
      <c r="P25" s="202"/>
    </row>
    <row ht="15" r="26" spans="1:16" s="204" customFormat="1">
      <c r="A26" s="199"/>
      <c r="B26" s="200"/>
      <c r="C26" s="201"/>
      <c r="D26" s="207"/>
      <c r="E26" s="200"/>
      <c r="F26" s="200"/>
      <c r="G26" s="200"/>
      <c r="H26" s="200"/>
      <c r="I26" s="200"/>
      <c r="J26" s="202"/>
      <c r="K26" s="203"/>
      <c r="L26" s="202"/>
      <c r="M26" s="202"/>
      <c r="N26" s="202"/>
    </row>
    <row ht="15" r="27" spans="1:16" s="204" customFormat="1">
      <c r="A27" s="199"/>
      <c r="B27" s="200"/>
      <c r="C27" s="201"/>
      <c r="D27" s="207"/>
      <c r="E27" s="200"/>
      <c r="F27" s="200"/>
      <c r="G27" s="200"/>
      <c r="H27" s="200"/>
      <c r="I27" s="200"/>
      <c r="J27" s="202"/>
      <c r="K27" s="203"/>
      <c r="L27" s="202"/>
      <c r="M27" s="202"/>
      <c r="N27" s="202"/>
    </row>
    <row ht="15" r="28" spans="1:16" s="204" customFormat="1">
      <c r="A28" s="199"/>
      <c r="B28" s="200"/>
      <c r="C28" s="201"/>
      <c r="D28" s="207"/>
      <c r="E28" s="200"/>
      <c r="F28" s="200"/>
      <c r="G28" s="200"/>
      <c r="H28" s="200"/>
      <c r="I28" s="200"/>
      <c r="J28" s="202"/>
      <c r="K28" s="203"/>
      <c r="L28" s="202"/>
      <c r="M28" s="202"/>
      <c r="N28" s="202"/>
      <c r="O28" s="202"/>
      <c r="P28" s="202"/>
    </row>
    <row ht="15" r="29" spans="1:16" s="204" customFormat="1">
      <c r="A29" s="199"/>
      <c r="B29" s="200"/>
      <c r="C29" s="201"/>
      <c r="D29" s="207"/>
      <c r="E29" s="200"/>
      <c r="F29" s="200"/>
      <c r="G29" s="200"/>
      <c r="H29" s="200"/>
      <c r="I29" s="200"/>
      <c r="J29" s="202"/>
      <c r="K29" s="203"/>
      <c r="L29" s="202"/>
      <c r="M29" s="202"/>
      <c r="N29" s="202"/>
      <c r="O29" s="202"/>
      <c r="P29" s="202"/>
    </row>
    <row ht="15" r="30" spans="1:16" s="204" customFormat="1">
      <c r="A30" s="199"/>
      <c r="B30" s="200"/>
      <c r="C30" s="201"/>
      <c r="D30" s="207"/>
      <c r="E30" s="200"/>
      <c r="F30" s="200"/>
      <c r="G30" s="200"/>
      <c r="H30" s="200"/>
      <c r="I30" s="200"/>
      <c r="J30" s="202"/>
      <c r="K30" s="203"/>
      <c r="L30" s="202"/>
      <c r="M30" s="202"/>
      <c r="N30" s="202"/>
      <c r="O30" s="202"/>
      <c r="P30" s="202"/>
    </row>
    <row ht="15" r="31" spans="1:16" s="204" customFormat="1">
      <c r="A31" s="199"/>
      <c r="B31" s="200"/>
      <c r="C31" s="201"/>
      <c r="D31" s="207"/>
      <c r="E31" s="200"/>
      <c r="F31" s="200"/>
      <c r="G31" s="200"/>
      <c r="H31" s="200"/>
      <c r="I31" s="200"/>
      <c r="J31" s="202"/>
      <c r="K31" s="202"/>
      <c r="L31" s="202"/>
      <c r="M31" s="202"/>
      <c r="N31" s="202"/>
      <c r="O31" s="202"/>
      <c r="P31" s="202"/>
    </row>
    <row ht="15" r="32" spans="1:16" s="204" customFormat="1">
      <c r="A32" s="199"/>
      <c r="B32" s="200"/>
      <c r="C32" s="201"/>
      <c r="D32" s="207"/>
      <c r="E32" s="200"/>
      <c r="F32" s="200"/>
      <c r="G32" s="200"/>
      <c r="H32" s="200"/>
      <c r="I32" s="200"/>
      <c r="J32" s="202"/>
      <c r="K32" s="202"/>
      <c r="L32" s="202"/>
      <c r="M32" s="202"/>
      <c r="N32" s="202"/>
      <c r="O32" s="202"/>
      <c r="P32" s="202"/>
    </row>
    <row ht="15" r="33" spans="1:16" s="204" customFormat="1">
      <c r="A33" s="199"/>
      <c r="B33" s="200"/>
      <c r="C33" s="201"/>
      <c r="D33" s="207"/>
      <c r="E33" s="200"/>
      <c r="F33" s="200"/>
      <c r="G33" s="200"/>
      <c r="H33" s="200"/>
      <c r="I33" s="200"/>
      <c r="J33" s="202"/>
      <c r="K33" s="202"/>
      <c r="L33" s="202"/>
      <c r="M33" s="202"/>
      <c r="N33" s="202"/>
      <c r="O33" s="202"/>
      <c r="P33" s="202"/>
    </row>
    <row ht="15" r="34" spans="1:16" s="204" customFormat="1">
      <c r="A34" s="199"/>
      <c r="B34" s="200"/>
      <c r="C34" s="201"/>
      <c r="D34" s="207"/>
      <c r="E34" s="200"/>
      <c r="F34" s="200"/>
      <c r="G34" s="200"/>
      <c r="H34" s="200"/>
      <c r="I34" s="200"/>
      <c r="J34" s="202"/>
      <c r="K34" s="202"/>
      <c r="L34" s="202"/>
      <c r="M34" s="202"/>
      <c r="N34" s="202"/>
      <c r="O34" s="202"/>
      <c r="P34" s="202"/>
    </row>
    <row ht="15" r="35" spans="1:16" s="204" customFormat="1">
      <c r="A35" s="199"/>
      <c r="B35" s="200"/>
      <c r="C35" s="201"/>
      <c r="D35" s="207"/>
      <c r="E35" s="200"/>
      <c r="F35" s="200"/>
      <c r="G35" s="200"/>
      <c r="H35" s="200"/>
      <c r="I35" s="200"/>
      <c r="J35" s="202"/>
      <c r="K35" s="202"/>
      <c r="L35" s="202"/>
      <c r="M35" s="202"/>
      <c r="N35" s="202"/>
      <c r="O35" s="202"/>
      <c r="P35" s="202"/>
    </row>
    <row ht="15" r="36" spans="1:16" s="204" customFormat="1">
      <c r="A36" s="199"/>
      <c r="B36" s="200"/>
      <c r="C36" s="201"/>
      <c r="D36" s="207"/>
      <c r="E36" s="200"/>
      <c r="F36" s="200"/>
      <c r="G36" s="200"/>
      <c r="H36" s="200"/>
      <c r="I36" s="200"/>
      <c r="J36" s="202"/>
      <c r="K36" s="202"/>
      <c r="L36" s="202"/>
      <c r="M36" s="202"/>
      <c r="N36" s="202"/>
      <c r="O36" s="202"/>
      <c r="P36" s="202"/>
    </row>
    <row ht="15" r="37" spans="1:16" s="204" customFormat="1">
      <c r="A37" s="199"/>
      <c r="B37" s="200"/>
      <c r="C37" s="201"/>
      <c r="D37" s="207"/>
      <c r="E37" s="200"/>
      <c r="F37" s="200"/>
      <c r="G37" s="200"/>
      <c r="H37" s="200"/>
      <c r="I37" s="200"/>
      <c r="J37" s="202"/>
      <c r="K37" s="202"/>
      <c r="L37" s="202"/>
      <c r="M37" s="202"/>
      <c r="N37" s="202"/>
      <c r="O37" s="202"/>
      <c r="P37" s="202"/>
    </row>
    <row ht="15" r="38" spans="1:16" s="204" customFormat="1">
      <c r="A38" s="199"/>
      <c r="B38" s="200"/>
      <c r="C38" s="201"/>
      <c r="D38" s="207"/>
      <c r="E38" s="200"/>
      <c r="F38" s="200"/>
      <c r="G38" s="200"/>
      <c r="H38" s="200"/>
      <c r="I38" s="200"/>
      <c r="J38" s="202"/>
      <c r="K38" s="202"/>
      <c r="L38" s="202"/>
      <c r="M38" s="202"/>
      <c r="N38" s="202"/>
      <c r="O38" s="202"/>
      <c r="P38" s="202"/>
    </row>
    <row ht="15" r="39" spans="1:16" s="204" customFormat="1">
      <c r="A39" s="199"/>
      <c r="B39" s="200"/>
      <c r="C39" s="201"/>
      <c r="D39" s="207"/>
      <c r="E39" s="200"/>
      <c r="F39" s="200"/>
      <c r="G39" s="200"/>
      <c r="H39" s="200"/>
      <c r="I39" s="200"/>
      <c r="J39" s="202"/>
      <c r="K39" s="202"/>
      <c r="L39" s="202"/>
      <c r="M39" s="202"/>
      <c r="N39" s="202"/>
      <c r="O39" s="202"/>
      <c r="P39" s="202"/>
    </row>
    <row ht="15" r="40" spans="1:16" s="204" customFormat="1">
      <c r="A40" s="199"/>
      <c r="B40" s="200"/>
      <c r="C40" s="201"/>
      <c r="D40" s="207"/>
      <c r="E40" s="200"/>
      <c r="F40" s="200"/>
      <c r="G40" s="200"/>
      <c r="H40" s="200"/>
      <c r="I40" s="200"/>
      <c r="J40" s="202"/>
      <c r="K40" s="202"/>
      <c r="L40" s="202"/>
      <c r="M40" s="202"/>
      <c r="N40" s="202"/>
      <c r="O40" s="202"/>
      <c r="P40" s="202"/>
    </row>
    <row ht="15" r="41" spans="1:16" s="204" customFormat="1">
      <c r="A41" s="199"/>
      <c r="B41" s="200"/>
      <c r="C41" s="201"/>
      <c r="D41" s="207"/>
      <c r="E41" s="200"/>
      <c r="F41" s="200"/>
      <c r="G41" s="200"/>
      <c r="H41" s="200"/>
      <c r="I41" s="200"/>
      <c r="J41" s="202"/>
      <c r="K41" s="202"/>
      <c r="L41" s="202"/>
      <c r="M41" s="202"/>
      <c r="N41" s="202"/>
      <c r="O41" s="202"/>
      <c r="P41" s="202"/>
    </row>
    <row ht="15" r="42" spans="1:16" s="204" customFormat="1">
      <c r="A42" s="199"/>
      <c r="B42" s="200"/>
      <c r="C42" s="201"/>
      <c r="D42" s="207"/>
      <c r="E42" s="200"/>
      <c r="F42" s="200"/>
      <c r="G42" s="200"/>
      <c r="H42" s="200"/>
      <c r="I42" s="200"/>
      <c r="J42" s="202"/>
      <c r="K42" s="202"/>
      <c r="L42" s="202"/>
      <c r="M42" s="202"/>
      <c r="N42" s="202"/>
      <c r="O42" s="202"/>
      <c r="P42" s="202"/>
    </row>
    <row ht="15" r="43" spans="1:16" s="204" customFormat="1">
      <c r="A43" s="199"/>
      <c r="B43" s="200"/>
      <c r="C43" s="201"/>
      <c r="D43" s="207"/>
      <c r="E43" s="200"/>
      <c r="F43" s="200"/>
      <c r="G43" s="200"/>
      <c r="H43" s="200"/>
      <c r="I43" s="200"/>
      <c r="J43" s="202"/>
      <c r="K43" s="202"/>
      <c r="L43" s="202"/>
      <c r="M43" s="202"/>
      <c r="N43" s="202"/>
      <c r="O43" s="202"/>
      <c r="P43" s="202"/>
    </row>
    <row ht="15" r="44" spans="1:16" s="204" customFormat="1">
      <c r="A44" s="199"/>
      <c r="B44" s="200"/>
      <c r="C44" s="201"/>
      <c r="D44" s="207"/>
      <c r="E44" s="200"/>
      <c r="F44" s="200"/>
      <c r="G44" s="200"/>
      <c r="H44" s="200"/>
      <c r="I44" s="200"/>
      <c r="J44" s="202"/>
      <c r="K44" s="202"/>
      <c r="L44" s="202"/>
      <c r="M44" s="202"/>
      <c r="N44" s="202"/>
      <c r="O44" s="202"/>
      <c r="P44" s="202"/>
    </row>
    <row ht="15" r="45" spans="1:16" s="204" customFormat="1">
      <c r="A45" s="199"/>
      <c r="B45" s="200"/>
      <c r="C45" s="201"/>
      <c r="D45" s="200"/>
      <c r="E45" s="200"/>
      <c r="F45" s="200"/>
      <c r="G45" s="200"/>
      <c r="H45" s="200"/>
      <c r="I45" s="200"/>
      <c r="J45" s="202"/>
      <c r="K45" s="202"/>
      <c r="L45" s="202"/>
      <c r="M45" s="202"/>
      <c r="N45" s="202"/>
      <c r="O45" s="202"/>
      <c r="P45" s="202"/>
    </row>
    <row ht="15" r="46" spans="1:16" s="204" customFormat="1">
      <c r="A46" s="199"/>
      <c r="B46" s="200"/>
      <c r="C46" s="201"/>
      <c r="D46" s="200"/>
      <c r="E46" s="200"/>
      <c r="F46" s="200"/>
      <c r="G46" s="200"/>
      <c r="H46" s="200"/>
      <c r="I46" s="200"/>
      <c r="J46" s="202"/>
      <c r="K46" s="202"/>
      <c r="L46" s="202"/>
      <c r="M46" s="202"/>
      <c r="N46" s="202"/>
      <c r="O46" s="202"/>
      <c r="P46" s="202"/>
    </row>
    <row ht="15" r="47" spans="1:16" s="204" customFormat="1">
      <c r="A47" s="199"/>
      <c r="B47" s="200"/>
      <c r="C47" s="201"/>
      <c r="D47" s="200"/>
      <c r="E47" s="200"/>
      <c r="F47" s="200"/>
      <c r="G47" s="200"/>
      <c r="H47" s="200"/>
      <c r="I47" s="200"/>
      <c r="J47" s="202"/>
      <c r="K47" s="202"/>
      <c r="L47" s="202"/>
      <c r="M47" s="202"/>
      <c r="N47" s="202"/>
      <c r="O47" s="202"/>
      <c r="P47" s="202"/>
    </row>
    <row ht="15" r="48" spans="1:16" s="204" customFormat="1">
      <c r="A48" s="199"/>
      <c r="B48" s="200"/>
      <c r="C48" s="201"/>
      <c r="D48" s="200"/>
      <c r="E48" s="200"/>
      <c r="F48" s="200"/>
      <c r="G48" s="200"/>
      <c r="H48" s="200"/>
      <c r="I48" s="200"/>
      <c r="J48" s="202"/>
      <c r="K48" s="202"/>
      <c r="L48" s="202"/>
      <c r="M48" s="202"/>
      <c r="N48" s="202"/>
      <c r="O48" s="202"/>
      <c r="P48" s="202"/>
    </row>
    <row ht="15" r="49" spans="1:16" s="204" customFormat="1">
      <c r="A49" s="199"/>
      <c r="B49" s="200"/>
      <c r="C49" s="201"/>
      <c r="D49" s="200"/>
      <c r="E49" s="200"/>
      <c r="F49" s="200"/>
      <c r="G49" s="200"/>
      <c r="H49" s="200"/>
      <c r="I49" s="200"/>
      <c r="J49" s="202"/>
      <c r="K49" s="202"/>
      <c r="L49" s="202"/>
      <c r="M49" s="202"/>
      <c r="N49" s="202"/>
      <c r="O49" s="202"/>
      <c r="P49" s="202"/>
    </row>
    <row ht="15" r="50" spans="1:16" s="204" customFormat="1">
      <c r="A50" s="199"/>
      <c r="B50" s="200"/>
      <c r="C50" s="201"/>
      <c r="D50" s="200"/>
      <c r="E50" s="200"/>
      <c r="F50" s="200"/>
      <c r="G50" s="200"/>
      <c r="H50" s="200"/>
      <c r="I50" s="200"/>
      <c r="J50" s="202"/>
      <c r="K50" s="202"/>
      <c r="L50" s="202"/>
      <c r="M50" s="202"/>
      <c r="N50" s="202"/>
      <c r="O50" s="202"/>
      <c r="P50" s="202"/>
    </row>
    <row ht="15" r="51" spans="1:16" s="204" customFormat="1">
      <c r="A51" s="199"/>
      <c r="B51" s="200"/>
      <c r="C51" s="201"/>
      <c r="D51" s="200"/>
      <c r="E51" s="200"/>
      <c r="F51" s="200"/>
      <c r="G51" s="200"/>
      <c r="H51" s="200"/>
      <c r="I51" s="200"/>
      <c r="J51" s="202"/>
      <c r="K51" s="202"/>
      <c r="L51" s="202"/>
      <c r="M51" s="202"/>
      <c r="N51" s="202"/>
      <c r="O51" s="202"/>
      <c r="P51" s="202"/>
    </row>
    <row ht="15" r="52" spans="1:16" s="204" customFormat="1">
      <c r="A52" s="199"/>
      <c r="B52" s="200"/>
      <c r="C52" s="201"/>
      <c r="D52" s="200"/>
      <c r="E52" s="200"/>
      <c r="F52" s="200"/>
      <c r="G52" s="200"/>
      <c r="H52" s="200"/>
      <c r="I52" s="200"/>
      <c r="J52" s="202"/>
      <c r="K52" s="202"/>
      <c r="L52" s="202"/>
      <c r="M52" s="202"/>
      <c r="N52" s="202"/>
      <c r="O52" s="202"/>
      <c r="P52" s="202"/>
    </row>
    <row ht="15" r="53" spans="1:16" s="204" customFormat="1">
      <c r="A53" s="199"/>
      <c r="B53" s="200"/>
      <c r="C53" s="201"/>
      <c r="D53" s="200"/>
      <c r="E53" s="200"/>
      <c r="F53" s="200"/>
      <c r="G53" s="200"/>
      <c r="H53" s="200"/>
      <c r="I53" s="200"/>
      <c r="J53" s="202"/>
      <c r="K53" s="202"/>
      <c r="L53" s="202"/>
      <c r="M53" s="202"/>
      <c r="N53" s="202"/>
      <c r="O53" s="202"/>
      <c r="P53" s="202"/>
    </row>
    <row ht="15" r="54" spans="1:16" s="208" customFormat="1">
      <c r="A54" s="199"/>
      <c r="B54" s="234"/>
      <c r="C54" s="235"/>
      <c r="D54" s="234"/>
      <c r="E54" s="234"/>
      <c r="F54" s="234"/>
      <c r="G54" s="234"/>
      <c r="H54" s="234"/>
      <c r="I54" s="234"/>
      <c r="J54" s="205"/>
      <c r="K54" s="205"/>
      <c r="L54" s="205"/>
      <c r="M54" s="205"/>
      <c r="N54" s="205"/>
      <c r="O54" s="205"/>
      <c r="P54" s="205"/>
    </row>
    <row ht="15" r="55" spans="1:16" s="208" customFormat="1">
      <c r="A55" s="199"/>
      <c r="B55" s="234"/>
      <c r="C55" s="235"/>
      <c r="D55" s="234"/>
      <c r="E55" s="234"/>
      <c r="F55" s="234"/>
      <c r="G55" s="234"/>
      <c r="H55" s="234"/>
      <c r="I55" s="234"/>
      <c r="J55" s="205"/>
      <c r="K55" s="205"/>
      <c r="L55" s="205"/>
      <c r="M55" s="205"/>
      <c r="N55" s="205"/>
      <c r="O55" s="205"/>
      <c r="P55" s="205"/>
    </row>
    <row ht="15" r="56" spans="1:16" s="208" customFormat="1">
      <c r="A56" s="199"/>
      <c r="B56" s="234"/>
      <c r="C56" s="235"/>
      <c r="D56" s="234"/>
      <c r="E56" s="234"/>
      <c r="F56" s="234"/>
      <c r="G56" s="234"/>
      <c r="H56" s="234"/>
      <c r="I56" s="234"/>
      <c r="J56" s="205"/>
      <c r="K56" s="205"/>
      <c r="L56" s="205"/>
      <c r="M56" s="205"/>
      <c r="N56" s="205"/>
      <c r="O56" s="205"/>
      <c r="P56" s="205"/>
    </row>
    <row ht="15" r="57" spans="1:16" s="208" customFormat="1">
      <c r="A57" s="199"/>
      <c r="B57" s="234"/>
      <c r="C57" s="235"/>
      <c r="D57" s="234"/>
      <c r="E57" s="234"/>
      <c r="F57" s="234"/>
      <c r="G57" s="234"/>
      <c r="H57" s="234"/>
      <c r="I57" s="234"/>
      <c r="J57" s="205"/>
      <c r="K57" s="205"/>
      <c r="L57" s="205"/>
      <c r="M57" s="205"/>
      <c r="N57" s="205"/>
      <c r="O57" s="205"/>
      <c r="P57" s="205"/>
    </row>
    <row ht="15" r="58" spans="1:16" s="208" customFormat="1">
      <c r="A58" s="199"/>
      <c r="B58" s="234"/>
      <c r="C58" s="235"/>
      <c r="D58" s="234"/>
      <c r="E58" s="234"/>
      <c r="F58" s="234"/>
      <c r="G58" s="234"/>
      <c r="H58" s="234"/>
      <c r="I58" s="234"/>
      <c r="J58" s="205"/>
      <c r="K58" s="205"/>
      <c r="L58" s="205"/>
      <c r="M58" s="205"/>
      <c r="N58" s="205"/>
      <c r="O58" s="205"/>
      <c r="P58" s="205"/>
    </row>
    <row ht="15" r="59" spans="1:16" s="208" customFormat="1">
      <c r="A59" s="199"/>
      <c r="B59" s="234"/>
      <c r="C59" s="235"/>
      <c r="D59" s="234"/>
      <c r="E59" s="234"/>
      <c r="F59" s="234"/>
      <c r="G59" s="234"/>
      <c r="H59" s="234"/>
      <c r="I59" s="234"/>
      <c r="J59" s="205"/>
      <c r="K59" s="205"/>
      <c r="L59" s="205"/>
      <c r="M59" s="205"/>
      <c r="N59" s="205"/>
      <c r="O59" s="205"/>
      <c r="P59" s="205"/>
    </row>
    <row ht="15" r="60" spans="1:16" s="205" customFormat="1">
      <c r="A60" s="199"/>
      <c r="B60" s="234"/>
      <c r="C60" s="235"/>
      <c r="D60" s="234"/>
      <c r="E60" s="234"/>
      <c r="F60" s="234"/>
      <c r="G60" s="234"/>
      <c r="H60" s="234"/>
      <c r="I60" s="234"/>
      <c r="K60" s="203"/>
    </row>
    <row ht="15" r="61" spans="1:16" s="208" customFormat="1">
      <c r="A61" s="199"/>
      <c r="B61" s="234"/>
      <c r="C61" s="235"/>
      <c r="D61" s="234"/>
      <c r="E61" s="234"/>
      <c r="F61" s="234"/>
      <c r="G61" s="234"/>
      <c r="H61" s="234"/>
      <c r="I61" s="234"/>
      <c r="J61" s="205"/>
      <c r="K61" s="205"/>
      <c r="L61" s="205"/>
      <c r="M61" s="205"/>
      <c r="N61" s="205"/>
      <c r="O61" s="205"/>
      <c r="P61" s="205"/>
    </row>
    <row ht="15" r="62" spans="1:16" s="208" customFormat="1">
      <c r="A62" s="199"/>
      <c r="B62" s="234"/>
      <c r="C62" s="235"/>
      <c r="D62" s="234"/>
      <c r="E62" s="234"/>
      <c r="F62" s="234"/>
      <c r="G62" s="234"/>
      <c r="H62" s="234"/>
      <c r="I62" s="234"/>
      <c r="J62" s="205"/>
      <c r="K62" s="205"/>
      <c r="L62" s="205"/>
      <c r="M62" s="205"/>
      <c r="N62" s="205"/>
      <c r="O62" s="205"/>
      <c r="P62" s="205"/>
    </row>
    <row ht="15" r="63" spans="1:16" s="204" customFormat="1">
      <c r="A63" s="199"/>
      <c r="B63" s="200"/>
      <c r="C63" s="201"/>
      <c r="D63" s="200"/>
      <c r="E63" s="200"/>
      <c r="F63" s="200"/>
      <c r="G63" s="200"/>
      <c r="H63" s="200"/>
      <c r="I63" s="200"/>
      <c r="J63" s="202"/>
      <c r="K63" s="202"/>
      <c r="L63" s="202"/>
      <c r="M63" s="202"/>
      <c r="N63" s="202"/>
      <c r="O63" s="202"/>
      <c r="P63" s="202"/>
    </row>
    <row ht="15" r="64" spans="1:16" s="204" customFormat="1">
      <c r="A64" s="199"/>
      <c r="B64" s="200"/>
      <c r="C64" s="201"/>
      <c r="D64" s="200"/>
      <c r="E64" s="200"/>
      <c r="F64" s="200"/>
      <c r="G64" s="200"/>
      <c r="H64" s="200"/>
      <c r="I64" s="200"/>
      <c r="J64" s="202"/>
      <c r="K64" s="202"/>
      <c r="L64" s="202"/>
      <c r="M64" s="202"/>
      <c r="N64" s="202"/>
      <c r="O64" s="202"/>
      <c r="P64" s="202"/>
    </row>
    <row ht="15" r="65" spans="1:16" s="204" customFormat="1">
      <c r="A65" s="199"/>
      <c r="B65" s="200"/>
      <c r="C65" s="201"/>
      <c r="D65" s="200"/>
      <c r="E65" s="200"/>
      <c r="F65" s="200"/>
      <c r="G65" s="200"/>
      <c r="H65" s="200"/>
      <c r="I65" s="200"/>
      <c r="J65" s="202"/>
      <c r="K65" s="202"/>
      <c r="L65" s="202"/>
      <c r="M65" s="202"/>
      <c r="N65" s="202"/>
      <c r="O65" s="202"/>
      <c r="P65" s="202"/>
    </row>
    <row ht="15" r="66" spans="1:16" s="204" customFormat="1">
      <c r="A66" s="199"/>
      <c r="B66" s="200"/>
      <c r="C66" s="201"/>
      <c r="D66" s="200"/>
      <c r="E66" s="200"/>
      <c r="F66" s="200"/>
      <c r="G66" s="200"/>
      <c r="H66" s="200"/>
      <c r="I66" s="200"/>
      <c r="J66" s="202"/>
      <c r="K66" s="202"/>
      <c r="L66" s="202"/>
      <c r="M66" s="202"/>
      <c r="N66" s="202"/>
      <c r="O66" s="202"/>
      <c r="P66" s="202"/>
    </row>
    <row ht="15" r="67" spans="1:16" s="204" customFormat="1">
      <c r="A67" s="199"/>
      <c r="B67" s="200"/>
      <c r="C67" s="201"/>
      <c r="D67" s="200"/>
      <c r="E67" s="200"/>
      <c r="F67" s="200"/>
      <c r="G67" s="200"/>
      <c r="H67" s="200"/>
      <c r="I67" s="200"/>
      <c r="J67" s="202"/>
      <c r="K67" s="202"/>
      <c r="L67" s="202"/>
      <c r="M67" s="202"/>
      <c r="N67" s="202"/>
      <c r="O67" s="202"/>
      <c r="P67" s="202"/>
    </row>
    <row ht="15" r="68" spans="1:16" s="204" customFormat="1">
      <c r="A68" s="199"/>
      <c r="B68" s="200"/>
      <c r="C68" s="201"/>
      <c r="D68" s="200"/>
      <c r="E68" s="200"/>
      <c r="F68" s="200"/>
      <c r="G68" s="200"/>
      <c r="H68" s="200"/>
      <c r="I68" s="200"/>
      <c r="J68" s="202"/>
      <c r="K68" s="202"/>
      <c r="L68" s="202"/>
      <c r="M68" s="202"/>
      <c r="N68" s="202"/>
      <c r="O68" s="202"/>
      <c r="P68" s="202"/>
    </row>
    <row ht="15" r="69" spans="1:16" s="204" customFormat="1">
      <c r="A69" s="199"/>
      <c r="B69" s="200"/>
      <c r="C69" s="201"/>
      <c r="D69" s="200"/>
      <c r="E69" s="200"/>
      <c r="F69" s="200"/>
      <c r="G69" s="200"/>
      <c r="H69" s="200"/>
      <c r="I69" s="200"/>
      <c r="J69" s="202"/>
      <c r="K69" s="202"/>
      <c r="L69" s="202"/>
      <c r="M69" s="202"/>
      <c r="N69" s="202"/>
      <c r="O69" s="202"/>
      <c r="P69" s="202"/>
    </row>
    <row ht="15" r="70" spans="1:16" s="204" customFormat="1">
      <c r="A70" s="199"/>
      <c r="B70" s="200"/>
      <c r="C70" s="201"/>
      <c r="D70" s="200"/>
      <c r="E70" s="200"/>
      <c r="F70" s="200"/>
      <c r="G70" s="200"/>
      <c r="H70" s="200"/>
      <c r="I70" s="200"/>
      <c r="J70" s="202"/>
      <c r="K70" s="202"/>
      <c r="L70" s="202"/>
      <c r="M70" s="202"/>
      <c r="N70" s="202"/>
      <c r="O70" s="202"/>
      <c r="P70" s="202"/>
    </row>
    <row ht="15" r="71" spans="1:16" s="204" customFormat="1">
      <c r="A71" s="199"/>
      <c r="B71" s="200"/>
      <c r="C71" s="201"/>
      <c r="D71" s="200"/>
      <c r="E71" s="200"/>
      <c r="F71" s="200"/>
      <c r="G71" s="200"/>
      <c r="H71" s="200"/>
      <c r="I71" s="200"/>
      <c r="J71" s="202"/>
      <c r="K71" s="202"/>
      <c r="L71" s="202"/>
      <c r="M71" s="202"/>
      <c r="N71" s="202"/>
      <c r="O71" s="202"/>
      <c r="P71" s="202"/>
    </row>
    <row ht="15" r="72" spans="1:16" s="204" customFormat="1">
      <c r="A72" s="199"/>
      <c r="B72" s="200"/>
      <c r="C72" s="201"/>
      <c r="D72" s="200"/>
      <c r="E72" s="200"/>
      <c r="F72" s="200"/>
      <c r="G72" s="200"/>
      <c r="H72" s="200"/>
      <c r="I72" s="200"/>
      <c r="J72" s="202"/>
      <c r="K72" s="202"/>
      <c r="L72" s="202"/>
      <c r="M72" s="202"/>
      <c r="N72" s="202"/>
      <c r="O72" s="202"/>
      <c r="P72" s="202"/>
    </row>
    <row ht="15" r="73" spans="1:16" s="204" customFormat="1">
      <c r="A73" s="199"/>
      <c r="B73" s="200"/>
      <c r="C73" s="201"/>
      <c r="D73" s="200"/>
      <c r="E73" s="200"/>
      <c r="F73" s="200"/>
      <c r="G73" s="200"/>
      <c r="H73" s="200"/>
      <c r="I73" s="200"/>
      <c r="J73" s="202"/>
      <c r="K73" s="202"/>
      <c r="L73" s="202"/>
      <c r="M73" s="202"/>
      <c r="N73" s="202"/>
      <c r="O73" s="202"/>
      <c r="P73" s="202"/>
    </row>
    <row ht="15" r="74" spans="1:16" s="204" customFormat="1">
      <c r="A74" s="199"/>
      <c r="B74" s="200"/>
      <c r="C74" s="201"/>
      <c r="D74" s="200"/>
      <c r="E74" s="200"/>
      <c r="F74" s="200"/>
      <c r="G74" s="200"/>
      <c r="H74" s="200"/>
      <c r="I74" s="200"/>
      <c r="J74" s="202"/>
      <c r="K74" s="202"/>
      <c r="L74" s="202"/>
      <c r="M74" s="202"/>
      <c r="N74" s="202"/>
      <c r="O74" s="202"/>
      <c r="P74" s="202"/>
    </row>
    <row ht="15" r="75" spans="1:16" s="204" customFormat="1">
      <c r="A75" s="199"/>
      <c r="B75" s="200"/>
      <c r="C75" s="201"/>
      <c r="D75" s="200"/>
      <c r="E75" s="200"/>
      <c r="F75" s="200"/>
      <c r="G75" s="200"/>
      <c r="H75" s="200"/>
      <c r="I75" s="200"/>
      <c r="J75" s="202"/>
      <c r="K75" s="202"/>
      <c r="L75" s="202"/>
      <c r="M75" s="202"/>
      <c r="N75" s="202"/>
      <c r="O75" s="202"/>
      <c r="P75" s="202"/>
    </row>
    <row ht="15" r="76" spans="1:16" s="204" customFormat="1">
      <c r="A76" s="199"/>
      <c r="B76" s="200"/>
      <c r="C76" s="201"/>
      <c r="D76" s="200"/>
      <c r="E76" s="200"/>
      <c r="F76" s="200"/>
      <c r="G76" s="200"/>
      <c r="H76" s="200"/>
      <c r="I76" s="200"/>
      <c r="J76" s="202"/>
      <c r="K76" s="202"/>
      <c r="L76" s="202"/>
      <c r="M76" s="202"/>
      <c r="N76" s="202"/>
      <c r="O76" s="202"/>
      <c r="P76" s="202"/>
    </row>
    <row ht="15" r="77" spans="1:16" s="204" customFormat="1">
      <c r="A77" s="199"/>
      <c r="B77" s="200"/>
      <c r="C77" s="201"/>
      <c r="D77" s="200"/>
      <c r="E77" s="200"/>
      <c r="F77" s="200"/>
      <c r="G77" s="200"/>
      <c r="H77" s="200"/>
      <c r="I77" s="200"/>
      <c r="J77" s="202"/>
      <c r="K77" s="202"/>
      <c r="L77" s="202"/>
      <c r="M77" s="202"/>
      <c r="N77" s="202"/>
      <c r="O77" s="202"/>
      <c r="P77" s="202"/>
    </row>
    <row ht="15" r="78" spans="1:16" s="204" customFormat="1">
      <c r="A78" s="199"/>
      <c r="B78" s="200"/>
      <c r="C78" s="201"/>
      <c r="D78" s="200"/>
      <c r="E78" s="200"/>
      <c r="F78" s="200"/>
      <c r="G78" s="200"/>
      <c r="H78" s="200"/>
      <c r="I78" s="200"/>
      <c r="J78" s="202"/>
      <c r="K78" s="202"/>
      <c r="L78" s="202"/>
      <c r="M78" s="202"/>
      <c r="N78" s="202"/>
      <c r="O78" s="202"/>
      <c r="P78" s="202"/>
    </row>
    <row ht="15" r="79" spans="1:16" s="204" customFormat="1">
      <c r="A79" s="199"/>
      <c r="B79" s="200"/>
      <c r="C79" s="201"/>
      <c r="D79" s="200"/>
      <c r="E79" s="200"/>
      <c r="F79" s="200"/>
      <c r="G79" s="200"/>
      <c r="H79" s="200"/>
      <c r="I79" s="200"/>
      <c r="J79" s="202"/>
      <c r="K79" s="202"/>
      <c r="L79" s="202"/>
      <c r="M79" s="202"/>
      <c r="N79" s="202"/>
      <c r="O79" s="202"/>
      <c r="P79" s="202"/>
    </row>
    <row ht="15" r="80" spans="1:16" s="204" customFormat="1">
      <c r="A80" s="199"/>
      <c r="B80" s="200"/>
      <c r="C80" s="201"/>
      <c r="D80" s="200"/>
      <c r="E80" s="200"/>
      <c r="F80" s="200"/>
      <c r="G80" s="200"/>
      <c r="H80" s="200"/>
      <c r="I80" s="200"/>
      <c r="J80" s="202"/>
      <c r="K80" s="202"/>
      <c r="L80" s="202"/>
      <c r="M80" s="202"/>
      <c r="N80" s="202"/>
      <c r="O80" s="202"/>
      <c r="P80" s="202"/>
    </row>
    <row ht="15" r="81" spans="1:16" s="204" customFormat="1">
      <c r="A81" s="199"/>
      <c r="B81" s="200"/>
      <c r="C81" s="201"/>
      <c r="D81" s="200"/>
      <c r="E81" s="200"/>
      <c r="F81" s="200"/>
      <c r="G81" s="200"/>
      <c r="H81" s="200"/>
      <c r="I81" s="200"/>
      <c r="J81" s="202"/>
      <c r="K81" s="202"/>
      <c r="L81" s="202"/>
      <c r="M81" s="202"/>
      <c r="N81" s="202"/>
      <c r="O81" s="202"/>
      <c r="P81" s="202"/>
    </row>
    <row ht="15" r="82" spans="1:16" s="204" customFormat="1">
      <c r="A82" s="199"/>
      <c r="B82" s="200"/>
      <c r="C82" s="201"/>
      <c r="D82" s="200"/>
      <c r="E82" s="200"/>
      <c r="F82" s="200"/>
      <c r="G82" s="200"/>
      <c r="H82" s="200"/>
      <c r="I82" s="200"/>
      <c r="J82" s="202"/>
      <c r="K82" s="202"/>
      <c r="L82" s="202"/>
      <c r="M82" s="202"/>
      <c r="N82" s="202"/>
      <c r="O82" s="202"/>
      <c r="P82" s="202"/>
    </row>
    <row ht="15" r="83" spans="1:16" s="204" customFormat="1">
      <c r="A83" s="199"/>
      <c r="B83" s="200"/>
      <c r="C83" s="201"/>
      <c r="D83" s="200"/>
      <c r="E83" s="200"/>
      <c r="F83" s="200"/>
      <c r="G83" s="200"/>
      <c r="H83" s="200"/>
      <c r="I83" s="200"/>
      <c r="J83" s="202"/>
      <c r="K83" s="202"/>
      <c r="L83" s="202"/>
      <c r="M83" s="202"/>
      <c r="N83" s="202"/>
      <c r="O83" s="202"/>
      <c r="P83" s="202"/>
    </row>
    <row ht="15" r="84" spans="1:16" s="204" customFormat="1">
      <c r="A84" s="199"/>
      <c r="B84" s="200"/>
      <c r="C84" s="201"/>
      <c r="D84" s="200"/>
      <c r="E84" s="200"/>
      <c r="F84" s="200"/>
      <c r="G84" s="200"/>
      <c r="H84" s="200"/>
      <c r="I84" s="200"/>
      <c r="J84" s="202"/>
      <c r="K84" s="202"/>
      <c r="L84" s="202"/>
      <c r="M84" s="202"/>
      <c r="N84" s="202"/>
      <c r="O84" s="202"/>
      <c r="P84" s="202"/>
    </row>
    <row ht="15" r="85" spans="1:16" s="204" customFormat="1">
      <c r="A85" s="199"/>
      <c r="B85" s="200"/>
      <c r="C85" s="201"/>
      <c r="D85" s="200"/>
      <c r="E85" s="200"/>
      <c r="F85" s="200"/>
      <c r="G85" s="200"/>
      <c r="H85" s="200"/>
      <c r="I85" s="200"/>
      <c r="J85" s="202"/>
      <c r="K85" s="202"/>
      <c r="L85" s="202"/>
      <c r="M85" s="202"/>
      <c r="N85" s="202"/>
      <c r="O85" s="202"/>
      <c r="P85" s="202"/>
    </row>
    <row ht="15" r="86" spans="1:16" s="204" customFormat="1">
      <c r="A86" s="199"/>
      <c r="B86" s="200"/>
      <c r="C86" s="201"/>
      <c r="D86" s="200"/>
      <c r="E86" s="200"/>
      <c r="F86" s="200"/>
      <c r="G86" s="200"/>
      <c r="H86" s="200"/>
      <c r="I86" s="200"/>
      <c r="J86" s="202"/>
      <c r="K86" s="202"/>
      <c r="L86" s="202"/>
      <c r="M86" s="202"/>
      <c r="N86" s="202"/>
      <c r="O86" s="202"/>
      <c r="P86" s="202"/>
    </row>
    <row ht="15" r="87" spans="1:16" s="204" customFormat="1">
      <c r="A87" s="199"/>
      <c r="B87" s="200"/>
      <c r="C87" s="201"/>
      <c r="D87" s="200"/>
      <c r="E87" s="200"/>
      <c r="F87" s="200"/>
      <c r="G87" s="200"/>
      <c r="H87" s="200"/>
      <c r="I87" s="200"/>
      <c r="J87" s="202"/>
      <c r="K87" s="202"/>
      <c r="L87" s="202"/>
      <c r="M87" s="202"/>
      <c r="N87" s="202"/>
      <c r="O87" s="202"/>
      <c r="P87" s="202"/>
    </row>
    <row ht="15" r="88" spans="1:16" s="204" customFormat="1">
      <c r="A88" s="199"/>
      <c r="B88" s="200"/>
      <c r="C88" s="201"/>
      <c r="D88" s="200"/>
      <c r="E88" s="200"/>
      <c r="F88" s="200"/>
      <c r="G88" s="200"/>
      <c r="H88" s="200"/>
      <c r="I88" s="200"/>
      <c r="J88" s="202"/>
      <c r="K88" s="202"/>
      <c r="L88" s="202"/>
      <c r="M88" s="202"/>
      <c r="N88" s="202"/>
    </row>
    <row ht="15" r="89" spans="1:16" s="204" customFormat="1">
      <c r="A89" s="199"/>
      <c r="B89" s="200"/>
      <c r="C89" s="201"/>
      <c r="D89" s="200"/>
      <c r="E89" s="200"/>
      <c r="F89" s="200"/>
      <c r="G89" s="200"/>
      <c r="H89" s="200"/>
      <c r="I89" s="200"/>
      <c r="J89" s="202"/>
      <c r="K89" s="202"/>
      <c r="L89" s="202"/>
      <c r="M89" s="202"/>
      <c r="N89" s="202"/>
    </row>
    <row ht="15" r="90" spans="1:16" s="204" customFormat="1">
      <c r="A90" s="199"/>
      <c r="B90" s="200"/>
      <c r="C90" s="201"/>
      <c r="D90" s="200"/>
      <c r="E90" s="200"/>
      <c r="F90" s="200"/>
      <c r="G90" s="200"/>
      <c r="H90" s="200"/>
      <c r="I90" s="200"/>
      <c r="J90" s="202"/>
      <c r="K90" s="202"/>
      <c r="L90" s="202"/>
      <c r="M90" s="202"/>
      <c r="N90" s="202"/>
    </row>
    <row ht="15" r="91" spans="1:16" s="204" customFormat="1">
      <c r="A91" s="199"/>
      <c r="B91" s="200"/>
      <c r="C91" s="201"/>
      <c r="D91" s="200"/>
      <c r="E91" s="200"/>
      <c r="F91" s="200"/>
      <c r="G91" s="200"/>
      <c r="H91" s="200"/>
      <c r="I91" s="200"/>
      <c r="J91" s="202"/>
      <c r="K91" s="202"/>
      <c r="L91" s="202"/>
      <c r="M91" s="202"/>
      <c r="N91" s="202"/>
    </row>
    <row ht="15" r="92" spans="1:16" s="204" customFormat="1">
      <c r="A92" s="199"/>
      <c r="B92" s="200"/>
      <c r="C92" s="201"/>
      <c r="D92" s="200"/>
      <c r="E92" s="200"/>
      <c r="F92" s="200"/>
      <c r="G92" s="200"/>
      <c r="H92" s="200"/>
      <c r="I92" s="200"/>
      <c r="J92" s="202"/>
      <c r="K92" s="202"/>
      <c r="L92" s="202"/>
      <c r="M92" s="202"/>
      <c r="N92" s="202"/>
    </row>
    <row ht="15" r="93" spans="1:16" s="204" customFormat="1">
      <c r="A93" s="199"/>
      <c r="B93" s="200"/>
      <c r="C93" s="201"/>
      <c r="D93" s="200"/>
      <c r="E93" s="200"/>
      <c r="F93" s="200"/>
      <c r="G93" s="200"/>
      <c r="H93" s="200"/>
      <c r="I93" s="200"/>
      <c r="J93" s="202"/>
      <c r="K93" s="202"/>
      <c r="L93" s="202"/>
      <c r="M93" s="202"/>
      <c r="N93" s="202"/>
    </row>
    <row ht="15" r="94" spans="1:16" s="204" customFormat="1">
      <c r="A94" s="199"/>
      <c r="B94" s="200"/>
      <c r="C94" s="201"/>
      <c r="D94" s="200"/>
      <c r="E94" s="200"/>
      <c r="F94" s="200"/>
      <c r="G94" s="200"/>
      <c r="H94" s="200"/>
      <c r="I94" s="200"/>
      <c r="J94" s="202"/>
      <c r="K94" s="202"/>
      <c r="L94" s="202"/>
      <c r="M94" s="202"/>
      <c r="N94" s="202"/>
    </row>
    <row ht="15" r="95" spans="1:16" s="204" customFormat="1">
      <c r="A95" s="199"/>
      <c r="B95" s="200"/>
      <c r="C95" s="201"/>
      <c r="D95" s="200"/>
      <c r="E95" s="200"/>
      <c r="F95" s="200"/>
      <c r="G95" s="200"/>
      <c r="H95" s="200"/>
      <c r="I95" s="200"/>
      <c r="J95" s="202"/>
      <c r="K95" s="202"/>
      <c r="L95" s="202"/>
      <c r="M95" s="202"/>
      <c r="N95" s="202"/>
    </row>
    <row ht="15" r="96" spans="1:16" s="204" customFormat="1">
      <c r="A96" s="199"/>
      <c r="B96" s="200"/>
      <c r="C96" s="201"/>
      <c r="D96" s="200"/>
      <c r="E96" s="200"/>
      <c r="F96" s="200"/>
      <c r="G96" s="200"/>
      <c r="H96" s="200"/>
      <c r="I96" s="200"/>
      <c r="J96" s="202"/>
      <c r="K96" s="202"/>
      <c r="L96" s="202"/>
      <c r="M96" s="202"/>
      <c r="N96" s="202"/>
    </row>
    <row ht="15" r="97" spans="1:14" s="204" customFormat="1">
      <c r="A97" s="199"/>
      <c r="B97" s="200"/>
      <c r="C97" s="201"/>
      <c r="D97" s="200"/>
      <c r="E97" s="200"/>
      <c r="F97" s="200"/>
      <c r="G97" s="200"/>
      <c r="H97" s="200"/>
      <c r="I97" s="200"/>
      <c r="J97" s="202"/>
      <c r="K97" s="202"/>
      <c r="L97" s="202"/>
      <c r="M97" s="202"/>
      <c r="N97" s="202"/>
    </row>
    <row ht="15" r="98" spans="1:14" s="204" customFormat="1">
      <c r="A98" s="199"/>
      <c r="B98" s="200"/>
      <c r="C98" s="201"/>
      <c r="D98" s="200"/>
      <c r="E98" s="200"/>
      <c r="F98" s="200"/>
      <c r="G98" s="200"/>
      <c r="H98" s="200"/>
      <c r="I98" s="200"/>
      <c r="J98" s="202"/>
      <c r="K98" s="202"/>
      <c r="L98" s="202"/>
      <c r="M98" s="202"/>
      <c r="N98" s="202"/>
    </row>
    <row ht="15" r="99" spans="1:14" s="204" customFormat="1">
      <c r="A99" s="199"/>
      <c r="B99" s="200"/>
      <c r="C99" s="201"/>
      <c r="D99" s="200"/>
      <c r="E99" s="200"/>
      <c r="F99" s="200"/>
      <c r="G99" s="200"/>
      <c r="H99" s="200"/>
      <c r="I99" s="200"/>
      <c r="J99" s="202"/>
      <c r="K99" s="202"/>
      <c r="L99" s="202"/>
      <c r="M99" s="202"/>
      <c r="N99" s="202"/>
    </row>
    <row ht="15" r="100" spans="1:14" s="204" customFormat="1">
      <c r="A100" s="199"/>
      <c r="B100" s="200"/>
      <c r="C100" s="201"/>
      <c r="D100" s="200"/>
      <c r="E100" s="200"/>
      <c r="F100" s="200"/>
      <c r="G100" s="200"/>
      <c r="H100" s="200"/>
      <c r="I100" s="200"/>
      <c r="J100" s="202"/>
      <c r="K100" s="202"/>
      <c r="L100" s="202"/>
      <c r="M100" s="202"/>
      <c r="N100" s="202"/>
    </row>
    <row ht="15" r="101" spans="1:14" s="204" customFormat="1">
      <c r="A101" s="199"/>
      <c r="B101" s="200"/>
      <c r="C101" s="201"/>
      <c r="D101" s="200"/>
      <c r="E101" s="200"/>
      <c r="F101" s="200"/>
      <c r="G101" s="200"/>
      <c r="H101" s="200"/>
      <c r="I101" s="200"/>
      <c r="J101" s="202"/>
      <c r="K101" s="202"/>
      <c r="L101" s="202"/>
      <c r="M101" s="202"/>
      <c r="N101" s="202"/>
    </row>
    <row ht="15" r="102" spans="1:14" s="204" customFormat="1">
      <c r="A102" s="199"/>
      <c r="B102" s="200"/>
      <c r="C102" s="201"/>
      <c r="D102" s="200"/>
      <c r="E102" s="200"/>
      <c r="F102" s="200"/>
      <c r="G102" s="200"/>
      <c r="H102" s="200"/>
      <c r="I102" s="200"/>
      <c r="J102" s="202"/>
      <c r="K102" s="202"/>
      <c r="L102" s="202"/>
      <c r="M102" s="202"/>
      <c r="N102" s="202"/>
    </row>
    <row ht="15" r="103" spans="1:14" s="204" customFormat="1">
      <c r="A103" s="199"/>
      <c r="B103" s="200"/>
      <c r="C103" s="201"/>
      <c r="D103" s="200"/>
      <c r="E103" s="200"/>
      <c r="F103" s="200"/>
      <c r="G103" s="200"/>
      <c r="H103" s="200"/>
      <c r="I103" s="200"/>
      <c r="J103" s="202"/>
      <c r="K103" s="202"/>
      <c r="L103" s="202"/>
      <c r="M103" s="202"/>
      <c r="N103" s="202"/>
    </row>
    <row ht="15" r="104" spans="1:14" s="204" customFormat="1">
      <c r="A104" s="199"/>
      <c r="B104" s="200"/>
      <c r="C104" s="201"/>
      <c r="D104" s="200"/>
      <c r="E104" s="200"/>
      <c r="F104" s="200"/>
      <c r="G104" s="200"/>
      <c r="H104" s="200"/>
      <c r="I104" s="200"/>
      <c r="J104" s="202"/>
      <c r="K104" s="202"/>
      <c r="L104" s="202"/>
      <c r="M104" s="202"/>
      <c r="N104" s="202"/>
    </row>
    <row ht="15" r="105" spans="1:14" s="204" customFormat="1">
      <c r="A105" s="199"/>
      <c r="B105" s="200"/>
      <c r="C105" s="201"/>
      <c r="D105" s="200"/>
      <c r="E105" s="200"/>
      <c r="F105" s="200"/>
      <c r="G105" s="200"/>
      <c r="H105" s="200"/>
      <c r="I105" s="200"/>
      <c r="J105" s="202"/>
      <c r="K105" s="202"/>
      <c r="L105" s="202"/>
      <c r="M105" s="202"/>
      <c r="N105" s="202"/>
    </row>
    <row ht="15" r="106" spans="1:14" s="204" customFormat="1">
      <c r="A106" s="199"/>
      <c r="B106" s="200"/>
      <c r="C106" s="201"/>
      <c r="D106" s="200"/>
      <c r="E106" s="200"/>
      <c r="F106" s="200"/>
      <c r="G106" s="200"/>
      <c r="H106" s="200"/>
      <c r="I106" s="200"/>
      <c r="J106" s="202"/>
      <c r="K106" s="202"/>
      <c r="L106" s="202"/>
      <c r="M106" s="202"/>
      <c r="N106" s="202"/>
    </row>
    <row ht="15" r="107" spans="1:14" s="204" customFormat="1">
      <c r="A107" s="199"/>
      <c r="B107" s="200"/>
      <c r="C107" s="201"/>
      <c r="D107" s="200"/>
      <c r="E107" s="200"/>
      <c r="F107" s="200"/>
      <c r="G107" s="200"/>
      <c r="H107" s="200"/>
      <c r="I107" s="200"/>
      <c r="J107" s="202"/>
      <c r="K107" s="202"/>
      <c r="L107" s="202"/>
      <c r="M107" s="202"/>
      <c r="N107" s="202"/>
    </row>
    <row ht="15" r="108" spans="1:14" s="204" customFormat="1">
      <c r="A108" s="199"/>
      <c r="B108" s="200"/>
      <c r="C108" s="201"/>
      <c r="D108" s="200"/>
      <c r="E108" s="200"/>
      <c r="F108" s="200"/>
      <c r="G108" s="200"/>
      <c r="H108" s="200"/>
      <c r="I108" s="200"/>
      <c r="J108" s="202"/>
      <c r="K108" s="202"/>
      <c r="L108" s="202"/>
      <c r="M108" s="202"/>
      <c r="N108" s="202"/>
    </row>
    <row ht="15" r="109" spans="1:14" s="204" customFormat="1">
      <c r="A109" s="199"/>
      <c r="B109" s="200"/>
      <c r="C109" s="201"/>
      <c r="D109" s="200"/>
      <c r="E109" s="200"/>
      <c r="F109" s="200"/>
      <c r="G109" s="200"/>
      <c r="H109" s="200"/>
      <c r="I109" s="200"/>
      <c r="J109" s="202"/>
      <c r="K109" s="202"/>
      <c r="L109" s="202"/>
      <c r="M109" s="202"/>
      <c r="N109" s="202"/>
    </row>
    <row ht="15" r="110" spans="1:14" s="204" customFormat="1">
      <c r="A110" s="199"/>
      <c r="B110" s="200"/>
      <c r="C110" s="201"/>
      <c r="D110" s="200"/>
      <c r="E110" s="200"/>
      <c r="F110" s="200"/>
      <c r="G110" s="200"/>
      <c r="H110" s="200"/>
      <c r="I110" s="200"/>
      <c r="J110" s="202"/>
      <c r="K110" s="202"/>
      <c r="L110" s="202"/>
      <c r="M110" s="202"/>
      <c r="N110" s="202"/>
    </row>
    <row ht="15" r="111" spans="1:14" s="204" customFormat="1">
      <c r="A111" s="199"/>
      <c r="B111" s="200"/>
      <c r="C111" s="201"/>
      <c r="D111" s="200"/>
      <c r="E111" s="200"/>
      <c r="F111" s="200"/>
      <c r="G111" s="200"/>
      <c r="H111" s="200"/>
      <c r="I111" s="200"/>
      <c r="J111" s="202"/>
      <c r="K111" s="202"/>
      <c r="L111" s="202"/>
      <c r="M111" s="202"/>
      <c r="N111" s="202"/>
    </row>
    <row ht="15" r="112" spans="1:14" s="204" customFormat="1">
      <c r="A112" s="199"/>
      <c r="B112" s="200"/>
      <c r="C112" s="201"/>
      <c r="D112" s="200"/>
      <c r="E112" s="200"/>
      <c r="F112" s="200"/>
      <c r="G112" s="200"/>
      <c r="H112" s="200"/>
      <c r="I112" s="200"/>
      <c r="J112" s="202"/>
      <c r="K112" s="202"/>
      <c r="L112" s="202"/>
      <c r="M112" s="202"/>
      <c r="N112" s="202"/>
    </row>
    <row ht="15" r="113" spans="1:14" s="204" customFormat="1">
      <c r="A113" s="199"/>
      <c r="B113" s="200"/>
      <c r="C113" s="201"/>
      <c r="D113" s="200"/>
      <c r="E113" s="200"/>
      <c r="F113" s="200"/>
      <c r="G113" s="200"/>
      <c r="H113" s="200"/>
      <c r="I113" s="200"/>
      <c r="J113" s="202"/>
      <c r="K113" s="202"/>
      <c r="L113" s="202"/>
      <c r="M113" s="202"/>
      <c r="N113" s="202"/>
    </row>
    <row ht="15" r="114" spans="1:14" s="204" customFormat="1">
      <c r="A114" s="199"/>
      <c r="B114" s="200"/>
      <c r="C114" s="201"/>
      <c r="D114" s="200"/>
      <c r="E114" s="200"/>
      <c r="F114" s="200"/>
      <c r="G114" s="200"/>
      <c r="H114" s="200"/>
      <c r="I114" s="200"/>
      <c r="J114" s="202"/>
      <c r="K114" s="202"/>
      <c r="L114" s="202"/>
      <c r="M114" s="202"/>
      <c r="N114" s="202"/>
    </row>
    <row ht="15" r="115" spans="1:14" s="204" customFormat="1">
      <c r="A115" s="199"/>
      <c r="B115" s="200"/>
      <c r="C115" s="201"/>
      <c r="D115" s="200"/>
      <c r="E115" s="200"/>
      <c r="F115" s="200"/>
      <c r="G115" s="200"/>
      <c r="H115" s="200"/>
      <c r="I115" s="200"/>
      <c r="J115" s="202"/>
      <c r="K115" s="202"/>
      <c r="L115" s="202"/>
      <c r="M115" s="202"/>
      <c r="N115" s="202"/>
    </row>
    <row ht="15" r="116" spans="1:14" s="204" customFormat="1">
      <c r="A116" s="199"/>
      <c r="B116" s="200"/>
      <c r="C116" s="201"/>
      <c r="D116" s="200"/>
      <c r="E116" s="200"/>
      <c r="F116" s="200"/>
      <c r="G116" s="200"/>
      <c r="H116" s="200"/>
      <c r="I116" s="200"/>
      <c r="J116" s="202"/>
      <c r="K116" s="202"/>
      <c r="L116" s="202"/>
      <c r="M116" s="202"/>
      <c r="N116" s="202"/>
    </row>
    <row ht="15" r="117" spans="1:14" s="204" customFormat="1">
      <c r="A117" s="199"/>
      <c r="B117" s="200"/>
      <c r="C117" s="201"/>
      <c r="D117" s="200"/>
      <c r="E117" s="200"/>
      <c r="F117" s="200"/>
      <c r="G117" s="200"/>
      <c r="H117" s="200"/>
      <c r="I117" s="200"/>
      <c r="J117" s="202"/>
      <c r="K117" s="202"/>
      <c r="L117" s="202"/>
      <c r="M117" s="202"/>
      <c r="N117" s="202"/>
    </row>
    <row ht="15" r="118" spans="1:14" s="204" customFormat="1">
      <c r="A118" s="199"/>
      <c r="B118" s="200"/>
      <c r="C118" s="201"/>
      <c r="D118" s="200"/>
      <c r="E118" s="200"/>
      <c r="F118" s="200"/>
      <c r="G118" s="200"/>
      <c r="H118" s="200"/>
      <c r="I118" s="200"/>
      <c r="J118" s="202"/>
      <c r="K118" s="202"/>
      <c r="L118" s="202"/>
      <c r="M118" s="202"/>
      <c r="N118" s="202"/>
    </row>
    <row ht="15" r="119" spans="1:14" s="204" customFormat="1">
      <c r="A119" s="199"/>
      <c r="B119" s="200"/>
      <c r="C119" s="201"/>
      <c r="D119" s="200"/>
      <c r="E119" s="200"/>
      <c r="F119" s="200"/>
      <c r="G119" s="200"/>
      <c r="H119" s="200"/>
      <c r="I119" s="200"/>
      <c r="J119" s="202"/>
      <c r="K119" s="202"/>
      <c r="L119" s="202"/>
      <c r="M119" s="202"/>
      <c r="N119" s="202"/>
    </row>
    <row ht="15" r="120" spans="1:14" s="204" customFormat="1">
      <c r="A120" s="199"/>
      <c r="B120" s="200"/>
      <c r="C120" s="201"/>
      <c r="D120" s="200"/>
      <c r="E120" s="200"/>
      <c r="F120" s="200"/>
      <c r="G120" s="200"/>
      <c r="H120" s="200"/>
      <c r="I120" s="200"/>
      <c r="J120" s="202"/>
      <c r="K120" s="202"/>
      <c r="L120" s="202"/>
      <c r="M120" s="202"/>
      <c r="N120" s="202"/>
    </row>
    <row ht="15" r="121" spans="1:14" s="204" customFormat="1">
      <c r="A121" s="199"/>
      <c r="B121" s="200"/>
      <c r="C121" s="201"/>
      <c r="D121" s="200"/>
      <c r="E121" s="200"/>
      <c r="F121" s="200"/>
      <c r="G121" s="200"/>
      <c r="H121" s="200"/>
      <c r="I121" s="200"/>
      <c r="J121" s="202"/>
      <c r="K121" s="202"/>
      <c r="L121" s="202"/>
      <c r="M121" s="202"/>
      <c r="N121" s="202"/>
    </row>
    <row ht="15" r="122" spans="1:14" s="204" customFormat="1">
      <c r="A122" s="199"/>
      <c r="B122" s="200"/>
      <c r="C122" s="201"/>
      <c r="D122" s="200"/>
      <c r="E122" s="200"/>
      <c r="F122" s="200"/>
      <c r="G122" s="200"/>
      <c r="H122" s="200"/>
      <c r="I122" s="200"/>
      <c r="J122" s="202"/>
      <c r="K122" s="202"/>
      <c r="L122" s="202"/>
      <c r="M122" s="202"/>
      <c r="N122" s="202"/>
    </row>
    <row ht="15" r="123" spans="1:14" s="204" customFormat="1">
      <c r="A123" s="199"/>
      <c r="B123" s="200"/>
      <c r="C123" s="201"/>
      <c r="D123" s="200"/>
      <c r="E123" s="200"/>
      <c r="F123" s="200"/>
      <c r="G123" s="200"/>
      <c r="H123" s="200"/>
      <c r="I123" s="200"/>
      <c r="J123" s="202"/>
      <c r="K123" s="202"/>
      <c r="L123" s="202"/>
      <c r="M123" s="202"/>
      <c r="N123" s="202"/>
    </row>
    <row ht="15" r="124" spans="1:14" s="204" customFormat="1">
      <c r="A124" s="199"/>
      <c r="B124" s="200"/>
      <c r="C124" s="201"/>
      <c r="D124" s="200"/>
      <c r="E124" s="200"/>
      <c r="F124" s="200"/>
      <c r="G124" s="200"/>
      <c r="H124" s="200"/>
      <c r="I124" s="200"/>
      <c r="J124" s="202"/>
      <c r="K124" s="202"/>
      <c r="L124" s="202"/>
      <c r="M124" s="202"/>
      <c r="N124" s="202"/>
    </row>
    <row ht="15" r="125" spans="1:14" s="204" customFormat="1">
      <c r="A125" s="199"/>
      <c r="B125" s="200"/>
      <c r="C125" s="201"/>
      <c r="D125" s="200"/>
      <c r="E125" s="200"/>
      <c r="F125" s="200"/>
      <c r="G125" s="200"/>
      <c r="H125" s="200"/>
      <c r="I125" s="200"/>
      <c r="J125" s="202"/>
      <c r="K125" s="202"/>
      <c r="L125" s="202"/>
      <c r="M125" s="202"/>
      <c r="N125" s="202"/>
    </row>
    <row ht="15" r="126" spans="1:14" s="204" customFormat="1">
      <c r="A126" s="199"/>
      <c r="B126" s="200"/>
      <c r="C126" s="201"/>
      <c r="D126" s="200"/>
      <c r="E126" s="200"/>
      <c r="F126" s="200"/>
      <c r="G126" s="200"/>
      <c r="H126" s="200"/>
      <c r="I126" s="200"/>
      <c r="J126" s="202"/>
      <c r="K126" s="202"/>
      <c r="L126" s="202"/>
      <c r="M126" s="202"/>
      <c r="N126" s="202"/>
    </row>
    <row ht="15" r="127" spans="1:14" s="204" customFormat="1">
      <c r="A127" s="199"/>
      <c r="B127" s="200"/>
      <c r="C127" s="201"/>
      <c r="D127" s="200"/>
      <c r="E127" s="200"/>
      <c r="F127" s="200"/>
      <c r="G127" s="200"/>
      <c r="H127" s="200"/>
      <c r="I127" s="200"/>
      <c r="J127" s="202"/>
      <c r="K127" s="202"/>
      <c r="L127" s="202"/>
      <c r="M127" s="202"/>
      <c r="N127" s="202"/>
    </row>
    <row ht="15" r="128" spans="1:14" s="204" customFormat="1">
      <c r="A128" s="199"/>
      <c r="B128" s="200"/>
      <c r="C128" s="201"/>
      <c r="D128" s="200"/>
      <c r="E128" s="200"/>
      <c r="F128" s="200"/>
      <c r="G128" s="200"/>
      <c r="H128" s="200"/>
      <c r="I128" s="200"/>
      <c r="J128" s="202"/>
      <c r="K128" s="202"/>
      <c r="L128" s="202"/>
      <c r="M128" s="202"/>
      <c r="N128" s="202"/>
    </row>
    <row ht="15" r="129" spans="1:14" s="204" customFormat="1">
      <c r="A129" s="199"/>
      <c r="B129" s="200"/>
      <c r="C129" s="201"/>
      <c r="D129" s="200"/>
      <c r="E129" s="200"/>
      <c r="F129" s="200"/>
      <c r="G129" s="200"/>
      <c r="H129" s="200"/>
      <c r="I129" s="200"/>
      <c r="J129" s="202"/>
      <c r="K129" s="202"/>
      <c r="L129" s="202"/>
      <c r="M129" s="202"/>
      <c r="N129" s="202"/>
    </row>
    <row ht="15" r="130" spans="1:14" s="204" customFormat="1">
      <c r="A130" s="199"/>
      <c r="B130" s="200"/>
      <c r="C130" s="201"/>
      <c r="D130" s="200"/>
      <c r="E130" s="200"/>
      <c r="F130" s="200"/>
      <c r="G130" s="200"/>
      <c r="H130" s="200"/>
      <c r="I130" s="200"/>
      <c r="J130" s="202"/>
      <c r="K130" s="202"/>
      <c r="L130" s="202"/>
      <c r="M130" s="202"/>
      <c r="N130" s="202"/>
    </row>
    <row ht="15.75" customHeight="1" r="131" spans="1:14" s="204" customFormat="1">
      <c r="A131" s="199"/>
      <c r="B131" s="200"/>
      <c r="C131" s="201"/>
      <c r="D131" s="200"/>
      <c r="E131" s="200"/>
      <c r="F131" s="200"/>
      <c r="G131" s="200"/>
      <c r="H131" s="200"/>
      <c r="I131" s="200"/>
      <c r="J131" s="202"/>
      <c r="K131" s="202"/>
      <c r="L131" s="202"/>
      <c r="M131" s="202"/>
      <c r="N131" s="202"/>
    </row>
    <row ht="15" r="132" spans="1:14" s="204" customFormat="1">
      <c r="A132" s="199"/>
      <c r="B132" s="200"/>
      <c r="C132" s="201"/>
      <c r="D132" s="200"/>
      <c r="E132" s="200"/>
      <c r="F132" s="200"/>
      <c r="G132" s="200"/>
      <c r="H132" s="200"/>
      <c r="I132" s="200"/>
      <c r="J132" s="202"/>
      <c r="K132" s="202"/>
      <c r="L132" s="202"/>
      <c r="M132" s="202"/>
      <c r="N132" s="202"/>
    </row>
    <row ht="15" r="133" spans="1:14" s="204" customFormat="1">
      <c r="A133" s="199"/>
      <c r="B133" s="200"/>
      <c r="C133" s="201"/>
      <c r="D133" s="200"/>
      <c r="E133" s="200"/>
      <c r="F133" s="200"/>
      <c r="G133" s="200"/>
      <c r="H133" s="200"/>
      <c r="I133" s="200"/>
      <c r="J133" s="202"/>
      <c r="K133" s="203"/>
      <c r="L133" s="202"/>
      <c r="M133" s="202"/>
      <c r="N133" s="202"/>
    </row>
    <row ht="15" r="134" spans="1:14" s="204" customFormat="1">
      <c r="A134" s="199"/>
      <c r="B134" s="200"/>
      <c r="C134" s="201"/>
      <c r="D134" s="200"/>
      <c r="E134" s="200"/>
      <c r="F134" s="200"/>
      <c r="G134" s="200"/>
      <c r="H134" s="200"/>
      <c r="I134" s="200"/>
      <c r="J134" s="202"/>
      <c r="K134" s="202"/>
      <c r="L134" s="202"/>
      <c r="M134" s="202"/>
      <c r="N134" s="202"/>
    </row>
    <row ht="15" r="135" spans="1:14" s="204" customFormat="1">
      <c r="A135" s="199"/>
      <c r="B135" s="200"/>
      <c r="C135" s="201"/>
      <c r="D135" s="200"/>
      <c r="E135" s="200"/>
      <c r="F135" s="200"/>
      <c r="G135" s="200"/>
      <c r="H135" s="200"/>
      <c r="I135" s="200"/>
      <c r="J135" s="202"/>
      <c r="K135" s="202"/>
      <c r="L135" s="202"/>
      <c r="M135" s="202"/>
      <c r="N135" s="202"/>
    </row>
    <row ht="15" r="136" spans="1:14" s="204" customFormat="1">
      <c r="A136" s="199"/>
      <c r="B136" s="200"/>
      <c r="C136" s="201"/>
      <c r="D136" s="200"/>
      <c r="E136" s="200"/>
      <c r="F136" s="200"/>
      <c r="G136" s="200"/>
      <c r="H136" s="200"/>
      <c r="I136" s="200"/>
      <c r="J136" s="202"/>
      <c r="K136" s="203"/>
      <c r="L136" s="202"/>
      <c r="M136" s="202"/>
      <c r="N136" s="202"/>
    </row>
    <row ht="15" r="137" spans="1:14" s="204" customFormat="1">
      <c r="A137" s="199"/>
      <c r="B137" s="200"/>
      <c r="C137" s="201"/>
      <c r="D137" s="200"/>
      <c r="E137" s="200"/>
      <c r="F137" s="200"/>
      <c r="G137" s="200"/>
      <c r="H137" s="200"/>
      <c r="I137" s="200"/>
      <c r="J137" s="202"/>
      <c r="K137" s="203"/>
      <c r="L137" s="202"/>
      <c r="M137" s="202"/>
      <c r="N137" s="202"/>
    </row>
    <row ht="15" r="138" spans="1:14" s="204" customFormat="1">
      <c r="A138" s="199"/>
      <c r="B138" s="200"/>
      <c r="C138" s="201"/>
      <c r="D138" s="207"/>
      <c r="E138" s="200"/>
      <c r="F138" s="200"/>
      <c r="G138" s="200"/>
      <c r="H138" s="200"/>
      <c r="I138" s="200"/>
      <c r="J138" s="202"/>
      <c r="K138" s="203"/>
      <c r="L138" s="202"/>
      <c r="M138" s="202"/>
      <c r="N138" s="202"/>
    </row>
    <row ht="15" r="139" spans="1:14" s="204" customFormat="1">
      <c r="A139" s="199"/>
      <c r="B139" s="200"/>
      <c r="C139" s="201"/>
      <c r="D139" s="207"/>
      <c r="E139" s="200"/>
      <c r="F139" s="200"/>
      <c r="G139" s="200"/>
      <c r="H139" s="200"/>
      <c r="I139" s="200"/>
      <c r="J139" s="202"/>
      <c r="K139" s="203"/>
      <c r="L139" s="202"/>
      <c r="M139" s="202"/>
      <c r="N139" s="202"/>
    </row>
    <row ht="15" r="140" spans="1:14" s="204" customFormat="1">
      <c r="A140" s="199"/>
      <c r="B140" s="200"/>
      <c r="C140" s="201"/>
      <c r="D140" s="207"/>
      <c r="E140" s="200"/>
      <c r="F140" s="200"/>
      <c r="G140" s="200"/>
      <c r="H140" s="200"/>
      <c r="I140" s="200"/>
      <c r="J140" s="202"/>
      <c r="K140" s="203"/>
      <c r="L140" s="202"/>
      <c r="M140" s="202"/>
      <c r="N140" s="202"/>
    </row>
    <row ht="15" r="141" spans="1:14" s="204" customFormat="1">
      <c r="A141" s="199"/>
      <c r="B141" s="200"/>
      <c r="C141" s="201"/>
      <c r="D141" s="207"/>
      <c r="E141" s="200"/>
      <c r="F141" s="200"/>
      <c r="G141" s="200"/>
      <c r="H141" s="200"/>
      <c r="I141" s="200"/>
      <c r="J141" s="202"/>
      <c r="K141" s="203"/>
      <c r="L141" s="202"/>
      <c r="M141" s="202"/>
      <c r="N141" s="202"/>
    </row>
    <row ht="15" r="142" spans="1:14" s="204" customFormat="1">
      <c r="A142" s="199"/>
      <c r="B142" s="200"/>
      <c r="C142" s="201"/>
      <c r="D142" s="207"/>
      <c r="E142" s="200"/>
      <c r="F142" s="200"/>
      <c r="G142" s="200"/>
      <c r="H142" s="200"/>
      <c r="I142" s="200"/>
      <c r="J142" s="202"/>
      <c r="K142" s="203"/>
      <c r="L142" s="202"/>
      <c r="M142" s="202"/>
      <c r="N142" s="202"/>
    </row>
    <row ht="15" r="143" spans="1:14" s="204" customFormat="1">
      <c r="A143" s="199"/>
      <c r="B143" s="200"/>
      <c r="C143" s="201"/>
      <c r="D143" s="207"/>
      <c r="E143" s="200"/>
      <c r="F143" s="200"/>
      <c r="G143" s="200"/>
      <c r="H143" s="200"/>
      <c r="I143" s="200"/>
      <c r="J143" s="202"/>
      <c r="K143" s="203"/>
      <c r="L143" s="202"/>
      <c r="M143" s="202"/>
      <c r="N143" s="202"/>
    </row>
    <row ht="15" r="144" spans="1:14" s="204" customFormat="1">
      <c r="A144" s="199"/>
      <c r="B144" s="200"/>
      <c r="C144" s="201"/>
      <c r="D144" s="207"/>
      <c r="E144" s="200"/>
      <c r="F144" s="200"/>
      <c r="G144" s="200"/>
      <c r="H144" s="200"/>
      <c r="I144" s="200"/>
      <c r="J144" s="202"/>
      <c r="K144" s="203"/>
      <c r="L144" s="202"/>
      <c r="M144" s="202"/>
      <c r="N144" s="202"/>
    </row>
    <row ht="15" r="145" spans="1:14" s="204" customFormat="1">
      <c r="A145" s="199"/>
      <c r="B145" s="200"/>
      <c r="C145" s="201"/>
      <c r="D145" s="207"/>
      <c r="E145" s="200"/>
      <c r="F145" s="200"/>
      <c r="G145" s="200"/>
      <c r="H145" s="200"/>
      <c r="I145" s="200"/>
      <c r="J145" s="202"/>
      <c r="K145" s="203"/>
      <c r="L145" s="202"/>
      <c r="M145" s="202"/>
      <c r="N145" s="202"/>
    </row>
    <row ht="15" r="146" spans="1:14" s="204" customFormat="1">
      <c r="A146" s="199"/>
      <c r="B146" s="200"/>
      <c r="C146" s="201"/>
      <c r="D146" s="207"/>
      <c r="E146" s="200"/>
      <c r="F146" s="200"/>
      <c r="G146" s="200"/>
      <c r="H146" s="200"/>
      <c r="I146" s="200"/>
      <c r="J146" s="202"/>
      <c r="K146" s="203"/>
      <c r="L146" s="202"/>
      <c r="M146" s="202"/>
      <c r="N146" s="202"/>
    </row>
    <row ht="15" r="147" spans="1:14" s="204" customFormat="1">
      <c r="A147" s="199"/>
      <c r="B147" s="200"/>
      <c r="C147" s="201"/>
      <c r="D147" s="207"/>
      <c r="E147" s="200"/>
      <c r="F147" s="200"/>
      <c r="G147" s="200"/>
      <c r="H147" s="200"/>
      <c r="I147" s="200"/>
      <c r="J147" s="202"/>
      <c r="K147" s="203"/>
      <c r="L147" s="202"/>
      <c r="M147" s="202"/>
      <c r="N147" s="202"/>
    </row>
    <row ht="15" r="148" spans="1:14" s="204" customFormat="1">
      <c r="A148" s="199"/>
      <c r="B148" s="200"/>
      <c r="C148" s="201"/>
      <c r="D148" s="207"/>
      <c r="E148" s="200"/>
      <c r="F148" s="200"/>
      <c r="G148" s="200"/>
      <c r="H148" s="200"/>
      <c r="I148" s="200"/>
      <c r="J148" s="202"/>
      <c r="K148" s="203"/>
      <c r="L148" s="202"/>
      <c r="M148" s="202"/>
      <c r="N148" s="202"/>
    </row>
    <row ht="15" r="149" spans="1:14" s="204" customFormat="1">
      <c r="A149" s="199"/>
      <c r="B149" s="200"/>
      <c r="C149" s="201"/>
      <c r="D149" s="207"/>
      <c r="E149" s="200"/>
      <c r="F149" s="200"/>
      <c r="G149" s="200"/>
      <c r="H149" s="200"/>
      <c r="I149" s="200"/>
      <c r="J149" s="202"/>
      <c r="K149" s="203"/>
      <c r="L149" s="202"/>
      <c r="M149" s="202"/>
      <c r="N149" s="202"/>
    </row>
    <row ht="15" r="150" spans="1:14" s="204" customFormat="1">
      <c r="A150" s="199"/>
      <c r="B150" s="200"/>
      <c r="C150" s="201"/>
      <c r="D150" s="207"/>
      <c r="E150" s="200"/>
      <c r="F150" s="200"/>
      <c r="G150" s="200"/>
      <c r="H150" s="200"/>
      <c r="I150" s="200"/>
      <c r="J150" s="202"/>
      <c r="K150" s="203"/>
      <c r="L150" s="202"/>
      <c r="M150" s="202"/>
      <c r="N150" s="202"/>
    </row>
    <row ht="15" r="151" spans="1:14" s="204" customFormat="1">
      <c r="A151" s="199"/>
      <c r="B151" s="200"/>
      <c r="C151" s="201"/>
      <c r="D151" s="207"/>
      <c r="E151" s="200"/>
      <c r="F151" s="200"/>
      <c r="G151" s="200"/>
      <c r="H151" s="200"/>
      <c r="I151" s="200"/>
      <c r="J151" s="202"/>
      <c r="K151" s="203"/>
      <c r="L151" s="202"/>
      <c r="M151" s="202"/>
      <c r="N151" s="202"/>
    </row>
    <row ht="15" r="152" spans="1:14" s="204" customFormat="1">
      <c r="A152" s="199"/>
      <c r="B152" s="200"/>
      <c r="C152" s="201"/>
      <c r="D152" s="200"/>
      <c r="E152" s="200"/>
      <c r="F152" s="200"/>
      <c r="G152" s="200"/>
      <c r="H152" s="200"/>
      <c r="I152" s="200"/>
      <c r="J152" s="202"/>
      <c r="K152" s="203"/>
      <c r="L152" s="202"/>
      <c r="M152" s="202"/>
      <c r="N152" s="202"/>
    </row>
    <row ht="15" r="153" spans="1:14" s="204" customFormat="1">
      <c r="A153" s="199"/>
      <c r="B153" s="200"/>
      <c r="C153" s="201"/>
      <c r="D153" s="200"/>
      <c r="E153" s="200"/>
      <c r="F153" s="200"/>
      <c r="G153" s="200"/>
      <c r="H153" s="200"/>
      <c r="I153" s="200"/>
      <c r="J153" s="202"/>
      <c r="K153" s="203"/>
      <c r="L153" s="202"/>
      <c r="M153" s="202"/>
      <c r="N153" s="202"/>
    </row>
    <row ht="15" r="154" spans="1:14" s="204" customFormat="1">
      <c r="A154" s="199"/>
      <c r="B154" s="200"/>
      <c r="C154" s="201"/>
      <c r="D154" s="200"/>
      <c r="E154" s="200"/>
      <c r="F154" s="200"/>
      <c r="G154" s="200"/>
      <c r="H154" s="200"/>
      <c r="I154" s="200"/>
      <c r="J154" s="202"/>
      <c r="K154" s="203"/>
      <c r="L154" s="202"/>
      <c r="M154" s="202"/>
      <c r="N154" s="202"/>
    </row>
    <row ht="15" r="155" spans="1:14" s="204" customFormat="1">
      <c r="A155" s="199"/>
      <c r="B155" s="200"/>
      <c r="C155" s="201"/>
      <c r="D155" s="200"/>
      <c r="E155" s="200"/>
      <c r="F155" s="200"/>
      <c r="G155" s="200"/>
      <c r="H155" s="200"/>
      <c r="I155" s="200"/>
      <c r="J155" s="202"/>
      <c r="K155" s="203"/>
      <c r="L155" s="202"/>
      <c r="M155" s="202"/>
      <c r="N155" s="202"/>
    </row>
    <row ht="15" r="156" spans="1:14" s="204" customFormat="1">
      <c r="A156" s="199"/>
      <c r="B156" s="200"/>
      <c r="C156" s="201"/>
      <c r="D156" s="200"/>
      <c r="E156" s="200"/>
      <c r="F156" s="200"/>
      <c r="G156" s="200"/>
      <c r="H156" s="200"/>
      <c r="I156" s="200"/>
      <c r="J156" s="202"/>
      <c r="K156" s="203"/>
      <c r="L156" s="202"/>
      <c r="M156" s="202"/>
      <c r="N156" s="202"/>
    </row>
    <row ht="15" r="157" spans="1:14" s="204" customFormat="1">
      <c r="A157" s="199"/>
      <c r="B157" s="200"/>
      <c r="C157" s="201"/>
      <c r="D157" s="200"/>
      <c r="E157" s="200"/>
      <c r="F157" s="200"/>
      <c r="G157" s="200"/>
      <c r="H157" s="200"/>
      <c r="I157" s="200"/>
      <c r="J157" s="202"/>
      <c r="K157" s="203"/>
      <c r="L157" s="202"/>
      <c r="M157" s="202"/>
      <c r="N157" s="202"/>
    </row>
    <row ht="15" r="158" spans="1:14" s="204" customFormat="1">
      <c r="A158" s="199"/>
      <c r="B158" s="200"/>
      <c r="C158" s="201"/>
      <c r="D158" s="200"/>
      <c r="E158" s="200"/>
      <c r="F158" s="200"/>
      <c r="G158" s="200"/>
      <c r="H158" s="200"/>
      <c r="I158" s="200"/>
      <c r="J158" s="202"/>
      <c r="K158" s="203"/>
      <c r="L158" s="202"/>
      <c r="M158" s="202"/>
      <c r="N158" s="202"/>
    </row>
    <row ht="15" r="159" spans="1:14" s="204" customFormat="1">
      <c r="A159" s="199"/>
      <c r="B159" s="200"/>
      <c r="C159" s="201"/>
      <c r="D159" s="200"/>
      <c r="E159" s="200"/>
      <c r="F159" s="200"/>
      <c r="G159" s="200"/>
      <c r="H159" s="200"/>
      <c r="I159" s="200"/>
      <c r="J159" s="202"/>
      <c r="K159" s="203"/>
      <c r="L159" s="202"/>
      <c r="M159" s="202"/>
      <c r="N159" s="202"/>
    </row>
    <row ht="15" r="160" spans="1:14" s="204" customFormat="1">
      <c r="A160" s="199"/>
      <c r="B160" s="200"/>
      <c r="C160" s="201"/>
      <c r="D160" s="200"/>
      <c r="E160" s="200"/>
      <c r="F160" s="200"/>
      <c r="G160" s="200"/>
      <c r="H160" s="200"/>
      <c r="I160" s="200"/>
      <c r="J160" s="202"/>
      <c r="K160" s="203"/>
      <c r="L160" s="202"/>
      <c r="M160" s="202"/>
      <c r="N160" s="202"/>
    </row>
    <row ht="15" r="161" spans="1:14" s="204" customFormat="1">
      <c r="A161" s="199"/>
      <c r="B161" s="200"/>
      <c r="C161" s="201"/>
      <c r="D161" s="200"/>
      <c r="E161" s="200"/>
      <c r="F161" s="200"/>
      <c r="G161" s="200"/>
      <c r="H161" s="200"/>
      <c r="I161" s="200"/>
      <c r="J161" s="202"/>
      <c r="K161" s="203"/>
      <c r="L161" s="202"/>
      <c r="M161" s="202"/>
      <c r="N161" s="202"/>
    </row>
    <row ht="15" r="162" spans="1:14" s="204" customFormat="1">
      <c r="A162" s="199"/>
      <c r="B162" s="200"/>
      <c r="C162" s="201"/>
      <c r="D162" s="200"/>
      <c r="E162" s="200"/>
      <c r="F162" s="200"/>
      <c r="G162" s="200"/>
      <c r="H162" s="200"/>
      <c r="I162" s="200"/>
      <c r="J162" s="202"/>
      <c r="K162" s="203"/>
      <c r="L162" s="202"/>
      <c r="M162" s="202"/>
      <c r="N162" s="202"/>
    </row>
    <row ht="15" r="163" spans="1:14" s="204" customFormat="1">
      <c r="A163" s="199"/>
      <c r="B163" s="200"/>
      <c r="C163" s="201"/>
      <c r="D163" s="200"/>
      <c r="E163" s="200"/>
      <c r="F163" s="200"/>
      <c r="G163" s="200"/>
      <c r="H163" s="200"/>
      <c r="I163" s="200"/>
      <c r="J163" s="202"/>
      <c r="K163" s="203"/>
      <c r="L163" s="202"/>
      <c r="M163" s="202"/>
      <c r="N163" s="202"/>
    </row>
    <row ht="15" r="164" spans="1:14" s="204" customFormat="1">
      <c r="A164" s="199"/>
      <c r="B164" s="200"/>
      <c r="C164" s="201"/>
      <c r="D164" s="200"/>
      <c r="E164" s="200"/>
      <c r="F164" s="200"/>
      <c r="G164" s="200"/>
      <c r="H164" s="200"/>
      <c r="I164" s="200"/>
      <c r="J164" s="202"/>
      <c r="K164" s="203"/>
      <c r="L164" s="202"/>
      <c r="M164" s="202"/>
      <c r="N164" s="202"/>
    </row>
    <row ht="15" r="165" spans="1:14" s="204" customFormat="1">
      <c r="A165" s="199"/>
      <c r="B165" s="200"/>
      <c r="C165" s="201"/>
      <c r="D165" s="200"/>
      <c r="E165" s="200"/>
      <c r="F165" s="200"/>
      <c r="G165" s="200"/>
      <c r="H165" s="200"/>
      <c r="I165" s="200"/>
      <c r="J165" s="202"/>
      <c r="K165" s="203"/>
      <c r="L165" s="202"/>
      <c r="M165" s="202"/>
      <c r="N165" s="202"/>
    </row>
    <row ht="15" r="166" spans="1:14" s="208" customFormat="1">
      <c r="A166" s="199"/>
      <c r="B166" s="234"/>
      <c r="C166" s="235"/>
      <c r="D166" s="234"/>
      <c r="E166" s="234"/>
      <c r="F166" s="234"/>
      <c r="G166" s="234"/>
      <c r="H166" s="234"/>
      <c r="I166" s="234"/>
      <c r="J166" s="205"/>
      <c r="K166" s="203"/>
      <c r="L166" s="205"/>
      <c r="M166" s="205"/>
      <c r="N166" s="205"/>
    </row>
    <row ht="15" r="167" spans="1:14" s="208" customFormat="1">
      <c r="A167" s="199"/>
      <c r="B167" s="234"/>
      <c r="C167" s="235"/>
      <c r="D167" s="234"/>
      <c r="E167" s="234"/>
      <c r="F167" s="234"/>
      <c r="G167" s="234"/>
      <c r="H167" s="234"/>
      <c r="I167" s="234"/>
      <c r="J167" s="205"/>
      <c r="K167" s="203"/>
      <c r="L167" s="205"/>
      <c r="M167" s="205"/>
      <c r="N167" s="205"/>
    </row>
    <row ht="15" r="168" spans="1:14" s="208" customFormat="1">
      <c r="A168" s="199"/>
      <c r="B168" s="234"/>
      <c r="C168" s="235"/>
      <c r="D168" s="234"/>
      <c r="E168" s="234"/>
      <c r="F168" s="234"/>
      <c r="G168" s="234"/>
      <c r="H168" s="234"/>
      <c r="I168" s="234"/>
      <c r="J168" s="205"/>
      <c r="K168" s="203"/>
      <c r="L168" s="205"/>
      <c r="M168" s="205"/>
      <c r="N168" s="205"/>
    </row>
    <row ht="15" r="169" spans="1:14" s="208" customFormat="1">
      <c r="A169" s="199"/>
      <c r="B169" s="234"/>
      <c r="C169" s="235"/>
      <c r="D169" s="234"/>
      <c r="E169" s="234"/>
      <c r="F169" s="234"/>
      <c r="G169" s="234"/>
      <c r="H169" s="234"/>
      <c r="I169" s="234"/>
      <c r="J169" s="205"/>
      <c r="K169" s="203"/>
      <c r="L169" s="205"/>
      <c r="M169" s="205"/>
      <c r="N169" s="205"/>
    </row>
    <row ht="15" r="170" spans="1:14" s="208" customFormat="1">
      <c r="A170" s="199"/>
      <c r="B170" s="234"/>
      <c r="C170" s="235"/>
      <c r="D170" s="234"/>
      <c r="E170" s="234"/>
      <c r="F170" s="234"/>
      <c r="G170" s="234"/>
      <c r="H170" s="234"/>
      <c r="I170" s="234"/>
      <c r="J170" s="205"/>
      <c r="K170" s="203"/>
      <c r="L170" s="205"/>
      <c r="M170" s="205"/>
      <c r="N170" s="205"/>
    </row>
    <row ht="15" r="171" spans="1:14" s="208" customFormat="1">
      <c r="A171" s="199"/>
      <c r="B171" s="234"/>
      <c r="C171" s="235"/>
      <c r="D171" s="234"/>
      <c r="E171" s="234"/>
      <c r="F171" s="234"/>
      <c r="G171" s="234"/>
      <c r="H171" s="234"/>
      <c r="I171" s="234"/>
      <c r="J171" s="205"/>
      <c r="K171" s="203"/>
      <c r="L171" s="205"/>
      <c r="M171" s="205"/>
      <c r="N171" s="205"/>
    </row>
    <row ht="15" r="172" spans="1:14" s="208" customFormat="1">
      <c r="A172" s="199"/>
      <c r="B172" s="234"/>
      <c r="C172" s="235"/>
      <c r="D172" s="234"/>
      <c r="E172" s="234"/>
      <c r="F172" s="234"/>
      <c r="G172" s="234"/>
      <c r="H172" s="234"/>
      <c r="I172" s="234"/>
      <c r="J172" s="205"/>
      <c r="K172" s="203"/>
      <c r="L172" s="205"/>
      <c r="M172" s="205"/>
      <c r="N172" s="205"/>
    </row>
    <row ht="15" r="173" spans="1:14" s="208" customFormat="1">
      <c r="A173" s="199"/>
      <c r="B173" s="234"/>
      <c r="C173" s="235"/>
      <c r="D173" s="234"/>
      <c r="E173" s="234"/>
      <c r="F173" s="234"/>
      <c r="G173" s="234"/>
      <c r="H173" s="234"/>
      <c r="I173" s="234"/>
      <c r="J173" s="205"/>
      <c r="K173" s="203"/>
      <c r="L173" s="205"/>
      <c r="M173" s="205"/>
      <c r="N173" s="205"/>
    </row>
    <row ht="15" r="174" spans="1:14" s="208" customFormat="1">
      <c r="A174" s="199"/>
      <c r="B174" s="234"/>
      <c r="C174" s="235"/>
      <c r="D174" s="234"/>
      <c r="E174" s="234"/>
      <c r="F174" s="234"/>
      <c r="G174" s="234"/>
      <c r="H174" s="234"/>
      <c r="I174" s="234"/>
      <c r="J174" s="205"/>
      <c r="K174" s="203"/>
      <c r="L174" s="205"/>
      <c r="M174" s="205"/>
      <c r="N174" s="205"/>
    </row>
    <row ht="15" r="175" spans="1:14" s="208" customFormat="1">
      <c r="A175" s="199"/>
      <c r="B175" s="234"/>
      <c r="C175" s="235"/>
      <c r="D175" s="234"/>
      <c r="E175" s="234"/>
      <c r="F175" s="234"/>
      <c r="G175" s="234"/>
      <c r="H175" s="234"/>
      <c r="I175" s="234"/>
      <c r="J175" s="205"/>
      <c r="K175" s="203"/>
      <c r="L175" s="205"/>
      <c r="M175" s="205"/>
      <c r="N175" s="205"/>
    </row>
    <row ht="15" r="176" spans="1:14" s="208" customFormat="1">
      <c r="A176" s="199"/>
      <c r="B176" s="234"/>
      <c r="C176" s="235"/>
      <c r="D176" s="234"/>
      <c r="E176" s="234"/>
      <c r="F176" s="234"/>
      <c r="G176" s="234"/>
      <c r="H176" s="234"/>
      <c r="I176" s="234"/>
      <c r="J176" s="205"/>
      <c r="K176" s="203"/>
      <c r="L176" s="205"/>
      <c r="M176" s="205"/>
      <c r="N176" s="205"/>
    </row>
    <row ht="15" r="177" spans="1:14" s="208" customFormat="1">
      <c r="A177" s="199"/>
      <c r="B177" s="234"/>
      <c r="C177" s="235"/>
      <c r="D177" s="234"/>
      <c r="E177" s="234"/>
      <c r="F177" s="234"/>
      <c r="G177" s="234"/>
      <c r="H177" s="234"/>
      <c r="I177" s="234"/>
      <c r="J177" s="205"/>
      <c r="K177" s="203"/>
      <c r="L177" s="205"/>
      <c r="M177" s="205"/>
      <c r="N177" s="205"/>
    </row>
    <row ht="15" r="178" spans="1:14" s="208" customFormat="1">
      <c r="A178" s="199"/>
      <c r="B178" s="234"/>
      <c r="C178" s="235"/>
      <c r="D178" s="234"/>
      <c r="E178" s="234"/>
      <c r="F178" s="234"/>
      <c r="G178" s="234"/>
      <c r="H178" s="234"/>
      <c r="I178" s="234"/>
      <c r="J178" s="205"/>
      <c r="K178" s="203"/>
      <c r="L178" s="205"/>
      <c r="M178" s="205"/>
      <c r="N178" s="205"/>
    </row>
    <row ht="15" r="179" spans="1:14" s="208" customFormat="1">
      <c r="A179" s="199"/>
      <c r="B179" s="234"/>
      <c r="C179" s="235"/>
      <c r="D179" s="234"/>
      <c r="E179" s="234"/>
      <c r="F179" s="234"/>
      <c r="G179" s="234"/>
      <c r="H179" s="234"/>
      <c r="I179" s="234"/>
      <c r="J179" s="205"/>
      <c r="K179" s="203"/>
      <c r="L179" s="205"/>
      <c r="M179" s="205"/>
      <c r="N179" s="205"/>
    </row>
    <row ht="15" r="180" spans="1:14" s="208" customFormat="1">
      <c r="A180" s="199"/>
      <c r="B180" s="234"/>
      <c r="C180" s="235"/>
      <c r="D180" s="234"/>
      <c r="E180" s="234"/>
      <c r="F180" s="234"/>
      <c r="G180" s="234"/>
      <c r="H180" s="234"/>
      <c r="I180" s="234"/>
      <c r="J180" s="205"/>
      <c r="K180" s="203"/>
      <c r="L180" s="205"/>
      <c r="M180" s="205"/>
      <c r="N180" s="205"/>
    </row>
    <row ht="15" r="181" spans="1:14" s="208" customFormat="1">
      <c r="A181" s="199"/>
      <c r="B181" s="234"/>
      <c r="C181" s="235"/>
      <c r="D181" s="234"/>
      <c r="E181" s="234"/>
      <c r="F181" s="234"/>
      <c r="G181" s="234"/>
      <c r="H181" s="234"/>
      <c r="I181" s="234"/>
      <c r="J181" s="205"/>
      <c r="K181" s="203"/>
      <c r="L181" s="205"/>
      <c r="M181" s="205"/>
      <c r="N181" s="205"/>
    </row>
    <row ht="15" r="182" spans="1:14" s="208" customFormat="1">
      <c r="A182" s="199"/>
      <c r="B182" s="236"/>
      <c r="C182" s="237"/>
      <c r="D182" s="234"/>
      <c r="E182" s="236"/>
      <c r="F182" s="236"/>
      <c r="G182" s="236"/>
      <c r="H182" s="236"/>
      <c r="I182" s="236"/>
      <c r="J182" s="210"/>
      <c r="K182" s="238"/>
      <c r="L182" s="210"/>
      <c r="M182" s="210"/>
      <c r="N182" s="210"/>
    </row>
    <row ht="15" r="183" spans="1:14" s="205" customFormat="1">
      <c r="A183" s="199"/>
      <c r="B183" s="234"/>
      <c r="C183" s="234"/>
      <c r="D183" s="234"/>
      <c r="E183" s="234"/>
      <c r="F183" s="234"/>
      <c r="G183" s="234"/>
      <c r="H183" s="234"/>
      <c r="I183" s="234"/>
      <c r="K183" s="203"/>
    </row>
    <row ht="15" r="184" spans="1:14" s="202" customFormat="1">
      <c r="A184" s="199"/>
      <c r="B184" s="200"/>
      <c r="C184" s="200"/>
      <c r="D184" s="200"/>
      <c r="E184" s="200"/>
      <c r="F184" s="200"/>
      <c r="G184" s="200"/>
      <c r="H184" s="200"/>
      <c r="I184" s="200"/>
      <c r="K184" s="202"/>
      <c r="L184" s="202"/>
      <c r="M184" s="202"/>
    </row>
    <row ht="15" r="185" spans="1:14" s="204" customFormat="1">
      <c r="A185" s="199"/>
      <c r="B185" s="200"/>
      <c r="C185" s="201"/>
      <c r="D185" s="200"/>
      <c r="E185" s="200"/>
      <c r="F185" s="200"/>
      <c r="G185" s="200"/>
      <c r="H185" s="200"/>
      <c r="I185" s="200"/>
      <c r="J185" s="202"/>
      <c r="K185" s="202"/>
      <c r="L185" s="202"/>
      <c r="M185" s="202"/>
      <c r="N185" s="202"/>
    </row>
    <row ht="15" r="186" spans="1:14" s="204" customFormat="1">
      <c r="A186" s="199"/>
      <c r="B186" s="200"/>
      <c r="C186" s="201"/>
      <c r="D186" s="200"/>
      <c r="E186" s="200"/>
      <c r="F186" s="200"/>
      <c r="G186" s="200"/>
      <c r="H186" s="200"/>
      <c r="I186" s="200"/>
      <c r="J186" s="202"/>
      <c r="K186" s="202"/>
      <c r="L186" s="202"/>
      <c r="M186" s="202"/>
      <c r="N186" s="202"/>
    </row>
    <row ht="15" r="187" spans="1:14" s="204" customFormat="1">
      <c r="A187" s="199"/>
      <c r="B187" s="200"/>
      <c r="C187" s="201"/>
      <c r="D187" s="200"/>
      <c r="E187" s="200"/>
      <c r="F187" s="200"/>
      <c r="G187" s="200"/>
      <c r="H187" s="200"/>
      <c r="I187" s="200"/>
      <c r="J187" s="202"/>
      <c r="K187" s="202"/>
      <c r="L187" s="202"/>
      <c r="M187" s="202"/>
      <c r="N187" s="202"/>
    </row>
    <row ht="15" r="188" spans="1:14" s="204" customFormat="1">
      <c r="A188" s="199"/>
      <c r="B188" s="200"/>
      <c r="C188" s="201"/>
      <c r="D188" s="200"/>
      <c r="E188" s="200"/>
      <c r="F188" s="200"/>
      <c r="G188" s="200"/>
      <c r="H188" s="200"/>
      <c r="I188" s="200"/>
      <c r="J188" s="202"/>
      <c r="K188" s="202"/>
      <c r="L188" s="202"/>
      <c r="M188" s="202"/>
      <c r="N188" s="202"/>
    </row>
    <row ht="15" r="189" spans="1:14" s="204" customFormat="1">
      <c r="A189" s="199"/>
      <c r="B189" s="200"/>
      <c r="C189" s="201"/>
      <c r="D189" s="200"/>
      <c r="E189" s="200"/>
      <c r="F189" s="200"/>
      <c r="G189" s="200"/>
      <c r="H189" s="200"/>
      <c r="I189" s="200"/>
      <c r="J189" s="202"/>
      <c r="K189" s="202"/>
      <c r="L189" s="202"/>
      <c r="M189" s="202"/>
      <c r="N189" s="202"/>
    </row>
    <row ht="15" r="190" spans="1:14" s="204" customFormat="1">
      <c r="A190" s="199"/>
      <c r="B190" s="200"/>
      <c r="C190" s="201"/>
      <c r="D190" s="200"/>
      <c r="E190" s="200"/>
      <c r="F190" s="200"/>
      <c r="G190" s="200"/>
      <c r="H190" s="200"/>
      <c r="I190" s="200"/>
      <c r="J190" s="202"/>
      <c r="K190" s="202"/>
      <c r="L190" s="202"/>
      <c r="M190" s="202"/>
      <c r="N190" s="202"/>
    </row>
    <row ht="15" r="191" spans="1:14" s="204" customFormat="1">
      <c r="A191" s="199"/>
      <c r="B191" s="200"/>
      <c r="C191" s="201"/>
      <c r="D191" s="200"/>
      <c r="E191" s="200"/>
      <c r="F191" s="200"/>
      <c r="G191" s="200"/>
      <c r="H191" s="200"/>
      <c r="I191" s="200"/>
      <c r="J191" s="202"/>
      <c r="K191" s="202"/>
      <c r="L191" s="202"/>
      <c r="M191" s="202"/>
      <c r="N191" s="202"/>
    </row>
    <row ht="15" r="192" spans="1:14" s="204" customFormat="1">
      <c r="A192" s="199"/>
      <c r="B192" s="200"/>
      <c r="C192" s="201"/>
      <c r="D192" s="200"/>
      <c r="E192" s="200"/>
      <c r="F192" s="200"/>
      <c r="G192" s="200"/>
      <c r="H192" s="200"/>
      <c r="I192" s="200"/>
      <c r="J192" s="202"/>
      <c r="K192" s="202"/>
      <c r="L192" s="202"/>
      <c r="M192" s="202"/>
      <c r="N192" s="202"/>
    </row>
    <row ht="15" r="193" spans="1:14" s="204" customFormat="1">
      <c r="A193" s="199"/>
      <c r="B193" s="200"/>
      <c r="C193" s="201"/>
      <c r="D193" s="200"/>
      <c r="E193" s="200"/>
      <c r="F193" s="200"/>
      <c r="G193" s="200"/>
      <c r="H193" s="200"/>
      <c r="I193" s="200"/>
      <c r="J193" s="202"/>
      <c r="K193" s="202"/>
      <c r="L193" s="202"/>
      <c r="M193" s="202"/>
      <c r="N193" s="202"/>
    </row>
    <row ht="15" r="194" spans="1:14" s="204" customFormat="1">
      <c r="A194" s="199"/>
      <c r="B194" s="200"/>
      <c r="C194" s="201"/>
      <c r="D194" s="200"/>
      <c r="E194" s="200"/>
      <c r="F194" s="200"/>
      <c r="G194" s="200"/>
      <c r="H194" s="200"/>
      <c r="I194" s="200"/>
      <c r="J194" s="202"/>
      <c r="K194" s="202"/>
      <c r="L194" s="202"/>
      <c r="M194" s="202"/>
      <c r="N194" s="202"/>
    </row>
    <row ht="15" r="195" spans="1:14" s="204" customFormat="1">
      <c r="A195" s="199"/>
      <c r="B195" s="200"/>
      <c r="C195" s="201"/>
      <c r="D195" s="200"/>
      <c r="E195" s="200"/>
      <c r="F195" s="200"/>
      <c r="G195" s="200"/>
      <c r="H195" s="200"/>
      <c r="I195" s="200"/>
      <c r="J195" s="202"/>
      <c r="K195" s="202"/>
      <c r="L195" s="202"/>
      <c r="M195" s="202"/>
      <c r="N195" s="202"/>
    </row>
    <row ht="15" r="196" spans="1:14" s="204" customFormat="1">
      <c r="A196" s="199"/>
      <c r="B196" s="200"/>
      <c r="C196" s="201"/>
      <c r="D196" s="200"/>
      <c r="E196" s="200"/>
      <c r="F196" s="200"/>
      <c r="G196" s="200"/>
      <c r="H196" s="200"/>
      <c r="I196" s="200"/>
      <c r="J196" s="202"/>
      <c r="K196" s="202"/>
      <c r="L196" s="202"/>
      <c r="M196" s="202"/>
      <c r="N196" s="202"/>
    </row>
    <row ht="15" r="197" spans="1:14" s="204" customFormat="1">
      <c r="A197" s="199"/>
      <c r="B197" s="200"/>
      <c r="C197" s="201"/>
      <c r="D197" s="200"/>
      <c r="E197" s="200"/>
      <c r="F197" s="200"/>
      <c r="G197" s="200"/>
      <c r="H197" s="200"/>
      <c r="I197" s="200"/>
      <c r="J197" s="202"/>
      <c r="K197" s="202"/>
      <c r="L197" s="202"/>
      <c r="M197" s="202"/>
      <c r="N197" s="202"/>
    </row>
    <row ht="15" r="198" spans="1:14" s="204" customFormat="1">
      <c r="A198" s="199"/>
      <c r="B198" s="200"/>
      <c r="C198" s="201"/>
      <c r="D198" s="200"/>
      <c r="E198" s="200"/>
      <c r="F198" s="200"/>
      <c r="G198" s="200"/>
      <c r="H198" s="200"/>
      <c r="I198" s="200"/>
      <c r="J198" s="202"/>
      <c r="K198" s="202"/>
      <c r="L198" s="202"/>
      <c r="M198" s="202"/>
      <c r="N198" s="202"/>
    </row>
    <row ht="15" r="199" spans="1:14" s="204" customFormat="1">
      <c r="A199" s="199"/>
      <c r="B199" s="200"/>
      <c r="C199" s="201"/>
      <c r="D199" s="200"/>
      <c r="E199" s="200"/>
      <c r="F199" s="200"/>
      <c r="G199" s="200"/>
      <c r="H199" s="200"/>
      <c r="I199" s="200"/>
      <c r="J199" s="202"/>
      <c r="K199" s="202"/>
      <c r="L199" s="202"/>
      <c r="M199" s="202"/>
      <c r="N199" s="202"/>
    </row>
    <row ht="15" r="200" spans="1:14" s="204" customFormat="1">
      <c r="A200" s="199"/>
      <c r="B200" s="200"/>
      <c r="C200" s="201"/>
      <c r="D200" s="200"/>
      <c r="E200" s="200"/>
      <c r="F200" s="200"/>
      <c r="G200" s="200"/>
      <c r="H200" s="200"/>
      <c r="I200" s="200"/>
      <c r="J200" s="202"/>
      <c r="K200" s="202"/>
      <c r="L200" s="202"/>
      <c r="M200" s="202"/>
      <c r="N200" s="202"/>
    </row>
    <row ht="15" r="201" spans="1:14" s="204" customFormat="1">
      <c r="A201" s="199"/>
      <c r="B201" s="200"/>
      <c r="C201" s="201"/>
      <c r="D201" s="200"/>
      <c r="E201" s="200"/>
      <c r="F201" s="200"/>
      <c r="G201" s="200"/>
      <c r="H201" s="200"/>
      <c r="I201" s="200"/>
      <c r="J201" s="202"/>
      <c r="K201" s="202"/>
      <c r="L201" s="202"/>
      <c r="M201" s="202"/>
      <c r="N201" s="202"/>
    </row>
    <row ht="15" r="202" spans="1:14" s="204" customFormat="1">
      <c r="A202" s="199"/>
      <c r="B202" s="200"/>
      <c r="C202" s="201"/>
      <c r="D202" s="200"/>
      <c r="E202" s="200"/>
      <c r="F202" s="200"/>
      <c r="G202" s="200"/>
      <c r="H202" s="200"/>
      <c r="I202" s="200"/>
      <c r="J202" s="202"/>
      <c r="K202" s="202"/>
      <c r="L202" s="202"/>
      <c r="M202" s="202"/>
      <c r="N202" s="202"/>
    </row>
    <row ht="15" r="203" spans="1:14" s="204" customFormat="1">
      <c r="A203" s="199"/>
      <c r="B203" s="200"/>
      <c r="C203" s="201"/>
      <c r="D203" s="200"/>
      <c r="E203" s="200"/>
      <c r="F203" s="200"/>
      <c r="G203" s="200"/>
      <c r="H203" s="200"/>
      <c r="I203" s="200"/>
      <c r="J203" s="202"/>
      <c r="K203" s="202"/>
      <c r="L203" s="202"/>
      <c r="M203" s="202"/>
      <c r="N203" s="202"/>
    </row>
    <row ht="15" r="204" spans="1:14" s="204" customFormat="1">
      <c r="A204" s="199"/>
      <c r="B204" s="200"/>
      <c r="C204" s="201"/>
      <c r="D204" s="200"/>
      <c r="E204" s="200"/>
      <c r="F204" s="200"/>
      <c r="G204" s="200"/>
      <c r="H204" s="200"/>
      <c r="I204" s="200"/>
      <c r="J204" s="202"/>
      <c r="K204" s="202"/>
      <c r="L204" s="202"/>
      <c r="M204" s="202"/>
      <c r="N204" s="202"/>
    </row>
    <row ht="15" r="205" spans="1:14" s="204" customFormat="1">
      <c r="A205" s="199"/>
      <c r="B205" s="200"/>
      <c r="C205" s="201"/>
      <c r="D205" s="200"/>
      <c r="E205" s="200"/>
      <c r="F205" s="200"/>
      <c r="G205" s="200"/>
      <c r="H205" s="200"/>
      <c r="I205" s="200"/>
      <c r="J205" s="202"/>
      <c r="K205" s="202"/>
      <c r="L205" s="202"/>
      <c r="M205" s="202"/>
      <c r="N205" s="202"/>
    </row>
    <row ht="15" r="206" spans="1:14" s="204" customFormat="1">
      <c r="A206" s="199"/>
      <c r="B206" s="200"/>
      <c r="C206" s="201"/>
      <c r="D206" s="200"/>
      <c r="E206" s="200"/>
      <c r="F206" s="200"/>
      <c r="G206" s="200"/>
      <c r="H206" s="200"/>
      <c r="I206" s="200"/>
      <c r="J206" s="202"/>
      <c r="K206" s="202"/>
      <c r="L206" s="202"/>
      <c r="M206" s="202"/>
      <c r="N206" s="202"/>
    </row>
    <row ht="15" r="207" spans="1:14" s="204" customFormat="1">
      <c r="A207" s="199"/>
      <c r="B207" s="200"/>
      <c r="C207" s="201"/>
      <c r="D207" s="200"/>
      <c r="E207" s="200"/>
      <c r="F207" s="200"/>
      <c r="G207" s="200"/>
      <c r="H207" s="200"/>
      <c r="I207" s="200"/>
      <c r="J207" s="202"/>
      <c r="K207" s="202"/>
      <c r="L207" s="202"/>
      <c r="M207" s="202"/>
      <c r="N207" s="202"/>
    </row>
    <row ht="15" r="208" spans="1:14" s="204" customFormat="1">
      <c r="A208" s="199"/>
      <c r="B208" s="200"/>
      <c r="C208" s="201"/>
      <c r="D208" s="200"/>
      <c r="E208" s="200"/>
      <c r="F208" s="200"/>
      <c r="G208" s="200"/>
      <c r="H208" s="200"/>
      <c r="I208" s="200"/>
      <c r="J208" s="202"/>
      <c r="K208" s="202"/>
      <c r="L208" s="202"/>
      <c r="M208" s="202"/>
      <c r="N208" s="202"/>
    </row>
    <row ht="15" r="209" spans="1:14" s="204" customFormat="1">
      <c r="A209" s="199"/>
      <c r="B209" s="200"/>
      <c r="C209" s="201"/>
      <c r="D209" s="200"/>
      <c r="E209" s="200"/>
      <c r="F209" s="200"/>
      <c r="G209" s="200"/>
      <c r="H209" s="200"/>
      <c r="I209" s="200"/>
      <c r="J209" s="202"/>
      <c r="K209" s="202"/>
      <c r="L209" s="202"/>
      <c r="M209" s="202"/>
      <c r="N209" s="202"/>
    </row>
    <row ht="15" r="210" spans="1:14" s="204" customFormat="1">
      <c r="A210" s="199"/>
      <c r="B210" s="200"/>
      <c r="C210" s="201"/>
      <c r="D210" s="200"/>
      <c r="E210" s="200"/>
      <c r="F210" s="200"/>
      <c r="G210" s="200"/>
      <c r="H210" s="200"/>
      <c r="I210" s="200"/>
      <c r="J210" s="202"/>
      <c r="K210" s="202"/>
      <c r="L210" s="202"/>
      <c r="M210" s="202"/>
      <c r="N210" s="202"/>
    </row>
    <row ht="15" r="211" spans="1:14" s="204" customFormat="1">
      <c r="A211" s="199"/>
      <c r="B211" s="200"/>
      <c r="C211" s="201"/>
      <c r="D211" s="200"/>
      <c r="E211" s="200"/>
      <c r="F211" s="200"/>
      <c r="G211" s="200"/>
      <c r="H211" s="200"/>
      <c r="I211" s="200"/>
      <c r="J211" s="202"/>
      <c r="K211" s="202"/>
      <c r="L211" s="202"/>
      <c r="M211" s="202"/>
      <c r="N211" s="202"/>
    </row>
    <row ht="15" r="212" spans="1:14" s="204" customFormat="1">
      <c r="A212" s="199"/>
      <c r="B212" s="200"/>
      <c r="C212" s="201"/>
      <c r="D212" s="200"/>
      <c r="E212" s="200"/>
      <c r="F212" s="200"/>
      <c r="G212" s="200"/>
      <c r="H212" s="200"/>
      <c r="I212" s="200"/>
      <c r="J212" s="202"/>
      <c r="K212" s="202"/>
      <c r="L212" s="202"/>
      <c r="M212" s="202"/>
      <c r="N212" s="202"/>
    </row>
    <row ht="15" r="213" spans="1:14" s="204" customFormat="1">
      <c r="A213" s="199"/>
      <c r="B213" s="200"/>
      <c r="C213" s="201"/>
      <c r="D213" s="200"/>
      <c r="E213" s="200"/>
      <c r="F213" s="200"/>
      <c r="G213" s="200"/>
      <c r="H213" s="200"/>
      <c r="I213" s="200"/>
      <c r="J213" s="202"/>
      <c r="K213" s="202"/>
      <c r="L213" s="202"/>
      <c r="M213" s="202"/>
      <c r="N213" s="202"/>
    </row>
    <row ht="15" r="214" spans="1:14" s="204" customFormat="1">
      <c r="A214" s="199"/>
      <c r="B214" s="200"/>
      <c r="C214" s="201"/>
      <c r="D214" s="200"/>
      <c r="E214" s="200"/>
      <c r="F214" s="200"/>
      <c r="G214" s="200"/>
      <c r="H214" s="200"/>
      <c r="I214" s="200"/>
      <c r="J214" s="202"/>
      <c r="K214" s="202"/>
      <c r="L214" s="202"/>
      <c r="M214" s="202"/>
      <c r="N214" s="202"/>
    </row>
    <row ht="15" r="215" spans="1:14" s="204" customFormat="1">
      <c r="A215" s="199"/>
      <c r="B215" s="200"/>
      <c r="C215" s="201"/>
      <c r="D215" s="200"/>
      <c r="E215" s="200"/>
      <c r="F215" s="200"/>
      <c r="G215" s="200"/>
      <c r="H215" s="200"/>
      <c r="I215" s="200"/>
      <c r="J215" s="202"/>
      <c r="K215" s="202"/>
      <c r="L215" s="202"/>
      <c r="M215" s="202"/>
      <c r="N215" s="202"/>
    </row>
    <row ht="15" r="216" spans="1:14" s="204" customFormat="1">
      <c r="A216" s="199"/>
      <c r="B216" s="200"/>
      <c r="C216" s="201"/>
      <c r="D216" s="200"/>
      <c r="E216" s="200"/>
      <c r="F216" s="200"/>
      <c r="G216" s="200"/>
      <c r="H216" s="200"/>
      <c r="I216" s="200"/>
      <c r="J216" s="202"/>
      <c r="K216" s="202"/>
      <c r="L216" s="202"/>
      <c r="M216" s="202"/>
      <c r="N216" s="202"/>
    </row>
    <row ht="15" r="217" spans="1:14" s="204" customFormat="1">
      <c r="A217" s="199"/>
      <c r="B217" s="200"/>
      <c r="C217" s="201"/>
      <c r="D217" s="200"/>
      <c r="E217" s="200"/>
      <c r="F217" s="200"/>
      <c r="G217" s="200"/>
      <c r="H217" s="200"/>
      <c r="I217" s="200"/>
      <c r="J217" s="202"/>
      <c r="K217" s="202"/>
      <c r="L217" s="202"/>
      <c r="M217" s="202"/>
      <c r="N217" s="202"/>
    </row>
    <row ht="15" r="218" spans="1:14" s="204" customFormat="1">
      <c r="A218" s="199"/>
      <c r="B218" s="200"/>
      <c r="C218" s="201"/>
      <c r="D218" s="200"/>
      <c r="E218" s="200"/>
      <c r="F218" s="200"/>
      <c r="G218" s="200"/>
      <c r="H218" s="200"/>
      <c r="I218" s="200"/>
      <c r="J218" s="202"/>
      <c r="K218" s="202"/>
      <c r="L218" s="202"/>
      <c r="M218" s="202"/>
      <c r="N218" s="202"/>
    </row>
    <row ht="15" r="219" spans="1:14" s="204" customFormat="1">
      <c r="A219" s="199"/>
      <c r="B219" s="200"/>
      <c r="C219" s="201"/>
      <c r="D219" s="200"/>
      <c r="E219" s="200"/>
      <c r="F219" s="200"/>
      <c r="G219" s="200"/>
      <c r="H219" s="200"/>
      <c r="I219" s="200"/>
      <c r="J219" s="202"/>
      <c r="K219" s="202"/>
      <c r="L219" s="202"/>
      <c r="M219" s="202"/>
      <c r="N219" s="202"/>
    </row>
    <row ht="15" r="220" spans="1:14" s="204" customFormat="1">
      <c r="A220" s="199"/>
      <c r="B220" s="200"/>
      <c r="C220" s="201"/>
      <c r="D220" s="200"/>
      <c r="E220" s="200"/>
      <c r="F220" s="200"/>
      <c r="G220" s="200"/>
      <c r="H220" s="200"/>
      <c r="I220" s="200"/>
      <c r="J220" s="202"/>
      <c r="K220" s="202"/>
      <c r="L220" s="202"/>
      <c r="M220" s="202"/>
      <c r="N220" s="202"/>
    </row>
    <row ht="15" r="221" spans="1:14" s="204" customFormat="1">
      <c r="A221" s="199"/>
      <c r="B221" s="200"/>
      <c r="C221" s="201"/>
      <c r="D221" s="200"/>
      <c r="E221" s="200"/>
      <c r="F221" s="200"/>
      <c r="G221" s="200"/>
      <c r="H221" s="200"/>
      <c r="I221" s="200"/>
      <c r="J221" s="202"/>
      <c r="K221" s="202"/>
      <c r="L221" s="202"/>
      <c r="M221" s="202"/>
      <c r="N221" s="202"/>
    </row>
    <row ht="15" r="222" spans="1:14" s="204" customFormat="1">
      <c r="A222" s="199"/>
      <c r="B222" s="200"/>
      <c r="C222" s="201"/>
      <c r="D222" s="200"/>
      <c r="E222" s="200"/>
      <c r="F222" s="200"/>
      <c r="G222" s="200"/>
      <c r="H222" s="200"/>
      <c r="I222" s="200"/>
      <c r="J222" s="202"/>
      <c r="K222" s="202"/>
      <c r="L222" s="202"/>
      <c r="M222" s="202"/>
      <c r="N222" s="202"/>
    </row>
    <row ht="15" r="223" spans="1:14" s="204" customFormat="1">
      <c r="A223" s="199"/>
      <c r="B223" s="200"/>
      <c r="C223" s="201"/>
      <c r="D223" s="200"/>
      <c r="E223" s="200"/>
      <c r="F223" s="200"/>
      <c r="G223" s="200"/>
      <c r="H223" s="200"/>
      <c r="I223" s="200"/>
      <c r="J223" s="202"/>
      <c r="K223" s="202"/>
      <c r="L223" s="202"/>
      <c r="M223" s="202"/>
      <c r="N223" s="202"/>
    </row>
    <row ht="15" r="224" spans="1:14" s="204" customFormat="1">
      <c r="A224" s="199"/>
      <c r="B224" s="200"/>
      <c r="C224" s="201"/>
      <c r="D224" s="200"/>
      <c r="E224" s="200"/>
      <c r="F224" s="200"/>
      <c r="G224" s="200"/>
      <c r="H224" s="200"/>
      <c r="I224" s="200"/>
      <c r="J224" s="202"/>
      <c r="K224" s="202"/>
      <c r="L224" s="202"/>
      <c r="M224" s="202"/>
      <c r="N224" s="202"/>
    </row>
    <row ht="15" r="225" spans="1:14" s="204" customFormat="1">
      <c r="A225" s="199"/>
      <c r="B225" s="200"/>
      <c r="C225" s="201"/>
      <c r="D225" s="200"/>
      <c r="E225" s="200"/>
      <c r="F225" s="200"/>
      <c r="G225" s="200"/>
      <c r="H225" s="200"/>
      <c r="I225" s="200"/>
      <c r="J225" s="202"/>
      <c r="K225" s="202"/>
      <c r="L225" s="202"/>
      <c r="M225" s="202"/>
      <c r="N225" s="202"/>
    </row>
    <row ht="15" r="226" spans="1:14" s="204" customFormat="1">
      <c r="A226" s="199"/>
      <c r="B226" s="200"/>
      <c r="C226" s="201"/>
      <c r="D226" s="200"/>
      <c r="E226" s="200"/>
      <c r="F226" s="200"/>
      <c r="G226" s="200"/>
      <c r="H226" s="200"/>
      <c r="I226" s="200"/>
      <c r="J226" s="202"/>
      <c r="K226" s="202"/>
      <c r="L226" s="202"/>
      <c r="M226" s="202"/>
      <c r="N226" s="202"/>
    </row>
    <row ht="15" r="227" spans="1:14" s="204" customFormat="1">
      <c r="A227" s="199"/>
      <c r="B227" s="200"/>
      <c r="C227" s="201"/>
      <c r="D227" s="200"/>
      <c r="E227" s="200"/>
      <c r="F227" s="200"/>
      <c r="G227" s="200"/>
      <c r="H227" s="200"/>
      <c r="I227" s="200"/>
      <c r="J227" s="202"/>
      <c r="K227" s="202"/>
      <c r="L227" s="202"/>
      <c r="M227" s="202"/>
      <c r="N227" s="202"/>
    </row>
    <row ht="15" r="228" spans="1:14" s="204" customFormat="1">
      <c r="A228" s="199"/>
      <c r="B228" s="200"/>
      <c r="C228" s="201"/>
      <c r="D228" s="200"/>
      <c r="E228" s="200"/>
      <c r="F228" s="200"/>
      <c r="G228" s="200"/>
      <c r="H228" s="200"/>
      <c r="I228" s="200"/>
      <c r="J228" s="202"/>
      <c r="K228" s="202"/>
      <c r="L228" s="202"/>
      <c r="M228" s="202"/>
      <c r="N228" s="202"/>
    </row>
    <row ht="15" r="229" spans="1:14" s="204" customFormat="1">
      <c r="A229" s="199"/>
      <c r="B229" s="200"/>
      <c r="C229" s="201"/>
      <c r="D229" s="200"/>
      <c r="E229" s="200"/>
      <c r="F229" s="200"/>
      <c r="G229" s="200"/>
      <c r="H229" s="200"/>
      <c r="I229" s="200"/>
      <c r="J229" s="202"/>
      <c r="K229" s="202"/>
      <c r="L229" s="202"/>
      <c r="M229" s="202"/>
      <c r="N229" s="202"/>
    </row>
    <row ht="15" r="230" spans="1:14" s="204" customFormat="1">
      <c r="A230" s="199"/>
      <c r="B230" s="200"/>
      <c r="C230" s="201"/>
      <c r="D230" s="200"/>
      <c r="E230" s="200"/>
      <c r="F230" s="200"/>
      <c r="G230" s="200"/>
      <c r="H230" s="200"/>
      <c r="I230" s="200"/>
      <c r="J230" s="202"/>
      <c r="K230" s="202"/>
      <c r="L230" s="202"/>
      <c r="M230" s="202"/>
      <c r="N230" s="202"/>
    </row>
    <row ht="15" r="231" spans="1:14" s="204" customFormat="1">
      <c r="A231" s="199"/>
      <c r="B231" s="200"/>
      <c r="C231" s="201"/>
      <c r="D231" s="200"/>
      <c r="E231" s="200"/>
      <c r="F231" s="200"/>
      <c r="G231" s="200"/>
      <c r="H231" s="200"/>
      <c r="I231" s="200"/>
      <c r="J231" s="202"/>
      <c r="K231" s="202"/>
      <c r="L231" s="202"/>
      <c r="M231" s="202"/>
      <c r="N231" s="202"/>
    </row>
    <row ht="15" r="232" spans="1:14" s="204" customFormat="1">
      <c r="A232" s="199"/>
      <c r="B232" s="200"/>
      <c r="C232" s="201"/>
      <c r="D232" s="200"/>
      <c r="E232" s="200"/>
      <c r="F232" s="200"/>
      <c r="G232" s="200"/>
      <c r="H232" s="200"/>
      <c r="I232" s="200"/>
      <c r="J232" s="202"/>
      <c r="K232" s="202"/>
      <c r="L232" s="202"/>
      <c r="M232" s="202"/>
      <c r="N232" s="202"/>
    </row>
    <row ht="15" r="233" spans="1:14" s="204" customFormat="1">
      <c r="A233" s="199"/>
      <c r="B233" s="200"/>
      <c r="C233" s="201"/>
      <c r="D233" s="200"/>
      <c r="E233" s="200"/>
      <c r="F233" s="200"/>
      <c r="G233" s="200"/>
      <c r="H233" s="200"/>
      <c r="I233" s="200"/>
      <c r="J233" s="202"/>
      <c r="K233" s="202"/>
      <c r="L233" s="202"/>
      <c r="M233" s="202"/>
      <c r="N233" s="202"/>
    </row>
    <row ht="15" r="234" spans="1:14" s="204" customFormat="1">
      <c r="A234" s="199"/>
      <c r="B234" s="200"/>
      <c r="C234" s="201"/>
      <c r="D234" s="200"/>
      <c r="E234" s="200"/>
      <c r="F234" s="200"/>
      <c r="G234" s="200"/>
      <c r="H234" s="200"/>
      <c r="I234" s="200"/>
      <c r="J234" s="202"/>
      <c r="K234" s="202"/>
      <c r="L234" s="202"/>
      <c r="M234" s="202"/>
      <c r="N234" s="202"/>
    </row>
    <row ht="15" r="235" spans="1:14" s="204" customFormat="1">
      <c r="A235" s="199"/>
      <c r="B235" s="200"/>
      <c r="C235" s="201"/>
      <c r="D235" s="200"/>
      <c r="E235" s="200"/>
      <c r="F235" s="200"/>
      <c r="G235" s="200"/>
      <c r="H235" s="200"/>
      <c r="I235" s="200"/>
      <c r="J235" s="202"/>
      <c r="K235" s="202"/>
      <c r="L235" s="202"/>
      <c r="M235" s="202"/>
      <c r="N235" s="202"/>
    </row>
    <row ht="15" r="236" spans="1:14" s="204" customFormat="1">
      <c r="A236" s="199"/>
      <c r="B236" s="200"/>
      <c r="C236" s="201"/>
      <c r="D236" s="200"/>
      <c r="E236" s="200"/>
      <c r="F236" s="200"/>
      <c r="G236" s="200"/>
      <c r="H236" s="200"/>
      <c r="I236" s="200"/>
      <c r="J236" s="202"/>
      <c r="K236" s="202"/>
      <c r="L236" s="202"/>
      <c r="M236" s="202"/>
      <c r="N236" s="202"/>
    </row>
    <row ht="15" r="237" spans="1:14" s="204" customFormat="1">
      <c r="A237" s="199"/>
      <c r="B237" s="200"/>
      <c r="C237" s="201"/>
      <c r="D237" s="200"/>
      <c r="E237" s="200"/>
      <c r="F237" s="200"/>
      <c r="G237" s="200"/>
      <c r="H237" s="200"/>
      <c r="I237" s="200"/>
      <c r="J237" s="202"/>
      <c r="K237" s="202"/>
      <c r="L237" s="202"/>
      <c r="M237" s="202"/>
      <c r="N237" s="202"/>
    </row>
    <row ht="15" r="238" spans="1:14" s="204" customFormat="1">
      <c r="A238" s="199"/>
      <c r="B238" s="200"/>
      <c r="C238" s="201"/>
      <c r="D238" s="200"/>
      <c r="E238" s="200"/>
      <c r="F238" s="200"/>
      <c r="G238" s="200"/>
      <c r="H238" s="200"/>
      <c r="I238" s="200"/>
      <c r="J238" s="202"/>
      <c r="K238" s="202"/>
      <c r="L238" s="202"/>
      <c r="M238" s="202"/>
      <c r="N238" s="202"/>
    </row>
    <row ht="15" r="239" spans="1:14" s="204" customFormat="1">
      <c r="A239" s="199"/>
      <c r="B239" s="200"/>
      <c r="C239" s="201"/>
      <c r="D239" s="200"/>
      <c r="E239" s="200"/>
      <c r="F239" s="200"/>
      <c r="G239" s="200"/>
      <c r="H239" s="200"/>
      <c r="I239" s="200"/>
      <c r="J239" s="202"/>
      <c r="K239" s="202"/>
      <c r="L239" s="202"/>
      <c r="M239" s="202"/>
      <c r="N239" s="202"/>
    </row>
    <row ht="15" r="240" spans="1:14" s="204" customFormat="1">
      <c r="A240" s="199"/>
      <c r="B240" s="200"/>
      <c r="C240" s="201"/>
      <c r="D240" s="200"/>
      <c r="E240" s="200"/>
      <c r="F240" s="200"/>
      <c r="G240" s="200"/>
      <c r="H240" s="200"/>
      <c r="I240" s="200"/>
      <c r="J240" s="202"/>
      <c r="K240" s="202"/>
      <c r="L240" s="202"/>
      <c r="M240" s="202"/>
      <c r="N240" s="202"/>
    </row>
    <row ht="15" r="241" spans="1:14" s="204" customFormat="1">
      <c r="A241" s="199"/>
      <c r="B241" s="200"/>
      <c r="C241" s="201"/>
      <c r="D241" s="200"/>
      <c r="E241" s="200"/>
      <c r="F241" s="200"/>
      <c r="G241" s="200"/>
      <c r="H241" s="200"/>
      <c r="I241" s="200"/>
      <c r="J241" s="202"/>
      <c r="K241" s="202"/>
      <c r="L241" s="202"/>
      <c r="M241" s="202"/>
      <c r="N241" s="202"/>
    </row>
    <row ht="15" r="242" spans="1:14" s="204" customFormat="1">
      <c r="A242" s="199"/>
      <c r="B242" s="200"/>
      <c r="C242" s="201"/>
      <c r="D242" s="200"/>
      <c r="E242" s="200"/>
      <c r="F242" s="200"/>
      <c r="G242" s="200"/>
      <c r="H242" s="200"/>
      <c r="I242" s="200"/>
      <c r="J242" s="202"/>
      <c r="K242" s="202"/>
      <c r="L242" s="202"/>
      <c r="M242" s="202"/>
      <c r="N242" s="202"/>
    </row>
    <row ht="15" r="243" spans="1:14" s="204" customFormat="1">
      <c r="A243" s="199"/>
      <c r="B243" s="200"/>
      <c r="C243" s="201"/>
      <c r="D243" s="200"/>
      <c r="E243" s="200"/>
      <c r="F243" s="200"/>
      <c r="G243" s="200"/>
      <c r="H243" s="200"/>
      <c r="I243" s="200"/>
      <c r="J243" s="202"/>
      <c r="K243" s="202"/>
      <c r="L243" s="202"/>
      <c r="M243" s="202"/>
      <c r="N243" s="202"/>
    </row>
    <row ht="15" r="244" spans="1:14" s="204" customFormat="1">
      <c r="A244" s="199"/>
      <c r="B244" s="200"/>
      <c r="C244" s="201"/>
      <c r="D244" s="200"/>
      <c r="E244" s="200"/>
      <c r="F244" s="200"/>
      <c r="G244" s="200"/>
      <c r="H244" s="200"/>
      <c r="I244" s="200"/>
      <c r="J244" s="202"/>
      <c r="K244" s="202"/>
      <c r="L244" s="202"/>
      <c r="M244" s="202"/>
      <c r="N244" s="202"/>
    </row>
    <row ht="15" r="245" spans="1:14" s="204" customFormat="1">
      <c r="A245" s="199"/>
      <c r="B245" s="200"/>
      <c r="C245" s="201"/>
      <c r="D245" s="200"/>
      <c r="E245" s="200"/>
      <c r="F245" s="200"/>
      <c r="G245" s="200"/>
      <c r="H245" s="200"/>
      <c r="I245" s="200"/>
      <c r="J245" s="202"/>
      <c r="K245" s="202"/>
      <c r="L245" s="202"/>
      <c r="M245" s="202"/>
      <c r="N245" s="202"/>
    </row>
    <row ht="15" r="246" spans="1:14" s="204" customFormat="1">
      <c r="A246" s="199"/>
      <c r="B246" s="200"/>
      <c r="C246" s="201"/>
      <c r="D246" s="200"/>
      <c r="E246" s="200"/>
      <c r="F246" s="200"/>
      <c r="G246" s="200"/>
      <c r="H246" s="200"/>
      <c r="I246" s="200"/>
      <c r="J246" s="202"/>
      <c r="K246" s="202"/>
      <c r="L246" s="202"/>
      <c r="M246" s="202"/>
      <c r="N246" s="202"/>
    </row>
    <row ht="15" r="247" spans="1:14" s="204" customFormat="1">
      <c r="A247" s="199"/>
      <c r="B247" s="200"/>
      <c r="C247" s="201"/>
      <c r="D247" s="200"/>
      <c r="E247" s="200"/>
      <c r="F247" s="200"/>
      <c r="G247" s="200"/>
      <c r="H247" s="200"/>
      <c r="I247" s="200"/>
      <c r="J247" s="202"/>
      <c r="K247" s="202"/>
      <c r="L247" s="202"/>
      <c r="M247" s="202"/>
      <c r="N247" s="202"/>
    </row>
    <row ht="15" r="248" spans="1:14" s="204" customFormat="1">
      <c r="A248" s="199"/>
      <c r="B248" s="200"/>
      <c r="C248" s="201"/>
      <c r="D248" s="200"/>
      <c r="E248" s="200"/>
      <c r="F248" s="200"/>
      <c r="G248" s="200"/>
      <c r="H248" s="200"/>
      <c r="I248" s="200"/>
      <c r="J248" s="202"/>
      <c r="K248" s="202"/>
      <c r="L248" s="202"/>
      <c r="M248" s="202"/>
      <c r="N248" s="202"/>
    </row>
    <row ht="15" r="249" spans="1:14" s="204" customFormat="1">
      <c r="A249" s="199"/>
      <c r="B249" s="200"/>
      <c r="C249" s="201"/>
      <c r="D249" s="200"/>
      <c r="E249" s="200"/>
      <c r="F249" s="200"/>
      <c r="G249" s="200"/>
      <c r="H249" s="200"/>
      <c r="I249" s="200"/>
      <c r="J249" s="202"/>
      <c r="K249" s="202"/>
      <c r="L249" s="202"/>
      <c r="M249" s="202"/>
      <c r="N249" s="202"/>
    </row>
    <row ht="15" r="250" spans="1:14" s="208" customFormat="1">
      <c r="A250" s="199"/>
      <c r="B250" s="234"/>
      <c r="C250" s="201"/>
      <c r="D250" s="200"/>
      <c r="E250" s="200"/>
      <c r="F250" s="200"/>
      <c r="G250" s="200"/>
      <c r="H250" s="200"/>
      <c r="I250" s="200"/>
      <c r="J250" s="205"/>
      <c r="K250" s="205"/>
      <c r="L250" s="205"/>
      <c r="M250" s="205"/>
      <c r="N250" s="205"/>
    </row>
    <row ht="15" r="251" spans="1:14" s="204" customFormat="1">
      <c r="A251" s="199"/>
      <c r="B251" s="200"/>
      <c r="C251" s="235"/>
      <c r="D251" s="234"/>
      <c r="E251" s="234"/>
      <c r="F251" s="234"/>
      <c r="G251" s="234"/>
      <c r="H251" s="234"/>
      <c r="I251" s="234"/>
      <c r="J251" s="202"/>
      <c r="K251" s="202"/>
      <c r="L251" s="202"/>
      <c r="M251" s="202"/>
      <c r="N251" s="202"/>
    </row>
    <row ht="15" r="252" spans="1:14" s="204" customFormat="1">
      <c r="A252" s="199"/>
      <c r="B252" s="200"/>
      <c r="C252" s="201"/>
      <c r="D252" s="200"/>
      <c r="E252" s="200"/>
      <c r="F252" s="200"/>
      <c r="G252" s="200"/>
      <c r="H252" s="200"/>
      <c r="I252" s="200"/>
      <c r="J252" s="202"/>
      <c r="K252" s="202"/>
      <c r="L252" s="202"/>
      <c r="M252" s="202"/>
      <c r="N252" s="202"/>
    </row>
    <row ht="15" r="253" spans="1:14" s="204" customFormat="1">
      <c r="A253" s="199"/>
      <c r="B253" s="200"/>
      <c r="C253" s="201"/>
      <c r="D253" s="200"/>
      <c r="E253" s="200"/>
      <c r="F253" s="200"/>
      <c r="G253" s="200"/>
      <c r="H253" s="200"/>
      <c r="I253" s="200"/>
      <c r="J253" s="202"/>
      <c r="K253" s="202"/>
      <c r="L253" s="202"/>
      <c r="M253" s="202"/>
      <c r="N253" s="202"/>
    </row>
    <row ht="15" r="254" spans="1:14" s="204" customFormat="1">
      <c r="A254" s="199"/>
      <c r="B254" s="200"/>
      <c r="C254" s="201"/>
      <c r="D254" s="200"/>
      <c r="E254" s="200"/>
      <c r="F254" s="200"/>
      <c r="G254" s="200"/>
      <c r="H254" s="200"/>
      <c r="I254" s="200"/>
      <c r="J254" s="202"/>
      <c r="K254" s="202"/>
      <c r="L254" s="202"/>
      <c r="M254" s="202"/>
      <c r="N254" s="202"/>
    </row>
    <row ht="15" r="256" spans="1:14">
      <c r="G256" s="105"/>
      <c r="H256" s="194"/>
    </row>
  </sheetData>
  <mergeCells count="3">
    <mergeCell ref="A1:I1"/>
    <mergeCell ref="A2:I2"/>
    <mergeCell ref="A3:I3"/>
  </mergeCells>
  <conditionalFormatting sqref="B184 B61:B62 B79 B5:B25 B28:B31">
    <cfRule type="duplicateValues" dxfId="210" priority="17"/>
  </conditionalFormatting>
  <conditionalFormatting sqref="B199">
    <cfRule type="duplicateValues" dxfId="209" priority="14"/>
  </conditionalFormatting>
  <conditionalFormatting sqref="B63:B78">
    <cfRule type="duplicateValues" dxfId="208" priority="18"/>
  </conditionalFormatting>
  <conditionalFormatting sqref="B170">
    <cfRule type="duplicateValues" dxfId="207" priority="13"/>
  </conditionalFormatting>
  <conditionalFormatting sqref="B138">
    <cfRule type="duplicateValues" dxfId="206" priority="12"/>
  </conditionalFormatting>
  <conditionalFormatting sqref="B141">
    <cfRule type="duplicateValues" dxfId="205" priority="11"/>
  </conditionalFormatting>
  <conditionalFormatting sqref="B36">
    <cfRule type="duplicateValues" dxfId="204" priority="10"/>
  </conditionalFormatting>
  <conditionalFormatting sqref="B136">
    <cfRule type="duplicateValues" dxfId="203" priority="9"/>
  </conditionalFormatting>
  <conditionalFormatting sqref="B252">
    <cfRule type="duplicateValues" dxfId="202" priority="8"/>
  </conditionalFormatting>
  <conditionalFormatting sqref="B133">
    <cfRule type="duplicateValues" dxfId="201" priority="7"/>
  </conditionalFormatting>
  <conditionalFormatting sqref="B45">
    <cfRule type="duplicateValues" dxfId="200" priority="6"/>
  </conditionalFormatting>
  <conditionalFormatting sqref="B208:B212">
    <cfRule type="duplicateValues" dxfId="199" priority="5"/>
  </conditionalFormatting>
  <conditionalFormatting sqref="B222 B88:B99">
    <cfRule type="duplicateValues" dxfId="198" priority="4"/>
  </conditionalFormatting>
  <conditionalFormatting sqref="B224:B228">
    <cfRule type="duplicateValues" dxfId="197" priority="3"/>
  </conditionalFormatting>
  <conditionalFormatting sqref="B107:B110">
    <cfRule type="duplicateValues" dxfId="196" priority="2"/>
  </conditionalFormatting>
  <conditionalFormatting sqref="B122:B125">
    <cfRule type="duplicateValues" dxfId="195" priority="1"/>
  </conditionalFormatting>
  <conditionalFormatting sqref="B253:B1048576 B137 B111:B121 B201:B207 B184 B168:B169 B1:B35 B50:B59 B61:B62 B79:B87 B139:B140 B142:B165 B37:B44 B46:B47 B245:B251 B134:B135 B213:B221 B223 B229:B239 B242:B243 B100:B106 B126:B132">
    <cfRule type="duplicateValues" dxfId="194" priority="748"/>
  </conditionalFormatting>
  <pageMargins left="0.7" right="0.7" top="0.75" bottom="0.75" header="0.3" footer="0.3"/>
  <pageSetup fitToHeight="0" orientation="landscape" r:id="rId1"/>
  <rowBreaks count="7" manualBreakCount="7">
    <brk id="22" max="8" man="1"/>
    <brk id="43" max="8" man="1"/>
    <brk id="73" max="8" man="1"/>
    <brk id="137" max="8" man="1"/>
    <brk id="157" max="8" man="1"/>
    <brk id="175" max="8" man="1"/>
    <brk id="193" max="8" man="1"/>
  </rowBreaks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E50D-73AB-4A14-91F3-669FEC373830}">
  <sheetPr>
    <pageSetUpPr fitToPage="1"/>
  </sheetPr>
  <sheetViews>
    <sheetView topLeftCell="A382" workbookViewId="0" view="pageBreakPreview" zoomScaleNormal="100" zoomScaleSheetLayoutView="100">
      <selection pane="topLeft" activeCell="C399" sqref="C399"/>
    </sheetView>
  </sheetViews>
  <sheetFormatPr baseColWidth="8" defaultColWidth="7.875" defaultRowHeight="14"/>
  <cols>
    <col min="1" max="1" width="4.25" style="254" customWidth="1"/>
    <col min="2" max="2" width="9.25" style="264" bestFit="1" customWidth="1"/>
    <col min="3" max="3" width="41.125" style="264" customWidth="1"/>
    <col min="4" max="4" width="15.875" style="264" bestFit="1" customWidth="1"/>
    <col min="5" max="5" width="7.875" style="255" customWidth="1"/>
    <col min="6" max="6" width="7.875" style="136" customWidth="1"/>
    <col min="7" max="7" width="13.75" style="136" customWidth="1"/>
    <col min="8" max="8" width="11" style="254" customWidth="1"/>
    <col min="9" max="9" width="17.75" style="267" customWidth="1"/>
    <col min="10" max="10" width="15.125" style="265" customWidth="1"/>
    <col min="11" max="11" width="12.75" style="252" customWidth="1"/>
    <col min="12" max="12" width="9.875" style="136" customWidth="1"/>
    <col min="13" max="13" width="7.875" style="173" customWidth="1"/>
    <col min="14" max="14" width="10.125" style="252" customWidth="1"/>
    <col min="15" max="16384" width="7.875" style="136" customWidth="1"/>
  </cols>
  <sheetData>
    <row ht="24" customHeight="1" r="1" spans="1:19">
      <c r="A1" s="427" t="s">
        <v>1058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</row>
    <row ht="19.5" customHeight="1" r="2" spans="1:19">
      <c r="A2" s="427" t="s">
        <v>737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</row>
    <row ht="23.25" customHeight="1" r="3" spans="1:19">
      <c r="A3" s="427" t="s">
        <v>1243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S3" s="173"/>
    </row>
    <row ht="22.5" customHeight="1" r="4" spans="1:19">
      <c r="A4" s="427" t="s">
        <v>1057</v>
      </c>
      <c r="B4" s="427"/>
      <c r="C4" s="427"/>
      <c r="D4" s="427"/>
      <c r="E4" s="427"/>
      <c r="F4" s="427"/>
      <c r="G4" s="427"/>
      <c r="H4" s="427"/>
      <c r="I4" s="427"/>
      <c r="J4" s="427"/>
      <c r="K4" s="427"/>
      <c r="L4" s="427"/>
      <c r="S4" s="173"/>
    </row>
    <row ht="15.75" r="5" spans="1:19" s="191" customFormat="1">
      <c r="A5" s="249" t="s">
        <v>735</v>
      </c>
      <c r="B5" s="249" t="s">
        <v>1384</v>
      </c>
      <c r="C5" s="249" t="s">
        <v>734</v>
      </c>
      <c r="D5" s="249" t="s">
        <v>1056</v>
      </c>
      <c r="E5" s="249" t="s">
        <v>732</v>
      </c>
      <c r="F5" s="249" t="s">
        <v>731</v>
      </c>
      <c r="G5" s="249" t="s">
        <v>1055</v>
      </c>
      <c r="H5" s="249" t="s">
        <v>1054</v>
      </c>
      <c r="I5" s="249" t="s">
        <v>1053</v>
      </c>
      <c r="J5" s="249" t="s">
        <v>729</v>
      </c>
      <c r="K5" s="249" t="s">
        <v>728</v>
      </c>
      <c r="L5" s="249" t="s">
        <v>727</v>
      </c>
      <c r="M5" s="105"/>
      <c r="N5" s="253"/>
      <c r="S5" s="105"/>
    </row>
    <row ht="18.75" r="6" spans="1:19" s="268" customFormat="1">
      <c r="A6" s="246">
        <v>1</v>
      </c>
      <c r="B6" s="246"/>
      <c r="C6" s="246" t="s">
        <v>1052</v>
      </c>
      <c r="D6" s="246" t="s">
        <v>1038</v>
      </c>
      <c r="E6" s="247">
        <v>14</v>
      </c>
      <c r="F6" s="248">
        <v>30</v>
      </c>
      <c r="G6" s="246">
        <f>E6*F6</f>
        <v>420</v>
      </c>
      <c r="H6" s="246">
        <v>200</v>
      </c>
      <c r="I6" s="247">
        <f>G6+H6</f>
        <v>620</v>
      </c>
      <c r="J6" s="247">
        <f>I6*0.1</f>
        <v>62</v>
      </c>
      <c r="K6" s="248">
        <f>I6*0.9</f>
        <v>558</v>
      </c>
      <c r="L6" s="246" t="s">
        <v>651</v>
      </c>
      <c r="N6" s="269">
        <v>30</v>
      </c>
      <c r="O6" s="270">
        <v>10</v>
      </c>
    </row>
    <row ht="18.75" r="7" spans="1:19" s="268" customFormat="1">
      <c r="A7" s="246">
        <v>2</v>
      </c>
      <c r="B7" s="246"/>
      <c r="C7" s="246" t="s">
        <v>1051</v>
      </c>
      <c r="D7" s="246" t="s">
        <v>1038</v>
      </c>
      <c r="E7" s="247">
        <v>14</v>
      </c>
      <c r="F7" s="248">
        <v>30</v>
      </c>
      <c r="G7" s="246">
        <f>E7*F7</f>
        <v>420</v>
      </c>
      <c r="H7" s="246">
        <v>200</v>
      </c>
      <c r="I7" s="247">
        <f>G7+H7</f>
        <v>620</v>
      </c>
      <c r="J7" s="247">
        <f>I7*0.1</f>
        <v>62</v>
      </c>
      <c r="K7" s="248">
        <f>I7*0.9</f>
        <v>558</v>
      </c>
      <c r="L7" s="246" t="s">
        <v>651</v>
      </c>
      <c r="N7" s="269">
        <v>30</v>
      </c>
      <c r="O7" s="270">
        <v>10</v>
      </c>
    </row>
    <row ht="18.75" r="8" spans="1:19" s="268" customFormat="1">
      <c r="A8" s="246">
        <v>3</v>
      </c>
      <c r="B8" s="246"/>
      <c r="C8" s="246" t="s">
        <v>1050</v>
      </c>
      <c r="D8" s="246" t="s">
        <v>1038</v>
      </c>
      <c r="E8" s="247">
        <v>14</v>
      </c>
      <c r="F8" s="248">
        <v>30</v>
      </c>
      <c r="G8" s="246">
        <f>E8*F8</f>
        <v>420</v>
      </c>
      <c r="H8" s="246">
        <v>200</v>
      </c>
      <c r="I8" s="247">
        <f>G8+H8</f>
        <v>620</v>
      </c>
      <c r="J8" s="247">
        <f>I8*0.1</f>
        <v>62</v>
      </c>
      <c r="K8" s="248">
        <f>I8*0.9</f>
        <v>558</v>
      </c>
      <c r="L8" s="246" t="s">
        <v>651</v>
      </c>
      <c r="N8" s="269">
        <v>30</v>
      </c>
      <c r="O8" s="270">
        <v>10</v>
      </c>
    </row>
    <row ht="18.75" r="9" spans="1:19" s="268" customFormat="1">
      <c r="A9" s="246">
        <v>4</v>
      </c>
      <c r="B9" s="246"/>
      <c r="C9" s="246" t="s">
        <v>1049</v>
      </c>
      <c r="D9" s="246" t="s">
        <v>1038</v>
      </c>
      <c r="E9" s="247">
        <v>14</v>
      </c>
      <c r="F9" s="248">
        <v>30</v>
      </c>
      <c r="G9" s="246">
        <f>E9*F9</f>
        <v>420</v>
      </c>
      <c r="H9" s="246">
        <v>200</v>
      </c>
      <c r="I9" s="247">
        <f>G9+H9</f>
        <v>620</v>
      </c>
      <c r="J9" s="247">
        <f>I9*0.1</f>
        <v>62</v>
      </c>
      <c r="K9" s="248">
        <f>I9*0.9</f>
        <v>558</v>
      </c>
      <c r="L9" s="246" t="s">
        <v>651</v>
      </c>
      <c r="N9" s="269">
        <v>30</v>
      </c>
      <c r="O9" s="270">
        <v>10</v>
      </c>
    </row>
    <row ht="18.75" r="10" spans="1:19" s="268" customFormat="1">
      <c r="A10" s="246">
        <v>5</v>
      </c>
      <c r="B10" s="246"/>
      <c r="C10" s="246" t="s">
        <v>1048</v>
      </c>
      <c r="D10" s="246" t="s">
        <v>1038</v>
      </c>
      <c r="E10" s="247">
        <v>14</v>
      </c>
      <c r="F10" s="248">
        <v>30</v>
      </c>
      <c r="G10" s="246">
        <f>E10*F10</f>
        <v>420</v>
      </c>
      <c r="H10" s="246">
        <v>200</v>
      </c>
      <c r="I10" s="247">
        <f>G10+H10</f>
        <v>620</v>
      </c>
      <c r="J10" s="247">
        <f>I10*0.1</f>
        <v>62</v>
      </c>
      <c r="K10" s="248">
        <f>I10*0.9</f>
        <v>558</v>
      </c>
      <c r="L10" s="246" t="s">
        <v>651</v>
      </c>
      <c r="N10" s="269">
        <v>30</v>
      </c>
      <c r="O10" s="270">
        <v>12</v>
      </c>
    </row>
    <row ht="18.75" r="11" spans="1:19" s="268" customFormat="1">
      <c r="A11" s="246">
        <v>6</v>
      </c>
      <c r="B11" s="246"/>
      <c r="C11" s="246" t="s">
        <v>1047</v>
      </c>
      <c r="D11" s="246" t="s">
        <v>1038</v>
      </c>
      <c r="E11" s="247">
        <v>14</v>
      </c>
      <c r="F11" s="248">
        <v>30</v>
      </c>
      <c r="G11" s="246">
        <f>E11*F11</f>
        <v>420</v>
      </c>
      <c r="H11" s="246">
        <v>200</v>
      </c>
      <c r="I11" s="247">
        <f>G11+H11</f>
        <v>620</v>
      </c>
      <c r="J11" s="247">
        <f>I11*0.1</f>
        <v>62</v>
      </c>
      <c r="K11" s="248">
        <f>I11*0.9</f>
        <v>558</v>
      </c>
      <c r="L11" s="246" t="s">
        <v>651</v>
      </c>
      <c r="N11" s="269">
        <v>30</v>
      </c>
      <c r="O11" s="270">
        <v>12</v>
      </c>
    </row>
    <row ht="18.75" r="12" spans="1:19" s="268" customFormat="1">
      <c r="A12" s="246">
        <v>7</v>
      </c>
      <c r="B12" s="246"/>
      <c r="C12" s="246" t="s">
        <v>1046</v>
      </c>
      <c r="D12" s="246" t="s">
        <v>1038</v>
      </c>
      <c r="E12" s="247">
        <v>14</v>
      </c>
      <c r="F12" s="248">
        <v>30</v>
      </c>
      <c r="G12" s="246">
        <f>E12*F12</f>
        <v>420</v>
      </c>
      <c r="H12" s="246">
        <v>200</v>
      </c>
      <c r="I12" s="247">
        <f>G12+H12</f>
        <v>620</v>
      </c>
      <c r="J12" s="247">
        <f>I12*0.1</f>
        <v>62</v>
      </c>
      <c r="K12" s="248">
        <f>I12*0.9</f>
        <v>558</v>
      </c>
      <c r="L12" s="246" t="s">
        <v>651</v>
      </c>
      <c r="N12" s="269">
        <v>30</v>
      </c>
      <c r="O12" s="270">
        <v>15</v>
      </c>
    </row>
    <row ht="18.75" r="13" spans="1:19" s="268" customFormat="1">
      <c r="A13" s="246">
        <v>8</v>
      </c>
      <c r="B13" s="246"/>
      <c r="C13" s="246" t="s">
        <v>1045</v>
      </c>
      <c r="D13" s="246" t="s">
        <v>1038</v>
      </c>
      <c r="E13" s="247">
        <v>14</v>
      </c>
      <c r="F13" s="248">
        <v>30</v>
      </c>
      <c r="G13" s="246">
        <f>E13*F13</f>
        <v>420</v>
      </c>
      <c r="H13" s="246">
        <v>200</v>
      </c>
      <c r="I13" s="247">
        <f>G13+H13</f>
        <v>620</v>
      </c>
      <c r="J13" s="247">
        <f>I13*0.1</f>
        <v>62</v>
      </c>
      <c r="K13" s="248">
        <f>I13*0.9</f>
        <v>558</v>
      </c>
      <c r="L13" s="246" t="s">
        <v>651</v>
      </c>
      <c r="N13" s="269"/>
      <c r="O13" s="270"/>
    </row>
    <row ht="18.75" r="14" spans="1:19" s="268" customFormat="1">
      <c r="A14" s="246">
        <v>9</v>
      </c>
      <c r="B14" s="246"/>
      <c r="C14" s="246" t="s">
        <v>1044</v>
      </c>
      <c r="D14" s="246" t="s">
        <v>1042</v>
      </c>
      <c r="E14" s="247">
        <v>18</v>
      </c>
      <c r="F14" s="248">
        <v>30</v>
      </c>
      <c r="G14" s="246">
        <f>E14*F14</f>
        <v>540</v>
      </c>
      <c r="H14" s="246">
        <v>200</v>
      </c>
      <c r="I14" s="247">
        <f>G14+H14</f>
        <v>740</v>
      </c>
      <c r="J14" s="247">
        <f>I14*0.1</f>
        <v>74</v>
      </c>
      <c r="K14" s="248">
        <f>I14*0.9</f>
        <v>666</v>
      </c>
      <c r="L14" s="246" t="s">
        <v>651</v>
      </c>
      <c r="N14" s="269"/>
      <c r="O14" s="270"/>
    </row>
    <row ht="18.75" r="15" spans="1:19" s="268" customFormat="1">
      <c r="A15" s="246">
        <v>10</v>
      </c>
      <c r="B15" s="246"/>
      <c r="C15" s="246" t="s">
        <v>1303</v>
      </c>
      <c r="D15" s="246" t="s">
        <v>1042</v>
      </c>
      <c r="E15" s="247">
        <v>25</v>
      </c>
      <c r="F15" s="248">
        <v>30</v>
      </c>
      <c r="G15" s="246">
        <f>E15*F15</f>
        <v>750</v>
      </c>
      <c r="H15" s="246">
        <v>200</v>
      </c>
      <c r="I15" s="247">
        <f>G15+H15</f>
        <v>950</v>
      </c>
      <c r="J15" s="247">
        <f>I15*0.1</f>
        <v>95</v>
      </c>
      <c r="K15" s="248">
        <f>I15*0.9</f>
        <v>855</v>
      </c>
      <c r="L15" s="246" t="s">
        <v>651</v>
      </c>
      <c r="N15" s="269"/>
      <c r="O15" s="270"/>
    </row>
    <row ht="18.75" r="16" spans="1:19" s="268" customFormat="1">
      <c r="A16" s="246">
        <v>11</v>
      </c>
      <c r="B16" s="246"/>
      <c r="C16" s="246" t="s">
        <v>1043</v>
      </c>
      <c r="D16" s="246" t="s">
        <v>1042</v>
      </c>
      <c r="E16" s="247">
        <v>18</v>
      </c>
      <c r="F16" s="248">
        <v>30</v>
      </c>
      <c r="G16" s="246">
        <f>E16*F16</f>
        <v>540</v>
      </c>
      <c r="H16" s="246">
        <v>200</v>
      </c>
      <c r="I16" s="247">
        <f>G16+H16</f>
        <v>740</v>
      </c>
      <c r="J16" s="247">
        <f>I16*0.1</f>
        <v>74</v>
      </c>
      <c r="K16" s="248">
        <f>I16*0.9</f>
        <v>666</v>
      </c>
      <c r="L16" s="246" t="s">
        <v>651</v>
      </c>
      <c r="N16" s="269"/>
      <c r="O16" s="270"/>
    </row>
    <row ht="18.75" r="17" spans="1:16" s="268" customFormat="1">
      <c r="A17" s="246">
        <v>12</v>
      </c>
      <c r="B17" s="246"/>
      <c r="C17" s="246" t="s">
        <v>1041</v>
      </c>
      <c r="D17" s="246" t="s">
        <v>1040</v>
      </c>
      <c r="E17" s="247">
        <v>80</v>
      </c>
      <c r="F17" s="248">
        <v>30</v>
      </c>
      <c r="G17" s="246">
        <f>E17*F17</f>
        <v>2400</v>
      </c>
      <c r="H17" s="246">
        <v>400</v>
      </c>
      <c r="I17" s="247">
        <f>G17+H17</f>
        <v>2800</v>
      </c>
      <c r="J17" s="247">
        <f>I17*0.1</f>
        <v>280</v>
      </c>
      <c r="K17" s="248">
        <f>I17*0.9</f>
        <v>2520</v>
      </c>
      <c r="L17" s="246" t="s">
        <v>651</v>
      </c>
      <c r="N17" s="269"/>
      <c r="O17" s="270"/>
    </row>
    <row ht="18.75" r="18" spans="1:16" s="268" customFormat="1">
      <c r="A18" s="246">
        <v>13</v>
      </c>
      <c r="B18" s="246"/>
      <c r="C18" s="246" t="s">
        <v>1039</v>
      </c>
      <c r="D18" s="246" t="s">
        <v>1038</v>
      </c>
      <c r="E18" s="247">
        <v>30</v>
      </c>
      <c r="F18" s="248">
        <f>N18</f>
        <v>30</v>
      </c>
      <c r="G18" s="246">
        <f>E18*F18</f>
        <v>900</v>
      </c>
      <c r="H18" s="246">
        <v>200</v>
      </c>
      <c r="I18" s="247">
        <f>G18+H18</f>
        <v>1100</v>
      </c>
      <c r="J18" s="247">
        <f>I18*0.1</f>
        <v>110</v>
      </c>
      <c r="K18" s="248">
        <f>I18*0.9</f>
        <v>990</v>
      </c>
      <c r="L18" s="246" t="s">
        <v>651</v>
      </c>
      <c r="N18" s="269">
        <v>30</v>
      </c>
      <c r="O18" s="270">
        <v>10</v>
      </c>
    </row>
    <row ht="18.75" r="19" spans="1:16" s="268" customFormat="1">
      <c r="A19" s="246">
        <v>14</v>
      </c>
      <c r="B19" s="246"/>
      <c r="C19" s="246" t="s">
        <v>1037</v>
      </c>
      <c r="D19" s="246" t="s">
        <v>1036</v>
      </c>
      <c r="E19" s="247">
        <v>80</v>
      </c>
      <c r="F19" s="248">
        <f>N19</f>
        <v>30</v>
      </c>
      <c r="G19" s="246">
        <f>E19*F19</f>
        <v>2400</v>
      </c>
      <c r="H19" s="246">
        <v>400</v>
      </c>
      <c r="I19" s="247">
        <f>G19+H19</f>
        <v>2800</v>
      </c>
      <c r="J19" s="247">
        <f>I19*0.1</f>
        <v>280</v>
      </c>
      <c r="K19" s="248">
        <f>I19*0.9</f>
        <v>2520</v>
      </c>
      <c r="L19" s="246" t="s">
        <v>651</v>
      </c>
      <c r="N19" s="269">
        <v>30</v>
      </c>
      <c r="O19" s="270">
        <v>12</v>
      </c>
    </row>
    <row ht="18.75" r="20" spans="1:16" s="268" customFormat="1">
      <c r="A20" s="246">
        <v>15</v>
      </c>
      <c r="B20" s="246"/>
      <c r="C20" s="246" t="s">
        <v>1035</v>
      </c>
      <c r="D20" s="246" t="s">
        <v>1032</v>
      </c>
      <c r="E20" s="247">
        <v>75</v>
      </c>
      <c r="F20" s="248">
        <f>N20</f>
        <v>30</v>
      </c>
      <c r="G20" s="246">
        <f>E20*F20</f>
        <v>2250</v>
      </c>
      <c r="H20" s="246">
        <v>300</v>
      </c>
      <c r="I20" s="247">
        <f>G20+H20</f>
        <v>2550</v>
      </c>
      <c r="J20" s="247">
        <f>I20*0.1</f>
        <v>255</v>
      </c>
      <c r="K20" s="248">
        <f>I20*0.9</f>
        <v>2295</v>
      </c>
      <c r="L20" s="246" t="s">
        <v>651</v>
      </c>
      <c r="N20" s="269">
        <v>30</v>
      </c>
      <c r="O20" s="270"/>
    </row>
    <row ht="18.75" r="21" spans="1:16" s="268" customFormat="1">
      <c r="A21" s="246">
        <v>16</v>
      </c>
      <c r="B21" s="246"/>
      <c r="C21" s="246" t="s">
        <v>1242</v>
      </c>
      <c r="D21" s="246" t="s">
        <v>1032</v>
      </c>
      <c r="E21" s="247">
        <v>75</v>
      </c>
      <c r="F21" s="248">
        <f>N21</f>
        <v>30</v>
      </c>
      <c r="G21" s="246">
        <f>E21*F21</f>
        <v>2250</v>
      </c>
      <c r="H21" s="246">
        <v>300</v>
      </c>
      <c r="I21" s="247">
        <f>G21+H21</f>
        <v>2550</v>
      </c>
      <c r="J21" s="247">
        <f>I21*0.1</f>
        <v>255</v>
      </c>
      <c r="K21" s="248">
        <f>I21*0.9</f>
        <v>2295</v>
      </c>
      <c r="L21" s="246" t="s">
        <v>651</v>
      </c>
      <c r="N21" s="269">
        <v>30</v>
      </c>
      <c r="O21" s="270"/>
    </row>
    <row ht="18.75" r="22" spans="1:16" s="268" customFormat="1">
      <c r="A22" s="246">
        <v>17</v>
      </c>
      <c r="B22" s="246"/>
      <c r="C22" s="246" t="s">
        <v>1241</v>
      </c>
      <c r="D22" s="246" t="s">
        <v>1032</v>
      </c>
      <c r="E22" s="247">
        <v>75</v>
      </c>
      <c r="F22" s="248">
        <f>N22</f>
        <v>30</v>
      </c>
      <c r="G22" s="246">
        <f>E22*F22</f>
        <v>2250</v>
      </c>
      <c r="H22" s="246">
        <v>300</v>
      </c>
      <c r="I22" s="247">
        <f>G22+H22</f>
        <v>2550</v>
      </c>
      <c r="J22" s="247">
        <f>I22*0.1</f>
        <v>255</v>
      </c>
      <c r="K22" s="248">
        <f>I22*0.9</f>
        <v>2295</v>
      </c>
      <c r="L22" s="246" t="s">
        <v>651</v>
      </c>
      <c r="N22" s="269">
        <v>30</v>
      </c>
      <c r="O22" s="270"/>
    </row>
    <row ht="18.75" r="23" spans="1:16" s="268" customFormat="1">
      <c r="A23" s="246">
        <v>18</v>
      </c>
      <c r="B23" s="246"/>
      <c r="C23" s="246" t="s">
        <v>1034</v>
      </c>
      <c r="D23" s="246" t="s">
        <v>1032</v>
      </c>
      <c r="E23" s="247">
        <v>75</v>
      </c>
      <c r="F23" s="248">
        <v>30</v>
      </c>
      <c r="G23" s="246">
        <f>E23*F23</f>
        <v>2250</v>
      </c>
      <c r="H23" s="246">
        <v>300</v>
      </c>
      <c r="I23" s="247">
        <f>G23+H23</f>
        <v>2550</v>
      </c>
      <c r="J23" s="247">
        <f>I23*0.1</f>
        <v>255</v>
      </c>
      <c r="K23" s="248">
        <f>I23*0.9</f>
        <v>2295</v>
      </c>
      <c r="L23" s="246" t="s">
        <v>651</v>
      </c>
      <c r="N23" s="269">
        <v>30</v>
      </c>
      <c r="O23" s="270"/>
    </row>
    <row ht="18.75" r="24" spans="1:16" s="268" customFormat="1">
      <c r="A24" s="246">
        <v>19</v>
      </c>
      <c r="B24" s="246"/>
      <c r="C24" s="246" t="s">
        <v>1033</v>
      </c>
      <c r="D24" s="246" t="s">
        <v>1032</v>
      </c>
      <c r="E24" s="247">
        <v>75</v>
      </c>
      <c r="F24" s="248">
        <v>30</v>
      </c>
      <c r="G24" s="246">
        <f>E24*F24</f>
        <v>2250</v>
      </c>
      <c r="H24" s="246">
        <v>300</v>
      </c>
      <c r="I24" s="247">
        <f>G24+H24</f>
        <v>2550</v>
      </c>
      <c r="J24" s="247">
        <f>I24*0.1</f>
        <v>255</v>
      </c>
      <c r="K24" s="248">
        <f>I24*0.9</f>
        <v>2295</v>
      </c>
      <c r="L24" s="246" t="s">
        <v>651</v>
      </c>
      <c r="N24" s="269">
        <v>30</v>
      </c>
      <c r="O24" s="270"/>
    </row>
    <row ht="15.75" customHeight="1" r="25" spans="1:16" s="268" customFormat="1">
      <c r="A25" s="246">
        <v>20</v>
      </c>
      <c r="B25" s="246"/>
      <c r="C25" s="246" t="s">
        <v>1170</v>
      </c>
      <c r="D25" s="246" t="s">
        <v>1030</v>
      </c>
      <c r="E25" s="247">
        <v>130</v>
      </c>
      <c r="F25" s="248">
        <f>N25</f>
        <v>30</v>
      </c>
      <c r="G25" s="246">
        <f>E25*F25</f>
        <v>3900</v>
      </c>
      <c r="H25" s="246">
        <v>500</v>
      </c>
      <c r="I25" s="247">
        <f>G25+H25</f>
        <v>4400</v>
      </c>
      <c r="J25" s="247">
        <f>I25*0.1</f>
        <v>440</v>
      </c>
      <c r="K25" s="248">
        <f>I25*0.9</f>
        <v>3960</v>
      </c>
      <c r="L25" s="246" t="s">
        <v>651</v>
      </c>
      <c r="N25" s="269">
        <v>30</v>
      </c>
      <c r="O25" s="270">
        <v>55</v>
      </c>
    </row>
    <row ht="18.75" r="26" spans="1:16" s="268" customFormat="1">
      <c r="A26" s="246">
        <v>21</v>
      </c>
      <c r="B26" s="246"/>
      <c r="C26" s="246" t="s">
        <v>1031</v>
      </c>
      <c r="D26" s="246" t="s">
        <v>1030</v>
      </c>
      <c r="E26" s="247">
        <v>130</v>
      </c>
      <c r="F26" s="248">
        <f>N26</f>
        <v>30</v>
      </c>
      <c r="G26" s="246">
        <f>E26*F26</f>
        <v>3900</v>
      </c>
      <c r="H26" s="246">
        <v>500</v>
      </c>
      <c r="I26" s="247">
        <f>G26+H26</f>
        <v>4400</v>
      </c>
      <c r="J26" s="247">
        <f>I26*0.1</f>
        <v>440</v>
      </c>
      <c r="K26" s="248">
        <f>I26*0.9</f>
        <v>3960</v>
      </c>
      <c r="L26" s="246" t="s">
        <v>651</v>
      </c>
      <c r="N26" s="269">
        <v>30</v>
      </c>
      <c r="O26" s="270"/>
    </row>
    <row ht="18.75" r="27" spans="1:16" s="268" customFormat="1">
      <c r="A27" s="246">
        <v>22</v>
      </c>
      <c r="B27" s="246"/>
      <c r="C27" s="246" t="s">
        <v>1029</v>
      </c>
      <c r="D27" s="246" t="s">
        <v>897</v>
      </c>
      <c r="E27" s="246">
        <v>11</v>
      </c>
      <c r="F27" s="248">
        <v>30</v>
      </c>
      <c r="G27" s="246">
        <f>E27*F27</f>
        <v>330</v>
      </c>
      <c r="H27" s="246">
        <f>E27*10</f>
        <v>110</v>
      </c>
      <c r="I27" s="247">
        <f>G27+H27</f>
        <v>440</v>
      </c>
      <c r="J27" s="247">
        <f>0.1*I27</f>
        <v>44</v>
      </c>
      <c r="K27" s="248">
        <f>0.9*I27</f>
        <v>396</v>
      </c>
      <c r="L27" s="246" t="s">
        <v>651</v>
      </c>
      <c r="N27" s="269">
        <v>30</v>
      </c>
      <c r="O27" s="270">
        <v>55</v>
      </c>
    </row>
    <row ht="18.75" r="28" spans="1:16" s="268" customFormat="1">
      <c r="A28" s="246">
        <v>23</v>
      </c>
      <c r="B28" s="246"/>
      <c r="C28" s="246" t="s">
        <v>1068</v>
      </c>
      <c r="D28" s="246" t="s">
        <v>897</v>
      </c>
      <c r="E28" s="246">
        <v>11</v>
      </c>
      <c r="F28" s="248">
        <v>30</v>
      </c>
      <c r="G28" s="246">
        <f>E28*F28</f>
        <v>330</v>
      </c>
      <c r="H28" s="246">
        <f>E28*10</f>
        <v>110</v>
      </c>
      <c r="I28" s="247">
        <f>G28+H28</f>
        <v>440</v>
      </c>
      <c r="J28" s="247">
        <f>0.1*I28</f>
        <v>44</v>
      </c>
      <c r="K28" s="248">
        <f>0.9*I28</f>
        <v>396</v>
      </c>
      <c r="L28" s="246" t="s">
        <v>651</v>
      </c>
      <c r="N28" s="269">
        <v>30</v>
      </c>
      <c r="O28" s="270">
        <v>55</v>
      </c>
      <c r="P28" s="268">
        <v>15</v>
      </c>
    </row>
    <row ht="18.75" r="29" spans="1:16" s="268" customFormat="1">
      <c r="A29" s="246">
        <v>24</v>
      </c>
      <c r="B29" s="246"/>
      <c r="C29" s="246" t="s">
        <v>1028</v>
      </c>
      <c r="D29" s="246" t="s">
        <v>897</v>
      </c>
      <c r="E29" s="246">
        <v>9</v>
      </c>
      <c r="F29" s="248">
        <v>30</v>
      </c>
      <c r="G29" s="246">
        <f>E29*F29</f>
        <v>270</v>
      </c>
      <c r="H29" s="246">
        <f>E29*10</f>
        <v>90</v>
      </c>
      <c r="I29" s="247">
        <f>G29+H29</f>
        <v>360</v>
      </c>
      <c r="J29" s="247">
        <f>0.1*I29</f>
        <v>36</v>
      </c>
      <c r="K29" s="248">
        <f>0.9*I29</f>
        <v>324</v>
      </c>
      <c r="L29" s="246" t="s">
        <v>651</v>
      </c>
      <c r="N29" s="269">
        <v>30</v>
      </c>
      <c r="O29" s="270">
        <v>62</v>
      </c>
    </row>
    <row ht="18.75" r="30" spans="1:16" s="268" customFormat="1">
      <c r="A30" s="246">
        <v>25</v>
      </c>
      <c r="B30" s="246"/>
      <c r="C30" s="246" t="s">
        <v>740</v>
      </c>
      <c r="D30" s="246" t="s">
        <v>897</v>
      </c>
      <c r="E30" s="246">
        <v>9</v>
      </c>
      <c r="F30" s="248">
        <v>30</v>
      </c>
      <c r="G30" s="246">
        <f>E30*F30</f>
        <v>270</v>
      </c>
      <c r="H30" s="246">
        <f>E30*10</f>
        <v>90</v>
      </c>
      <c r="I30" s="247">
        <f>G30+H30</f>
        <v>360</v>
      </c>
      <c r="J30" s="247">
        <f>0.1*I30</f>
        <v>36</v>
      </c>
      <c r="K30" s="248">
        <f>0.9*I30</f>
        <v>324</v>
      </c>
      <c r="L30" s="246" t="s">
        <v>651</v>
      </c>
      <c r="N30" s="269">
        <v>30</v>
      </c>
      <c r="O30" s="270">
        <v>62</v>
      </c>
    </row>
    <row ht="18.75" r="31" spans="1:16" s="268" customFormat="1">
      <c r="A31" s="246">
        <v>26</v>
      </c>
      <c r="B31" s="246"/>
      <c r="C31" s="246" t="s">
        <v>738</v>
      </c>
      <c r="D31" s="246" t="s">
        <v>897</v>
      </c>
      <c r="E31" s="246">
        <v>9</v>
      </c>
      <c r="F31" s="248">
        <v>30</v>
      </c>
      <c r="G31" s="246">
        <f>E31*F31</f>
        <v>270</v>
      </c>
      <c r="H31" s="246">
        <f>E31*10</f>
        <v>90</v>
      </c>
      <c r="I31" s="247">
        <f>G31+H31</f>
        <v>360</v>
      </c>
      <c r="J31" s="247">
        <f>0.1*I31</f>
        <v>36</v>
      </c>
      <c r="K31" s="248">
        <f>0.9*I31</f>
        <v>324</v>
      </c>
      <c r="L31" s="246" t="s">
        <v>651</v>
      </c>
      <c r="N31" s="269">
        <v>30</v>
      </c>
      <c r="O31" s="270">
        <v>62</v>
      </c>
    </row>
    <row ht="18.75" r="32" spans="1:16" s="268" customFormat="1">
      <c r="A32" s="246">
        <v>27</v>
      </c>
      <c r="B32" s="246"/>
      <c r="C32" s="246" t="s">
        <v>1027</v>
      </c>
      <c r="D32" s="246" t="s">
        <v>897</v>
      </c>
      <c r="E32" s="246">
        <v>9</v>
      </c>
      <c r="F32" s="248">
        <v>30</v>
      </c>
      <c r="G32" s="246">
        <f>E32*F32</f>
        <v>270</v>
      </c>
      <c r="H32" s="246">
        <f>E32*10</f>
        <v>90</v>
      </c>
      <c r="I32" s="247">
        <f>G32+H32</f>
        <v>360</v>
      </c>
      <c r="J32" s="247">
        <f>0.1*I32</f>
        <v>36</v>
      </c>
      <c r="K32" s="248">
        <f>0.9*I32</f>
        <v>324</v>
      </c>
      <c r="L32" s="246" t="s">
        <v>651</v>
      </c>
      <c r="N32" s="269">
        <v>30</v>
      </c>
      <c r="O32" s="271">
        <v>10</v>
      </c>
    </row>
    <row ht="18.75" r="33" spans="1:15" s="268" customFormat="1">
      <c r="A33" s="246">
        <v>28</v>
      </c>
      <c r="B33" s="246"/>
      <c r="C33" s="246" t="s">
        <v>1026</v>
      </c>
      <c r="D33" s="246" t="s">
        <v>897</v>
      </c>
      <c r="E33" s="246">
        <v>11</v>
      </c>
      <c r="F33" s="248">
        <v>30</v>
      </c>
      <c r="G33" s="246">
        <f>E33*F33</f>
        <v>330</v>
      </c>
      <c r="H33" s="246">
        <f>E33*10</f>
        <v>110</v>
      </c>
      <c r="I33" s="247">
        <f>G33+H33</f>
        <v>440</v>
      </c>
      <c r="J33" s="247">
        <f>0.1*I33</f>
        <v>44</v>
      </c>
      <c r="K33" s="248">
        <f>0.9*I33</f>
        <v>396</v>
      </c>
      <c r="L33" s="246" t="s">
        <v>651</v>
      </c>
      <c r="N33" s="269">
        <v>30</v>
      </c>
      <c r="O33" s="271">
        <v>9</v>
      </c>
    </row>
    <row ht="18.75" r="34" spans="1:15" s="268" customFormat="1">
      <c r="A34" s="246">
        <v>29</v>
      </c>
      <c r="B34" s="246"/>
      <c r="C34" s="246" t="s">
        <v>1025</v>
      </c>
      <c r="D34" s="246" t="s">
        <v>897</v>
      </c>
      <c r="E34" s="246">
        <v>6</v>
      </c>
      <c r="F34" s="248">
        <v>30</v>
      </c>
      <c r="G34" s="246">
        <f>E34*F34</f>
        <v>180</v>
      </c>
      <c r="H34" s="246">
        <f>E34*10</f>
        <v>60</v>
      </c>
      <c r="I34" s="247">
        <f>G34+H34</f>
        <v>240</v>
      </c>
      <c r="J34" s="247">
        <f>0.1*I34</f>
        <v>24</v>
      </c>
      <c r="K34" s="248">
        <f>0.9*I34</f>
        <v>216</v>
      </c>
      <c r="L34" s="246" t="s">
        <v>651</v>
      </c>
      <c r="N34" s="269">
        <v>30</v>
      </c>
      <c r="O34" s="271"/>
    </row>
    <row ht="18.75" r="35" spans="1:15" s="268" customFormat="1">
      <c r="A35" s="246">
        <v>30</v>
      </c>
      <c r="B35" s="246"/>
      <c r="C35" s="246" t="s">
        <v>1024</v>
      </c>
      <c r="D35" s="246" t="s">
        <v>897</v>
      </c>
      <c r="E35" s="246">
        <v>11</v>
      </c>
      <c r="F35" s="248">
        <v>30</v>
      </c>
      <c r="G35" s="246">
        <f>E35*F35</f>
        <v>330</v>
      </c>
      <c r="H35" s="246">
        <f>E35*10</f>
        <v>110</v>
      </c>
      <c r="I35" s="247">
        <f>G35+H35</f>
        <v>440</v>
      </c>
      <c r="J35" s="247">
        <f>0.1*I35</f>
        <v>44</v>
      </c>
      <c r="K35" s="248">
        <f>0.9*I35</f>
        <v>396</v>
      </c>
      <c r="L35" s="246" t="s">
        <v>651</v>
      </c>
      <c r="N35" s="269">
        <v>30</v>
      </c>
      <c r="O35" s="271">
        <v>15</v>
      </c>
    </row>
    <row ht="18.75" r="36" spans="1:15" s="268" customFormat="1">
      <c r="A36" s="246">
        <v>31</v>
      </c>
      <c r="B36" s="246"/>
      <c r="C36" s="246" t="s">
        <v>1023</v>
      </c>
      <c r="D36" s="246" t="s">
        <v>897</v>
      </c>
      <c r="E36" s="246">
        <v>9</v>
      </c>
      <c r="F36" s="248">
        <v>30</v>
      </c>
      <c r="G36" s="246">
        <f>E36*F36</f>
        <v>270</v>
      </c>
      <c r="H36" s="246">
        <f>E36*10</f>
        <v>90</v>
      </c>
      <c r="I36" s="247">
        <f>G36+H36</f>
        <v>360</v>
      </c>
      <c r="J36" s="247">
        <f>0.1*I36</f>
        <v>36</v>
      </c>
      <c r="K36" s="248">
        <f>0.9*I36</f>
        <v>324</v>
      </c>
      <c r="L36" s="246" t="s">
        <v>651</v>
      </c>
      <c r="N36" s="269">
        <v>30</v>
      </c>
      <c r="O36" s="271">
        <v>11</v>
      </c>
    </row>
    <row ht="18.75" r="37" spans="1:15" s="268" customFormat="1">
      <c r="A37" s="246">
        <v>32</v>
      </c>
      <c r="B37" s="246"/>
      <c r="C37" s="246" t="s">
        <v>766</v>
      </c>
      <c r="D37" s="246" t="s">
        <v>897</v>
      </c>
      <c r="E37" s="246">
        <v>9</v>
      </c>
      <c r="F37" s="248">
        <v>30</v>
      </c>
      <c r="G37" s="246">
        <f>E37*F37</f>
        <v>270</v>
      </c>
      <c r="H37" s="246">
        <f>E37*10</f>
        <v>90</v>
      </c>
      <c r="I37" s="247">
        <f>G37+H37</f>
        <v>360</v>
      </c>
      <c r="J37" s="247">
        <f>0.1*I37</f>
        <v>36</v>
      </c>
      <c r="K37" s="248">
        <f>0.9*I37</f>
        <v>324</v>
      </c>
      <c r="L37" s="246" t="s">
        <v>651</v>
      </c>
      <c r="N37" s="269">
        <v>30</v>
      </c>
      <c r="O37" s="271">
        <v>21</v>
      </c>
    </row>
    <row ht="18.75" r="38" spans="1:15" s="268" customFormat="1">
      <c r="A38" s="246">
        <v>33</v>
      </c>
      <c r="B38" s="246"/>
      <c r="C38" s="246" t="s">
        <v>1022</v>
      </c>
      <c r="D38" s="246" t="s">
        <v>897</v>
      </c>
      <c r="E38" s="246">
        <v>18</v>
      </c>
      <c r="F38" s="248">
        <v>30</v>
      </c>
      <c r="G38" s="246">
        <f>E38*F38</f>
        <v>540</v>
      </c>
      <c r="H38" s="246">
        <f>E38*10</f>
        <v>180</v>
      </c>
      <c r="I38" s="247">
        <f>G38+H38</f>
        <v>720</v>
      </c>
      <c r="J38" s="247">
        <f>0.1*I38</f>
        <v>72</v>
      </c>
      <c r="K38" s="248">
        <f>0.9*I38</f>
        <v>648</v>
      </c>
      <c r="L38" s="246" t="s">
        <v>651</v>
      </c>
      <c r="N38" s="269">
        <v>30</v>
      </c>
      <c r="O38" s="271"/>
    </row>
    <row ht="18.75" r="39" spans="1:15" s="268" customFormat="1">
      <c r="A39" s="246">
        <v>34</v>
      </c>
      <c r="B39" s="246"/>
      <c r="C39" s="246" t="s">
        <v>739</v>
      </c>
      <c r="D39" s="246" t="s">
        <v>897</v>
      </c>
      <c r="E39" s="246">
        <v>11</v>
      </c>
      <c r="F39" s="248">
        <v>30</v>
      </c>
      <c r="G39" s="246">
        <f>E39*F39</f>
        <v>330</v>
      </c>
      <c r="H39" s="246">
        <f>E39*10</f>
        <v>110</v>
      </c>
      <c r="I39" s="247">
        <f>G39+H39</f>
        <v>440</v>
      </c>
      <c r="J39" s="247">
        <f>0.1*I39</f>
        <v>44</v>
      </c>
      <c r="K39" s="248">
        <f>0.9*I39</f>
        <v>396</v>
      </c>
      <c r="L39" s="246" t="s">
        <v>651</v>
      </c>
      <c r="N39" s="269">
        <v>30</v>
      </c>
      <c r="O39" s="271">
        <v>14</v>
      </c>
    </row>
    <row ht="18.75" r="40" spans="1:15" s="268" customFormat="1">
      <c r="A40" s="246">
        <v>35</v>
      </c>
      <c r="B40" s="246"/>
      <c r="C40" s="246" t="s">
        <v>1021</v>
      </c>
      <c r="D40" s="246" t="s">
        <v>897</v>
      </c>
      <c r="E40" s="246">
        <v>11</v>
      </c>
      <c r="F40" s="248">
        <v>30</v>
      </c>
      <c r="G40" s="246">
        <f>E40*F40</f>
        <v>330</v>
      </c>
      <c r="H40" s="246">
        <f>E40*10</f>
        <v>110</v>
      </c>
      <c r="I40" s="247">
        <f>G40+H40</f>
        <v>440</v>
      </c>
      <c r="J40" s="247">
        <f>0.1*I40</f>
        <v>44</v>
      </c>
      <c r="K40" s="248">
        <f>0.9*I40</f>
        <v>396</v>
      </c>
      <c r="L40" s="246" t="s">
        <v>651</v>
      </c>
      <c r="N40" s="269">
        <v>30</v>
      </c>
      <c r="O40" s="271">
        <v>10</v>
      </c>
    </row>
    <row ht="18.75" r="41" spans="1:15" s="268" customFormat="1">
      <c r="A41" s="246">
        <v>36</v>
      </c>
      <c r="B41" s="246"/>
      <c r="C41" s="246" t="s">
        <v>1020</v>
      </c>
      <c r="D41" s="246" t="s">
        <v>897</v>
      </c>
      <c r="E41" s="246">
        <v>11</v>
      </c>
      <c r="F41" s="248">
        <v>30</v>
      </c>
      <c r="G41" s="246">
        <f>E41*F41</f>
        <v>330</v>
      </c>
      <c r="H41" s="246">
        <f>E41*10</f>
        <v>110</v>
      </c>
      <c r="I41" s="247">
        <f>G41+H41</f>
        <v>440</v>
      </c>
      <c r="J41" s="247">
        <f>0.1*I41</f>
        <v>44</v>
      </c>
      <c r="K41" s="248">
        <f>0.9*I41</f>
        <v>396</v>
      </c>
      <c r="L41" s="246" t="s">
        <v>651</v>
      </c>
      <c r="N41" s="269">
        <v>30</v>
      </c>
      <c r="O41" s="271">
        <v>11</v>
      </c>
    </row>
    <row ht="18.75" r="42" spans="1:15" s="268" customFormat="1">
      <c r="A42" s="246">
        <v>37</v>
      </c>
      <c r="B42" s="246"/>
      <c r="C42" s="246" t="s">
        <v>1019</v>
      </c>
      <c r="D42" s="246" t="s">
        <v>897</v>
      </c>
      <c r="E42" s="246">
        <v>9</v>
      </c>
      <c r="F42" s="248">
        <v>30</v>
      </c>
      <c r="G42" s="246">
        <f>E42*F42</f>
        <v>270</v>
      </c>
      <c r="H42" s="246">
        <f>E42*10</f>
        <v>90</v>
      </c>
      <c r="I42" s="247">
        <f>G42+H42</f>
        <v>360</v>
      </c>
      <c r="J42" s="247">
        <f>0.1*I42</f>
        <v>36</v>
      </c>
      <c r="K42" s="248">
        <f>0.9*I42</f>
        <v>324</v>
      </c>
      <c r="L42" s="246" t="s">
        <v>651</v>
      </c>
      <c r="N42" s="269">
        <v>30</v>
      </c>
      <c r="O42" s="271">
        <v>10</v>
      </c>
    </row>
    <row ht="18.75" r="43" spans="1:15" s="268" customFormat="1">
      <c r="A43" s="246">
        <v>38</v>
      </c>
      <c r="B43" s="246"/>
      <c r="C43" s="246" t="s">
        <v>1018</v>
      </c>
      <c r="D43" s="246" t="s">
        <v>897</v>
      </c>
      <c r="E43" s="246">
        <v>14</v>
      </c>
      <c r="F43" s="248">
        <v>30</v>
      </c>
      <c r="G43" s="246">
        <f>E43*F43</f>
        <v>420</v>
      </c>
      <c r="H43" s="246">
        <f>E43*10</f>
        <v>140</v>
      </c>
      <c r="I43" s="247">
        <f>G43+H43</f>
        <v>560</v>
      </c>
      <c r="J43" s="247">
        <f>0.1*I43</f>
        <v>56</v>
      </c>
      <c r="K43" s="248">
        <f>0.9*I43</f>
        <v>504</v>
      </c>
      <c r="L43" s="246" t="s">
        <v>651</v>
      </c>
      <c r="N43" s="269">
        <v>30</v>
      </c>
      <c r="O43" s="271">
        <v>8</v>
      </c>
    </row>
    <row ht="18.75" r="44" spans="1:15" s="268" customFormat="1">
      <c r="A44" s="246">
        <v>39</v>
      </c>
      <c r="B44" s="246"/>
      <c r="C44" s="246" t="s">
        <v>1017</v>
      </c>
      <c r="D44" s="246" t="s">
        <v>897</v>
      </c>
      <c r="E44" s="246">
        <v>9</v>
      </c>
      <c r="F44" s="248">
        <v>30</v>
      </c>
      <c r="G44" s="246">
        <f>E44*F44</f>
        <v>270</v>
      </c>
      <c r="H44" s="246">
        <f>E44*10</f>
        <v>90</v>
      </c>
      <c r="I44" s="247">
        <f>G44+H44</f>
        <v>360</v>
      </c>
      <c r="J44" s="247">
        <f>0.1*I44</f>
        <v>36</v>
      </c>
      <c r="K44" s="248">
        <f>0.9*I44</f>
        <v>324</v>
      </c>
      <c r="L44" s="246" t="s">
        <v>651</v>
      </c>
      <c r="N44" s="269">
        <v>30</v>
      </c>
      <c r="O44" s="271">
        <v>6</v>
      </c>
    </row>
    <row ht="18.75" r="45" spans="1:15" s="268" customFormat="1">
      <c r="A45" s="246">
        <v>40</v>
      </c>
      <c r="B45" s="246"/>
      <c r="C45" s="246" t="s">
        <v>1016</v>
      </c>
      <c r="D45" s="246" t="s">
        <v>897</v>
      </c>
      <c r="E45" s="246">
        <v>11</v>
      </c>
      <c r="F45" s="248">
        <v>30</v>
      </c>
      <c r="G45" s="246">
        <f>E45*F45</f>
        <v>330</v>
      </c>
      <c r="H45" s="246">
        <f>E45*10</f>
        <v>110</v>
      </c>
      <c r="I45" s="247">
        <f>G45+H45</f>
        <v>440</v>
      </c>
      <c r="J45" s="247">
        <f>0.1*I45</f>
        <v>44</v>
      </c>
      <c r="K45" s="248">
        <f>0.9*I45</f>
        <v>396</v>
      </c>
      <c r="L45" s="246" t="s">
        <v>651</v>
      </c>
      <c r="N45" s="269">
        <v>30</v>
      </c>
      <c r="O45" s="271">
        <v>8</v>
      </c>
    </row>
    <row ht="18.75" r="46" spans="1:15" s="268" customFormat="1">
      <c r="A46" s="246">
        <v>41</v>
      </c>
      <c r="B46" s="246"/>
      <c r="C46" s="246" t="s">
        <v>1015</v>
      </c>
      <c r="D46" s="246" t="s">
        <v>897</v>
      </c>
      <c r="E46" s="246">
        <v>31</v>
      </c>
      <c r="F46" s="248">
        <v>30</v>
      </c>
      <c r="G46" s="246">
        <f>E46*F46</f>
        <v>930</v>
      </c>
      <c r="H46" s="246">
        <f>E46*10</f>
        <v>310</v>
      </c>
      <c r="I46" s="247">
        <f>G46+H46</f>
        <v>1240</v>
      </c>
      <c r="J46" s="247">
        <f>0.1*I46</f>
        <v>124</v>
      </c>
      <c r="K46" s="248">
        <f>0.9*I46</f>
        <v>1116</v>
      </c>
      <c r="L46" s="246" t="s">
        <v>651</v>
      </c>
      <c r="N46" s="269">
        <v>30</v>
      </c>
      <c r="O46" s="271">
        <v>8</v>
      </c>
    </row>
    <row ht="18.75" r="47" spans="1:15" s="268" customFormat="1">
      <c r="A47" s="246">
        <v>42</v>
      </c>
      <c r="B47" s="246"/>
      <c r="C47" s="246" t="s">
        <v>1014</v>
      </c>
      <c r="D47" s="246" t="s">
        <v>897</v>
      </c>
      <c r="E47" s="246">
        <v>17</v>
      </c>
      <c r="F47" s="248">
        <v>30</v>
      </c>
      <c r="G47" s="246">
        <f>E47*F47</f>
        <v>510</v>
      </c>
      <c r="H47" s="246">
        <f>E47*10</f>
        <v>170</v>
      </c>
      <c r="I47" s="247">
        <f>G47+H47</f>
        <v>680</v>
      </c>
      <c r="J47" s="247">
        <f>0.1*I47</f>
        <v>68</v>
      </c>
      <c r="K47" s="248">
        <f>0.9*I47</f>
        <v>612</v>
      </c>
      <c r="L47" s="246" t="s">
        <v>651</v>
      </c>
      <c r="N47" s="269">
        <v>30</v>
      </c>
      <c r="O47" s="271">
        <v>8</v>
      </c>
    </row>
    <row ht="18.75" r="48" spans="1:15" s="268" customFormat="1">
      <c r="A48" s="246">
        <v>43</v>
      </c>
      <c r="B48" s="246"/>
      <c r="C48" s="246" t="s">
        <v>1013</v>
      </c>
      <c r="D48" s="246" t="s">
        <v>897</v>
      </c>
      <c r="E48" s="246">
        <v>15</v>
      </c>
      <c r="F48" s="248">
        <v>30</v>
      </c>
      <c r="G48" s="246">
        <f>E48*F48</f>
        <v>450</v>
      </c>
      <c r="H48" s="246">
        <f>E48*10</f>
        <v>150</v>
      </c>
      <c r="I48" s="247">
        <f>G48+H48</f>
        <v>600</v>
      </c>
      <c r="J48" s="247">
        <f>0.1*I48</f>
        <v>60</v>
      </c>
      <c r="K48" s="248">
        <f>0.9*I48</f>
        <v>540</v>
      </c>
      <c r="L48" s="246" t="s">
        <v>651</v>
      </c>
      <c r="N48" s="269">
        <v>30</v>
      </c>
      <c r="O48" s="271">
        <v>8</v>
      </c>
    </row>
    <row ht="18.75" r="49" spans="1:22" s="268" customFormat="1">
      <c r="A49" s="246">
        <v>44</v>
      </c>
      <c r="B49" s="246"/>
      <c r="C49" s="246" t="s">
        <v>1012</v>
      </c>
      <c r="D49" s="246" t="s">
        <v>897</v>
      </c>
      <c r="E49" s="246">
        <v>12</v>
      </c>
      <c r="F49" s="248">
        <v>30</v>
      </c>
      <c r="G49" s="246">
        <f>E49*F49</f>
        <v>360</v>
      </c>
      <c r="H49" s="246">
        <f>E49*10</f>
        <v>120</v>
      </c>
      <c r="I49" s="247">
        <f>G49+H49</f>
        <v>480</v>
      </c>
      <c r="J49" s="247">
        <f>0.1*I49</f>
        <v>48</v>
      </c>
      <c r="K49" s="248">
        <f>0.9*I49</f>
        <v>432</v>
      </c>
      <c r="L49" s="246" t="s">
        <v>651</v>
      </c>
      <c r="N49" s="269">
        <v>30</v>
      </c>
      <c r="O49" s="271">
        <v>8</v>
      </c>
    </row>
    <row ht="18.75" r="50" spans="1:22" s="268" customFormat="1">
      <c r="A50" s="246">
        <v>45</v>
      </c>
      <c r="B50" s="246"/>
      <c r="C50" s="246" t="s">
        <v>1011</v>
      </c>
      <c r="D50" s="246" t="s">
        <v>897</v>
      </c>
      <c r="E50" s="246">
        <v>9</v>
      </c>
      <c r="F50" s="248">
        <v>30</v>
      </c>
      <c r="G50" s="246">
        <f>E50*F50</f>
        <v>270</v>
      </c>
      <c r="H50" s="246">
        <f>E50*10</f>
        <v>90</v>
      </c>
      <c r="I50" s="247">
        <f>G50+H50</f>
        <v>360</v>
      </c>
      <c r="J50" s="247">
        <f>0.1*I50</f>
        <v>36</v>
      </c>
      <c r="K50" s="248">
        <f>0.9*I50</f>
        <v>324</v>
      </c>
      <c r="L50" s="246" t="s">
        <v>651</v>
      </c>
      <c r="N50" s="269">
        <v>30</v>
      </c>
      <c r="O50" s="271">
        <v>7</v>
      </c>
    </row>
    <row ht="18.75" r="51" spans="1:22" s="268" customFormat="1">
      <c r="A51" s="246">
        <v>46</v>
      </c>
      <c r="B51" s="246"/>
      <c r="C51" s="246" t="s">
        <v>1010</v>
      </c>
      <c r="D51" s="246" t="s">
        <v>897</v>
      </c>
      <c r="E51" s="246">
        <v>8</v>
      </c>
      <c r="F51" s="248">
        <v>30</v>
      </c>
      <c r="G51" s="246">
        <f>E51*F51</f>
        <v>240</v>
      </c>
      <c r="H51" s="246">
        <f>E51*10</f>
        <v>80</v>
      </c>
      <c r="I51" s="247">
        <f>G51+H51</f>
        <v>320</v>
      </c>
      <c r="J51" s="247">
        <f>0.1*I51</f>
        <v>32</v>
      </c>
      <c r="K51" s="248">
        <f>0.9*I51</f>
        <v>288</v>
      </c>
      <c r="L51" s="246" t="s">
        <v>651</v>
      </c>
      <c r="N51" s="269">
        <v>30</v>
      </c>
      <c r="O51" s="271">
        <v>8</v>
      </c>
    </row>
    <row ht="18.75" r="52" spans="1:22" s="268" customFormat="1">
      <c r="A52" s="246">
        <v>47</v>
      </c>
      <c r="B52" s="246"/>
      <c r="C52" s="246" t="s">
        <v>1009</v>
      </c>
      <c r="D52" s="246" t="s">
        <v>897</v>
      </c>
      <c r="E52" s="246">
        <v>8</v>
      </c>
      <c r="F52" s="248">
        <v>30</v>
      </c>
      <c r="G52" s="246">
        <f>E52*F52</f>
        <v>240</v>
      </c>
      <c r="H52" s="246">
        <f>E52*10</f>
        <v>80</v>
      </c>
      <c r="I52" s="247">
        <f>G52+H52</f>
        <v>320</v>
      </c>
      <c r="J52" s="247">
        <f>0.1*I52</f>
        <v>32</v>
      </c>
      <c r="K52" s="248">
        <f>0.9*I52</f>
        <v>288</v>
      </c>
      <c r="L52" s="246" t="s">
        <v>651</v>
      </c>
      <c r="N52" s="269">
        <v>30</v>
      </c>
      <c r="O52" s="271">
        <v>6</v>
      </c>
    </row>
    <row ht="18.75" r="53" spans="1:22" s="268" customFormat="1">
      <c r="A53" s="246">
        <v>48</v>
      </c>
      <c r="B53" s="246"/>
      <c r="C53" s="246" t="s">
        <v>1008</v>
      </c>
      <c r="D53" s="246" t="s">
        <v>897</v>
      </c>
      <c r="E53" s="246">
        <v>8</v>
      </c>
      <c r="F53" s="248">
        <v>30</v>
      </c>
      <c r="G53" s="246">
        <f>E53*F53</f>
        <v>240</v>
      </c>
      <c r="H53" s="246">
        <f>E53*10</f>
        <v>80</v>
      </c>
      <c r="I53" s="247">
        <f>G53+H53</f>
        <v>320</v>
      </c>
      <c r="J53" s="247">
        <f>0.1*I53</f>
        <v>32</v>
      </c>
      <c r="K53" s="248">
        <f>0.9*I53</f>
        <v>288</v>
      </c>
      <c r="L53" s="246" t="s">
        <v>651</v>
      </c>
      <c r="N53" s="269">
        <v>30</v>
      </c>
      <c r="O53" s="271">
        <v>6</v>
      </c>
    </row>
    <row ht="18.75" r="54" spans="1:22" s="268" customFormat="1">
      <c r="A54" s="246">
        <v>49</v>
      </c>
      <c r="B54" s="246"/>
      <c r="C54" s="246" t="s">
        <v>1070</v>
      </c>
      <c r="D54" s="246" t="s">
        <v>897</v>
      </c>
      <c r="E54" s="246">
        <v>9</v>
      </c>
      <c r="F54" s="248">
        <v>30</v>
      </c>
      <c r="G54" s="246">
        <f>E54*F54</f>
        <v>270</v>
      </c>
      <c r="H54" s="246">
        <f>E54*10</f>
        <v>90</v>
      </c>
      <c r="I54" s="247">
        <f>G54+H54</f>
        <v>360</v>
      </c>
      <c r="J54" s="247">
        <f>0.1*I54</f>
        <v>36</v>
      </c>
      <c r="K54" s="248">
        <f>0.9*I54</f>
        <v>324</v>
      </c>
      <c r="L54" s="246" t="s">
        <v>651</v>
      </c>
      <c r="N54" s="269">
        <v>30</v>
      </c>
      <c r="O54" s="271">
        <v>7</v>
      </c>
      <c r="V54" s="271"/>
    </row>
    <row ht="18.75" r="55" spans="1:22" s="268" customFormat="1">
      <c r="A55" s="246">
        <v>50</v>
      </c>
      <c r="B55" s="246"/>
      <c r="C55" s="246" t="s">
        <v>1007</v>
      </c>
      <c r="D55" s="246" t="s">
        <v>897</v>
      </c>
      <c r="E55" s="246">
        <v>9</v>
      </c>
      <c r="F55" s="248">
        <v>30</v>
      </c>
      <c r="G55" s="246">
        <f>E55*F55</f>
        <v>270</v>
      </c>
      <c r="H55" s="246">
        <f>E55*10</f>
        <v>90</v>
      </c>
      <c r="I55" s="247">
        <f>G55+H55</f>
        <v>360</v>
      </c>
      <c r="J55" s="247">
        <f>0.1*I55</f>
        <v>36</v>
      </c>
      <c r="K55" s="248">
        <f>0.9*I55</f>
        <v>324</v>
      </c>
      <c r="L55" s="246" t="s">
        <v>651</v>
      </c>
      <c r="N55" s="269">
        <v>30</v>
      </c>
      <c r="O55" s="271">
        <v>7</v>
      </c>
      <c r="V55" s="271"/>
    </row>
    <row ht="18.75" r="56" spans="1:22" s="268" customFormat="1">
      <c r="A56" s="246">
        <v>51</v>
      </c>
      <c r="B56" s="246"/>
      <c r="C56" s="246" t="s">
        <v>1006</v>
      </c>
      <c r="D56" s="246" t="s">
        <v>897</v>
      </c>
      <c r="E56" s="246">
        <v>9</v>
      </c>
      <c r="F56" s="248">
        <v>30</v>
      </c>
      <c r="G56" s="246">
        <f>E56*F56</f>
        <v>270</v>
      </c>
      <c r="H56" s="246">
        <f>E56*10</f>
        <v>90</v>
      </c>
      <c r="I56" s="247">
        <f>G56+H56</f>
        <v>360</v>
      </c>
      <c r="J56" s="247">
        <f>0.1*I56</f>
        <v>36</v>
      </c>
      <c r="K56" s="248">
        <f>0.9*I56</f>
        <v>324</v>
      </c>
      <c r="L56" s="246" t="s">
        <v>651</v>
      </c>
      <c r="N56" s="269">
        <v>30</v>
      </c>
      <c r="O56" s="271">
        <v>6</v>
      </c>
      <c r="V56" s="271"/>
    </row>
    <row ht="18.75" r="57" spans="1:22" s="268" customFormat="1">
      <c r="A57" s="246">
        <v>52</v>
      </c>
      <c r="B57" s="246"/>
      <c r="C57" s="246" t="s">
        <v>1005</v>
      </c>
      <c r="D57" s="246" t="s">
        <v>897</v>
      </c>
      <c r="E57" s="246">
        <v>27</v>
      </c>
      <c r="F57" s="248">
        <v>30</v>
      </c>
      <c r="G57" s="246">
        <f>E57*F57</f>
        <v>810</v>
      </c>
      <c r="H57" s="246">
        <f>E57*10</f>
        <v>270</v>
      </c>
      <c r="I57" s="247">
        <f>G57+H57</f>
        <v>1080</v>
      </c>
      <c r="J57" s="247">
        <f>0.1*I57</f>
        <v>108</v>
      </c>
      <c r="K57" s="248">
        <f>0.9*I57</f>
        <v>972</v>
      </c>
      <c r="L57" s="246" t="s">
        <v>651</v>
      </c>
      <c r="N57" s="269">
        <v>30</v>
      </c>
      <c r="O57" s="271">
        <v>6</v>
      </c>
      <c r="V57" s="271"/>
    </row>
    <row ht="18.75" r="58" spans="1:22" s="268" customFormat="1">
      <c r="A58" s="246">
        <v>53</v>
      </c>
      <c r="B58" s="246"/>
      <c r="C58" s="246" t="s">
        <v>1004</v>
      </c>
      <c r="D58" s="246" t="s">
        <v>897</v>
      </c>
      <c r="E58" s="246">
        <v>9</v>
      </c>
      <c r="F58" s="248">
        <v>30</v>
      </c>
      <c r="G58" s="246">
        <f>E58*F58</f>
        <v>270</v>
      </c>
      <c r="H58" s="246">
        <f>E58*10</f>
        <v>90</v>
      </c>
      <c r="I58" s="247">
        <f>G58+H58</f>
        <v>360</v>
      </c>
      <c r="J58" s="247">
        <f>0.1*I58</f>
        <v>36</v>
      </c>
      <c r="K58" s="248">
        <f>0.9*I58</f>
        <v>324</v>
      </c>
      <c r="L58" s="246" t="s">
        <v>651</v>
      </c>
      <c r="N58" s="269">
        <v>30</v>
      </c>
      <c r="O58" s="271">
        <v>6</v>
      </c>
      <c r="V58" s="271"/>
    </row>
    <row ht="18.75" r="59" spans="1:22" s="268" customFormat="1">
      <c r="A59" s="246">
        <v>54</v>
      </c>
      <c r="B59" s="246"/>
      <c r="C59" s="246" t="s">
        <v>1003</v>
      </c>
      <c r="D59" s="246" t="s">
        <v>897</v>
      </c>
      <c r="E59" s="246">
        <v>11</v>
      </c>
      <c r="F59" s="248">
        <v>30</v>
      </c>
      <c r="G59" s="246">
        <f>E59*F59</f>
        <v>330</v>
      </c>
      <c r="H59" s="246">
        <f>E59*10</f>
        <v>110</v>
      </c>
      <c r="I59" s="247">
        <f>G59+H59</f>
        <v>440</v>
      </c>
      <c r="J59" s="247">
        <f>0.1*I59</f>
        <v>44</v>
      </c>
      <c r="K59" s="248">
        <f>0.9*I59</f>
        <v>396</v>
      </c>
      <c r="L59" s="246" t="s">
        <v>651</v>
      </c>
      <c r="N59" s="269">
        <v>30</v>
      </c>
      <c r="O59" s="271"/>
      <c r="V59" s="271"/>
    </row>
    <row ht="18.75" r="60" spans="1:22" s="268" customFormat="1">
      <c r="A60" s="246">
        <v>55</v>
      </c>
      <c r="B60" s="246"/>
      <c r="C60" s="246" t="s">
        <v>1002</v>
      </c>
      <c r="D60" s="246" t="s">
        <v>897</v>
      </c>
      <c r="E60" s="246">
        <v>10</v>
      </c>
      <c r="F60" s="248">
        <v>30</v>
      </c>
      <c r="G60" s="246">
        <f>E60*F60</f>
        <v>300</v>
      </c>
      <c r="H60" s="246">
        <f>E60*10</f>
        <v>100</v>
      </c>
      <c r="I60" s="247">
        <f>G60+H60</f>
        <v>400</v>
      </c>
      <c r="J60" s="247">
        <f>0.1*I60</f>
        <v>40</v>
      </c>
      <c r="K60" s="248">
        <f>0.9*I60</f>
        <v>360</v>
      </c>
      <c r="L60" s="246" t="s">
        <v>651</v>
      </c>
      <c r="N60" s="269">
        <v>30</v>
      </c>
      <c r="O60" s="270">
        <v>35</v>
      </c>
      <c r="V60" s="271"/>
    </row>
    <row ht="18.75" r="61" spans="1:22" s="268" customFormat="1">
      <c r="A61" s="246">
        <v>56</v>
      </c>
      <c r="B61" s="246"/>
      <c r="C61" s="246" t="s">
        <v>1069</v>
      </c>
      <c r="D61" s="246" t="s">
        <v>897</v>
      </c>
      <c r="E61" s="246">
        <v>9</v>
      </c>
      <c r="F61" s="248">
        <v>30</v>
      </c>
      <c r="G61" s="246">
        <f>E61*F61</f>
        <v>270</v>
      </c>
      <c r="H61" s="246">
        <f>E61*10</f>
        <v>90</v>
      </c>
      <c r="I61" s="247">
        <f>G61+H61</f>
        <v>360</v>
      </c>
      <c r="J61" s="247">
        <f>0.1*I61</f>
        <v>36</v>
      </c>
      <c r="K61" s="248">
        <f>0.9*I61</f>
        <v>324</v>
      </c>
      <c r="L61" s="246" t="s">
        <v>651</v>
      </c>
      <c r="N61" s="269">
        <v>30</v>
      </c>
      <c r="O61" s="270">
        <v>35</v>
      </c>
      <c r="V61" s="271"/>
    </row>
    <row ht="18.75" r="62" spans="1:22" s="268" customFormat="1">
      <c r="A62" s="246">
        <v>57</v>
      </c>
      <c r="B62" s="246"/>
      <c r="C62" s="246" t="s">
        <v>1001</v>
      </c>
      <c r="D62" s="246" t="s">
        <v>897</v>
      </c>
      <c r="E62" s="246">
        <v>11</v>
      </c>
      <c r="F62" s="248">
        <v>30</v>
      </c>
      <c r="G62" s="246">
        <f>E62*F62</f>
        <v>330</v>
      </c>
      <c r="H62" s="246">
        <f>E62*10</f>
        <v>110</v>
      </c>
      <c r="I62" s="247">
        <f>G62+H62</f>
        <v>440</v>
      </c>
      <c r="J62" s="247">
        <f>0.1*I62</f>
        <v>44</v>
      </c>
      <c r="K62" s="248">
        <f>0.9*I62</f>
        <v>396</v>
      </c>
      <c r="L62" s="246" t="s">
        <v>651</v>
      </c>
      <c r="N62" s="269">
        <v>30</v>
      </c>
      <c r="O62" s="270">
        <v>25</v>
      </c>
      <c r="V62" s="271"/>
    </row>
    <row ht="18.75" r="63" spans="1:22" s="268" customFormat="1">
      <c r="A63" s="246">
        <v>58</v>
      </c>
      <c r="B63" s="246"/>
      <c r="C63" s="246" t="s">
        <v>1000</v>
      </c>
      <c r="D63" s="246" t="s">
        <v>897</v>
      </c>
      <c r="E63" s="246">
        <v>8</v>
      </c>
      <c r="F63" s="248">
        <v>30</v>
      </c>
      <c r="G63" s="246">
        <f>E63*F63</f>
        <v>240</v>
      </c>
      <c r="H63" s="246">
        <f>E63*10</f>
        <v>80</v>
      </c>
      <c r="I63" s="247">
        <f>G63+H63</f>
        <v>320</v>
      </c>
      <c r="J63" s="247">
        <f>0.1*I63</f>
        <v>32</v>
      </c>
      <c r="K63" s="248">
        <f>0.9*I63</f>
        <v>288</v>
      </c>
      <c r="L63" s="246" t="s">
        <v>651</v>
      </c>
      <c r="N63" s="269">
        <v>30</v>
      </c>
      <c r="O63" s="270">
        <v>25</v>
      </c>
      <c r="V63" s="271"/>
    </row>
    <row ht="18.75" r="64" spans="1:22" s="268" customFormat="1">
      <c r="A64" s="246">
        <v>59</v>
      </c>
      <c r="B64" s="246"/>
      <c r="C64" s="246" t="s">
        <v>999</v>
      </c>
      <c r="D64" s="246" t="s">
        <v>897</v>
      </c>
      <c r="E64" s="246">
        <v>9</v>
      </c>
      <c r="F64" s="248">
        <v>30</v>
      </c>
      <c r="G64" s="246">
        <f>E64*F64</f>
        <v>270</v>
      </c>
      <c r="H64" s="246">
        <f>E64*10</f>
        <v>90</v>
      </c>
      <c r="I64" s="247">
        <f>G64+H64</f>
        <v>360</v>
      </c>
      <c r="J64" s="247">
        <f>0.1*I64</f>
        <v>36</v>
      </c>
      <c r="K64" s="248">
        <f>0.9*I64</f>
        <v>324</v>
      </c>
      <c r="L64" s="246" t="s">
        <v>651</v>
      </c>
      <c r="N64" s="269">
        <v>30</v>
      </c>
      <c r="O64" s="270">
        <v>25</v>
      </c>
      <c r="V64" s="271"/>
    </row>
    <row ht="18.75" r="65" spans="1:22" s="268" customFormat="1">
      <c r="A65" s="246">
        <v>60</v>
      </c>
      <c r="B65" s="246"/>
      <c r="C65" s="246" t="s">
        <v>998</v>
      </c>
      <c r="D65" s="246" t="s">
        <v>897</v>
      </c>
      <c r="E65" s="246">
        <v>26</v>
      </c>
      <c r="F65" s="248">
        <v>30</v>
      </c>
      <c r="G65" s="246">
        <f>E65*F65</f>
        <v>780</v>
      </c>
      <c r="H65" s="246">
        <f>E65*10</f>
        <v>260</v>
      </c>
      <c r="I65" s="247">
        <f>G65+H65</f>
        <v>1040</v>
      </c>
      <c r="J65" s="247">
        <f>0.1*I65</f>
        <v>104</v>
      </c>
      <c r="K65" s="248">
        <f>0.9*I65</f>
        <v>936</v>
      </c>
      <c r="L65" s="246" t="s">
        <v>651</v>
      </c>
      <c r="N65" s="269">
        <v>30</v>
      </c>
      <c r="O65" s="270">
        <v>25</v>
      </c>
      <c r="V65" s="271"/>
    </row>
    <row ht="18.75" r="66" spans="1:22" s="268" customFormat="1">
      <c r="A66" s="246">
        <v>61</v>
      </c>
      <c r="B66" s="246"/>
      <c r="C66" s="246" t="s">
        <v>997</v>
      </c>
      <c r="D66" s="246" t="s">
        <v>897</v>
      </c>
      <c r="E66" s="246">
        <v>9</v>
      </c>
      <c r="F66" s="248">
        <v>30</v>
      </c>
      <c r="G66" s="246">
        <f>E66*F66</f>
        <v>270</v>
      </c>
      <c r="H66" s="246">
        <f>E66*10</f>
        <v>90</v>
      </c>
      <c r="I66" s="247">
        <f>G66+H66</f>
        <v>360</v>
      </c>
      <c r="J66" s="247">
        <f>0.1*I66</f>
        <v>36</v>
      </c>
      <c r="K66" s="248">
        <f>0.9*I66</f>
        <v>324</v>
      </c>
      <c r="L66" s="246" t="s">
        <v>651</v>
      </c>
      <c r="N66" s="269">
        <v>30</v>
      </c>
      <c r="O66" s="270">
        <v>25</v>
      </c>
      <c r="V66" s="271"/>
    </row>
    <row ht="18.75" r="67" spans="1:22" s="268" customFormat="1">
      <c r="A67" s="246">
        <v>62</v>
      </c>
      <c r="B67" s="246"/>
      <c r="C67" s="246" t="s">
        <v>996</v>
      </c>
      <c r="D67" s="246" t="s">
        <v>897</v>
      </c>
      <c r="E67" s="246">
        <v>11</v>
      </c>
      <c r="F67" s="248">
        <v>30</v>
      </c>
      <c r="G67" s="246">
        <f>E67*F67</f>
        <v>330</v>
      </c>
      <c r="H67" s="246">
        <f>E67*10</f>
        <v>110</v>
      </c>
      <c r="I67" s="247">
        <f>G67+H67</f>
        <v>440</v>
      </c>
      <c r="J67" s="247">
        <f>0.1*I67</f>
        <v>44</v>
      </c>
      <c r="K67" s="248">
        <f>0.9*I67</f>
        <v>396</v>
      </c>
      <c r="L67" s="246" t="s">
        <v>651</v>
      </c>
      <c r="N67" s="269">
        <v>30</v>
      </c>
      <c r="O67" s="270">
        <v>25</v>
      </c>
      <c r="V67" s="271"/>
    </row>
    <row ht="18.75" r="68" spans="1:22" s="268" customFormat="1">
      <c r="A68" s="246">
        <v>63</v>
      </c>
      <c r="B68" s="246"/>
      <c r="C68" s="246" t="s">
        <v>995</v>
      </c>
      <c r="D68" s="246" t="s">
        <v>897</v>
      </c>
      <c r="E68" s="246">
        <v>9</v>
      </c>
      <c r="F68" s="248">
        <v>30</v>
      </c>
      <c r="G68" s="246">
        <f>E68*F68</f>
        <v>270</v>
      </c>
      <c r="H68" s="246">
        <f>E68*10</f>
        <v>90</v>
      </c>
      <c r="I68" s="247">
        <f>G68+H68</f>
        <v>360</v>
      </c>
      <c r="J68" s="247">
        <f>0.1*I68</f>
        <v>36</v>
      </c>
      <c r="K68" s="248">
        <f>0.9*I68</f>
        <v>324</v>
      </c>
      <c r="L68" s="246" t="s">
        <v>651</v>
      </c>
      <c r="N68" s="269">
        <v>30</v>
      </c>
      <c r="O68" s="270">
        <v>25</v>
      </c>
      <c r="V68" s="271"/>
    </row>
    <row ht="18.75" r="69" spans="1:22" s="268" customFormat="1">
      <c r="A69" s="246">
        <v>64</v>
      </c>
      <c r="B69" s="246"/>
      <c r="C69" s="246" t="s">
        <v>994</v>
      </c>
      <c r="D69" s="246" t="s">
        <v>897</v>
      </c>
      <c r="E69" s="246">
        <v>9</v>
      </c>
      <c r="F69" s="248">
        <v>30</v>
      </c>
      <c r="G69" s="246">
        <f>E69*F69</f>
        <v>270</v>
      </c>
      <c r="H69" s="246">
        <f>E69*10</f>
        <v>90</v>
      </c>
      <c r="I69" s="247">
        <f>G69+H69</f>
        <v>360</v>
      </c>
      <c r="J69" s="247">
        <f>0.1*I69</f>
        <v>36</v>
      </c>
      <c r="K69" s="248">
        <f>0.9*I69</f>
        <v>324</v>
      </c>
      <c r="L69" s="246" t="s">
        <v>651</v>
      </c>
      <c r="N69" s="269">
        <v>30</v>
      </c>
      <c r="O69" s="270">
        <v>25</v>
      </c>
    </row>
    <row ht="18.75" r="70" spans="1:22" s="268" customFormat="1">
      <c r="A70" s="246">
        <v>65</v>
      </c>
      <c r="B70" s="246"/>
      <c r="C70" s="246" t="s">
        <v>993</v>
      </c>
      <c r="D70" s="246" t="s">
        <v>897</v>
      </c>
      <c r="E70" s="246">
        <v>17</v>
      </c>
      <c r="F70" s="248">
        <v>30</v>
      </c>
      <c r="G70" s="246">
        <f>E70*F70</f>
        <v>510</v>
      </c>
      <c r="H70" s="246">
        <f>E70*10</f>
        <v>170</v>
      </c>
      <c r="I70" s="247">
        <f>G70+H70</f>
        <v>680</v>
      </c>
      <c r="J70" s="247">
        <f>0.1*I70</f>
        <v>68</v>
      </c>
      <c r="K70" s="248">
        <f>0.9*I70</f>
        <v>612</v>
      </c>
      <c r="L70" s="246" t="s">
        <v>651</v>
      </c>
      <c r="N70" s="269">
        <v>30</v>
      </c>
      <c r="O70" s="270">
        <v>25</v>
      </c>
    </row>
    <row ht="18.75" r="71" spans="1:22" s="268" customFormat="1">
      <c r="A71" s="246">
        <v>66</v>
      </c>
      <c r="B71" s="246"/>
      <c r="C71" s="246" t="s">
        <v>992</v>
      </c>
      <c r="D71" s="246" t="s">
        <v>897</v>
      </c>
      <c r="E71" s="246">
        <v>8</v>
      </c>
      <c r="F71" s="248">
        <v>30</v>
      </c>
      <c r="G71" s="246">
        <f>E71*F71</f>
        <v>240</v>
      </c>
      <c r="H71" s="246">
        <f>E71*10</f>
        <v>80</v>
      </c>
      <c r="I71" s="247">
        <f>G71+H71</f>
        <v>320</v>
      </c>
      <c r="J71" s="247">
        <f>0.1*I71</f>
        <v>32</v>
      </c>
      <c r="K71" s="248">
        <f>0.9*I71</f>
        <v>288</v>
      </c>
      <c r="L71" s="246" t="s">
        <v>651</v>
      </c>
      <c r="N71" s="269">
        <v>30</v>
      </c>
      <c r="O71" s="270">
        <v>25</v>
      </c>
    </row>
    <row ht="18.75" r="72" spans="1:22" s="268" customFormat="1">
      <c r="A72" s="246">
        <v>67</v>
      </c>
      <c r="B72" s="246"/>
      <c r="C72" s="246" t="s">
        <v>991</v>
      </c>
      <c r="D72" s="246" t="s">
        <v>897</v>
      </c>
      <c r="E72" s="246">
        <v>11</v>
      </c>
      <c r="F72" s="248">
        <v>30</v>
      </c>
      <c r="G72" s="246">
        <f>E72*F72</f>
        <v>330</v>
      </c>
      <c r="H72" s="246">
        <f>E72*10</f>
        <v>110</v>
      </c>
      <c r="I72" s="247">
        <f>G72+H72</f>
        <v>440</v>
      </c>
      <c r="J72" s="247">
        <f>0.1*I72</f>
        <v>44</v>
      </c>
      <c r="K72" s="248">
        <f>0.9*I72</f>
        <v>396</v>
      </c>
      <c r="L72" s="246" t="s">
        <v>651</v>
      </c>
      <c r="N72" s="269">
        <v>30</v>
      </c>
      <c r="O72" s="270">
        <v>25</v>
      </c>
    </row>
    <row ht="18.75" r="73" spans="1:22" s="268" customFormat="1">
      <c r="A73" s="246">
        <v>68</v>
      </c>
      <c r="B73" s="246"/>
      <c r="C73" s="246" t="s">
        <v>990</v>
      </c>
      <c r="D73" s="246" t="s">
        <v>897</v>
      </c>
      <c r="E73" s="246">
        <v>9</v>
      </c>
      <c r="F73" s="248">
        <v>30</v>
      </c>
      <c r="G73" s="246">
        <f>E73*F73</f>
        <v>270</v>
      </c>
      <c r="H73" s="246">
        <f>E73*10</f>
        <v>90</v>
      </c>
      <c r="I73" s="247">
        <f>G73+H73</f>
        <v>360</v>
      </c>
      <c r="J73" s="247">
        <f>0.1*I73</f>
        <v>36</v>
      </c>
      <c r="K73" s="248">
        <f>0.9*I73</f>
        <v>324</v>
      </c>
      <c r="L73" s="246" t="s">
        <v>651</v>
      </c>
      <c r="N73" s="269">
        <v>30</v>
      </c>
      <c r="O73" s="270">
        <v>25</v>
      </c>
    </row>
    <row ht="18.75" r="74" spans="1:22" s="268" customFormat="1">
      <c r="A74" s="246">
        <v>69</v>
      </c>
      <c r="B74" s="246"/>
      <c r="C74" s="246" t="s">
        <v>989</v>
      </c>
      <c r="D74" s="246" t="s">
        <v>897</v>
      </c>
      <c r="E74" s="246">
        <v>8</v>
      </c>
      <c r="F74" s="248">
        <v>30</v>
      </c>
      <c r="G74" s="246">
        <f>E74*F74</f>
        <v>240</v>
      </c>
      <c r="H74" s="246">
        <f>E74*10</f>
        <v>80</v>
      </c>
      <c r="I74" s="247">
        <f>G74+H74</f>
        <v>320</v>
      </c>
      <c r="J74" s="247">
        <f>0.1*I74</f>
        <v>32</v>
      </c>
      <c r="K74" s="248">
        <f>0.9*I74</f>
        <v>288</v>
      </c>
      <c r="L74" s="246" t="s">
        <v>651</v>
      </c>
      <c r="N74" s="269">
        <v>30</v>
      </c>
      <c r="O74" s="270">
        <v>25</v>
      </c>
      <c r="V74" s="271"/>
    </row>
    <row ht="18.75" r="75" spans="1:22" s="268" customFormat="1">
      <c r="A75" s="246">
        <v>70</v>
      </c>
      <c r="B75" s="246"/>
      <c r="C75" s="246" t="s">
        <v>988</v>
      </c>
      <c r="D75" s="246" t="s">
        <v>897</v>
      </c>
      <c r="E75" s="246">
        <v>9</v>
      </c>
      <c r="F75" s="248">
        <v>30</v>
      </c>
      <c r="G75" s="246">
        <f>E75*F75</f>
        <v>270</v>
      </c>
      <c r="H75" s="246">
        <f>E75*10</f>
        <v>90</v>
      </c>
      <c r="I75" s="247">
        <f>G75+H75</f>
        <v>360</v>
      </c>
      <c r="J75" s="247">
        <f>0.1*I75</f>
        <v>36</v>
      </c>
      <c r="K75" s="248">
        <f>0.9*I75</f>
        <v>324</v>
      </c>
      <c r="L75" s="246" t="s">
        <v>651</v>
      </c>
      <c r="N75" s="269">
        <v>30</v>
      </c>
      <c r="O75" s="270">
        <v>25</v>
      </c>
      <c r="V75" s="271"/>
    </row>
    <row ht="18.75" r="76" spans="1:22" s="268" customFormat="1">
      <c r="A76" s="246">
        <v>71</v>
      </c>
      <c r="B76" s="246"/>
      <c r="C76" s="246" t="s">
        <v>987</v>
      </c>
      <c r="D76" s="246" t="s">
        <v>897</v>
      </c>
      <c r="E76" s="246">
        <v>23</v>
      </c>
      <c r="F76" s="248">
        <v>30</v>
      </c>
      <c r="G76" s="246">
        <f>E76*F76</f>
        <v>690</v>
      </c>
      <c r="H76" s="246">
        <f>E76*10</f>
        <v>230</v>
      </c>
      <c r="I76" s="247">
        <f>G76+H76</f>
        <v>920</v>
      </c>
      <c r="J76" s="247">
        <f>0.1*I76</f>
        <v>92</v>
      </c>
      <c r="K76" s="248">
        <f>0.9*I76</f>
        <v>828</v>
      </c>
      <c r="L76" s="246" t="s">
        <v>651</v>
      </c>
      <c r="N76" s="269">
        <v>30</v>
      </c>
      <c r="O76" s="270">
        <v>25</v>
      </c>
      <c r="V76" s="271"/>
    </row>
    <row ht="18.75" r="77" spans="1:22" s="268" customFormat="1">
      <c r="A77" s="246">
        <v>72</v>
      </c>
      <c r="B77" s="246"/>
      <c r="C77" s="246" t="s">
        <v>986</v>
      </c>
      <c r="D77" s="246" t="s">
        <v>897</v>
      </c>
      <c r="E77" s="246">
        <v>15</v>
      </c>
      <c r="F77" s="248">
        <v>30</v>
      </c>
      <c r="G77" s="246">
        <f>E77*F77</f>
        <v>450</v>
      </c>
      <c r="H77" s="246">
        <f>E77*10</f>
        <v>150</v>
      </c>
      <c r="I77" s="247">
        <f>G77+H77</f>
        <v>600</v>
      </c>
      <c r="J77" s="247">
        <f>0.1*I77</f>
        <v>60</v>
      </c>
      <c r="K77" s="248">
        <f>0.9*I77</f>
        <v>540</v>
      </c>
      <c r="L77" s="246" t="s">
        <v>651</v>
      </c>
      <c r="N77" s="269">
        <v>30</v>
      </c>
      <c r="O77" s="270">
        <v>25</v>
      </c>
      <c r="V77" s="271"/>
    </row>
    <row ht="18.75" r="78" spans="1:22" s="268" customFormat="1">
      <c r="A78" s="246">
        <v>73</v>
      </c>
      <c r="B78" s="246"/>
      <c r="C78" s="246" t="s">
        <v>1347</v>
      </c>
      <c r="D78" s="246" t="s">
        <v>897</v>
      </c>
      <c r="E78" s="246">
        <v>3</v>
      </c>
      <c r="F78" s="248">
        <v>30</v>
      </c>
      <c r="G78" s="246">
        <f>E78*F78</f>
        <v>90</v>
      </c>
      <c r="H78" s="246">
        <f>E78*10</f>
        <v>30</v>
      </c>
      <c r="I78" s="247">
        <f>G78+H78</f>
        <v>120</v>
      </c>
      <c r="J78" s="247">
        <f>0.1*I78</f>
        <v>12</v>
      </c>
      <c r="K78" s="248">
        <f>0.9*I78</f>
        <v>108</v>
      </c>
      <c r="L78" s="246" t="s">
        <v>651</v>
      </c>
      <c r="N78" s="269">
        <v>30</v>
      </c>
      <c r="O78" s="270">
        <v>25</v>
      </c>
      <c r="V78" s="271"/>
    </row>
    <row ht="18.75" r="79" spans="1:22" s="268" customFormat="1">
      <c r="A79" s="246">
        <v>74</v>
      </c>
      <c r="B79" s="246"/>
      <c r="C79" s="246" t="s">
        <v>985</v>
      </c>
      <c r="D79" s="246" t="s">
        <v>897</v>
      </c>
      <c r="E79" s="246">
        <v>11</v>
      </c>
      <c r="F79" s="248">
        <v>30</v>
      </c>
      <c r="G79" s="246">
        <f>E79*F79</f>
        <v>330</v>
      </c>
      <c r="H79" s="246">
        <f>E79*10</f>
        <v>110</v>
      </c>
      <c r="I79" s="247">
        <f>G79+H79</f>
        <v>440</v>
      </c>
      <c r="J79" s="247">
        <f>0.1*I79</f>
        <v>44</v>
      </c>
      <c r="K79" s="248">
        <f>0.9*I79</f>
        <v>396</v>
      </c>
      <c r="L79" s="246" t="s">
        <v>651</v>
      </c>
      <c r="N79" s="269">
        <v>30</v>
      </c>
      <c r="O79" s="270">
        <v>25</v>
      </c>
      <c r="V79" s="271"/>
    </row>
    <row ht="18.75" r="80" spans="1:22" s="268" customFormat="1">
      <c r="A80" s="246">
        <v>75</v>
      </c>
      <c r="B80" s="246"/>
      <c r="C80" s="246" t="s">
        <v>984</v>
      </c>
      <c r="D80" s="246" t="s">
        <v>897</v>
      </c>
      <c r="E80" s="246">
        <v>9</v>
      </c>
      <c r="F80" s="248">
        <v>30</v>
      </c>
      <c r="G80" s="246">
        <f>E80*F80</f>
        <v>270</v>
      </c>
      <c r="H80" s="246">
        <f>E80*10</f>
        <v>90</v>
      </c>
      <c r="I80" s="247">
        <f>G80+H80</f>
        <v>360</v>
      </c>
      <c r="J80" s="247">
        <f>0.1*I80</f>
        <v>36</v>
      </c>
      <c r="K80" s="248">
        <f>0.9*I80</f>
        <v>324</v>
      </c>
      <c r="L80" s="246" t="s">
        <v>651</v>
      </c>
      <c r="N80" s="269">
        <v>30</v>
      </c>
      <c r="O80" s="270">
        <v>25</v>
      </c>
      <c r="V80" s="271"/>
    </row>
    <row ht="18.75" r="81" spans="1:22" s="268" customFormat="1">
      <c r="A81" s="246">
        <v>76</v>
      </c>
      <c r="B81" s="246"/>
      <c r="C81" s="246" t="s">
        <v>983</v>
      </c>
      <c r="D81" s="246" t="s">
        <v>897</v>
      </c>
      <c r="E81" s="246">
        <v>11</v>
      </c>
      <c r="F81" s="248">
        <v>30</v>
      </c>
      <c r="G81" s="246">
        <f>E81*F81</f>
        <v>330</v>
      </c>
      <c r="H81" s="246">
        <f>E81*10</f>
        <v>110</v>
      </c>
      <c r="I81" s="247">
        <f>G81+H81</f>
        <v>440</v>
      </c>
      <c r="J81" s="247">
        <f>0.1*I81</f>
        <v>44</v>
      </c>
      <c r="K81" s="248">
        <f>0.9*I81</f>
        <v>396</v>
      </c>
      <c r="L81" s="246" t="s">
        <v>651</v>
      </c>
      <c r="N81" s="269">
        <v>30</v>
      </c>
      <c r="O81" s="270">
        <v>25</v>
      </c>
      <c r="V81" s="271"/>
    </row>
    <row ht="18.75" r="82" spans="1:22" s="268" customFormat="1">
      <c r="A82" s="246">
        <v>77</v>
      </c>
      <c r="B82" s="246"/>
      <c r="C82" s="246" t="s">
        <v>982</v>
      </c>
      <c r="D82" s="246" t="s">
        <v>897</v>
      </c>
      <c r="E82" s="246">
        <v>8</v>
      </c>
      <c r="F82" s="246">
        <v>30</v>
      </c>
      <c r="G82" s="246">
        <f>E82*F82</f>
        <v>240</v>
      </c>
      <c r="H82" s="246">
        <f>E82*10</f>
        <v>80</v>
      </c>
      <c r="I82" s="247">
        <f>G82+H82</f>
        <v>320</v>
      </c>
      <c r="J82" s="247">
        <f>0.1*I82</f>
        <v>32</v>
      </c>
      <c r="K82" s="248">
        <f>0.9*I82</f>
        <v>288</v>
      </c>
      <c r="L82" s="246" t="s">
        <v>651</v>
      </c>
      <c r="N82" s="269">
        <v>30</v>
      </c>
      <c r="O82" s="270">
        <v>25</v>
      </c>
      <c r="V82" s="271"/>
    </row>
    <row ht="18.75" r="83" spans="1:22" s="268" customFormat="1">
      <c r="A83" s="246">
        <v>78</v>
      </c>
      <c r="B83" s="246"/>
      <c r="C83" s="246" t="s">
        <v>981</v>
      </c>
      <c r="D83" s="246" t="s">
        <v>897</v>
      </c>
      <c r="E83" s="246">
        <v>8</v>
      </c>
      <c r="F83" s="248">
        <v>30</v>
      </c>
      <c r="G83" s="246">
        <f>E83*F83</f>
        <v>240</v>
      </c>
      <c r="H83" s="246">
        <f>E83*10</f>
        <v>80</v>
      </c>
      <c r="I83" s="247">
        <f>G83+H83</f>
        <v>320</v>
      </c>
      <c r="J83" s="247">
        <f>0.1*I83</f>
        <v>32</v>
      </c>
      <c r="K83" s="248">
        <f>0.9*I83</f>
        <v>288</v>
      </c>
      <c r="L83" s="246" t="s">
        <v>651</v>
      </c>
      <c r="N83" s="269">
        <v>30</v>
      </c>
      <c r="O83" s="270">
        <v>25</v>
      </c>
      <c r="V83" s="271"/>
    </row>
    <row ht="18.75" r="84" spans="1:22" s="268" customFormat="1">
      <c r="A84" s="246">
        <v>79</v>
      </c>
      <c r="B84" s="246"/>
      <c r="C84" s="246" t="s">
        <v>980</v>
      </c>
      <c r="D84" s="246" t="s">
        <v>897</v>
      </c>
      <c r="E84" s="246">
        <v>8</v>
      </c>
      <c r="F84" s="248">
        <v>30</v>
      </c>
      <c r="G84" s="246">
        <f>E84*F84</f>
        <v>240</v>
      </c>
      <c r="H84" s="246">
        <f>E84*10</f>
        <v>80</v>
      </c>
      <c r="I84" s="247">
        <f>G84+H84</f>
        <v>320</v>
      </c>
      <c r="J84" s="247">
        <f>0.1*I84</f>
        <v>32</v>
      </c>
      <c r="K84" s="248">
        <f>0.9*I84</f>
        <v>288</v>
      </c>
      <c r="L84" s="246" t="s">
        <v>651</v>
      </c>
      <c r="N84" s="269">
        <v>30</v>
      </c>
      <c r="O84" s="270">
        <v>25</v>
      </c>
      <c r="V84" s="271"/>
    </row>
    <row ht="18.75" r="85" spans="1:22" s="268" customFormat="1">
      <c r="A85" s="246">
        <v>80</v>
      </c>
      <c r="B85" s="246"/>
      <c r="C85" s="246" t="s">
        <v>979</v>
      </c>
      <c r="D85" s="246" t="s">
        <v>897</v>
      </c>
      <c r="E85" s="246">
        <v>9</v>
      </c>
      <c r="F85" s="248">
        <v>30</v>
      </c>
      <c r="G85" s="246">
        <f>E85*F85</f>
        <v>270</v>
      </c>
      <c r="H85" s="246">
        <f>E85*10</f>
        <v>90</v>
      </c>
      <c r="I85" s="247">
        <f>G85+H85</f>
        <v>360</v>
      </c>
      <c r="J85" s="247">
        <f>0.1*I85</f>
        <v>36</v>
      </c>
      <c r="K85" s="248">
        <f>0.9*I85</f>
        <v>324</v>
      </c>
      <c r="L85" s="246" t="s">
        <v>651</v>
      </c>
      <c r="N85" s="269">
        <v>30</v>
      </c>
      <c r="O85" s="270">
        <v>25</v>
      </c>
      <c r="V85" s="271"/>
    </row>
    <row ht="18.75" r="86" spans="1:22" s="268" customFormat="1">
      <c r="A86" s="246">
        <v>81</v>
      </c>
      <c r="B86" s="246"/>
      <c r="C86" s="246" t="s">
        <v>978</v>
      </c>
      <c r="D86" s="246" t="s">
        <v>897</v>
      </c>
      <c r="E86" s="246">
        <v>11</v>
      </c>
      <c r="F86" s="248">
        <v>30</v>
      </c>
      <c r="G86" s="246">
        <f>E86*F86</f>
        <v>330</v>
      </c>
      <c r="H86" s="246">
        <f>E86*10</f>
        <v>110</v>
      </c>
      <c r="I86" s="247">
        <f>G86+H86</f>
        <v>440</v>
      </c>
      <c r="J86" s="247">
        <f>0.1*I86</f>
        <v>44</v>
      </c>
      <c r="K86" s="248">
        <f>0.9*I86</f>
        <v>396</v>
      </c>
      <c r="L86" s="246" t="s">
        <v>651</v>
      </c>
      <c r="N86" s="269">
        <v>30</v>
      </c>
      <c r="O86" s="270">
        <v>25</v>
      </c>
      <c r="V86" s="271"/>
    </row>
    <row ht="18.75" r="87" spans="1:22" s="268" customFormat="1">
      <c r="A87" s="246">
        <v>82</v>
      </c>
      <c r="B87" s="246"/>
      <c r="C87" s="246" t="s">
        <v>977</v>
      </c>
      <c r="D87" s="246" t="s">
        <v>897</v>
      </c>
      <c r="E87" s="246">
        <v>9</v>
      </c>
      <c r="F87" s="248">
        <v>30</v>
      </c>
      <c r="G87" s="246">
        <f>E87*F87</f>
        <v>270</v>
      </c>
      <c r="H87" s="246">
        <f>E87*10</f>
        <v>90</v>
      </c>
      <c r="I87" s="247">
        <f>G87+H87</f>
        <v>360</v>
      </c>
      <c r="J87" s="247">
        <f>0.1*I87</f>
        <v>36</v>
      </c>
      <c r="K87" s="248">
        <f>0.9*I87</f>
        <v>324</v>
      </c>
      <c r="L87" s="246" t="s">
        <v>651</v>
      </c>
      <c r="N87" s="269">
        <v>30</v>
      </c>
      <c r="O87" s="270">
        <v>25</v>
      </c>
      <c r="V87" s="271"/>
    </row>
    <row ht="18.75" r="88" spans="1:22" s="268" customFormat="1">
      <c r="A88" s="246">
        <v>83</v>
      </c>
      <c r="B88" s="246"/>
      <c r="C88" s="246" t="s">
        <v>976</v>
      </c>
      <c r="D88" s="246" t="s">
        <v>897</v>
      </c>
      <c r="E88" s="246">
        <v>9</v>
      </c>
      <c r="F88" s="248">
        <v>30</v>
      </c>
      <c r="G88" s="246">
        <f>E88*F88</f>
        <v>270</v>
      </c>
      <c r="H88" s="246">
        <f>E88*10</f>
        <v>90</v>
      </c>
      <c r="I88" s="247">
        <f>G88+H88</f>
        <v>360</v>
      </c>
      <c r="J88" s="247">
        <f>0.1*I88</f>
        <v>36</v>
      </c>
      <c r="K88" s="248">
        <f>0.9*I88</f>
        <v>324</v>
      </c>
      <c r="L88" s="246" t="s">
        <v>651</v>
      </c>
      <c r="N88" s="269">
        <v>30</v>
      </c>
      <c r="O88" s="270">
        <v>25</v>
      </c>
      <c r="V88" s="271"/>
    </row>
    <row ht="18.75" r="89" spans="1:22" s="268" customFormat="1">
      <c r="A89" s="246">
        <v>84</v>
      </c>
      <c r="B89" s="246"/>
      <c r="C89" s="246" t="s">
        <v>975</v>
      </c>
      <c r="D89" s="246" t="s">
        <v>897</v>
      </c>
      <c r="E89" s="246">
        <v>12</v>
      </c>
      <c r="F89" s="248">
        <v>30</v>
      </c>
      <c r="G89" s="246">
        <f>E89*F89</f>
        <v>360</v>
      </c>
      <c r="H89" s="246">
        <f>E89*10</f>
        <v>120</v>
      </c>
      <c r="I89" s="247">
        <f>G89+H89</f>
        <v>480</v>
      </c>
      <c r="J89" s="247">
        <f>0.1*I89</f>
        <v>48</v>
      </c>
      <c r="K89" s="248">
        <f>0.9*I89</f>
        <v>432</v>
      </c>
      <c r="L89" s="246" t="s">
        <v>651</v>
      </c>
      <c r="N89" s="269">
        <v>30</v>
      </c>
      <c r="O89" s="270">
        <v>25</v>
      </c>
      <c r="V89" s="271"/>
    </row>
    <row ht="18.75" r="90" spans="1:22" s="268" customFormat="1">
      <c r="A90" s="246">
        <v>85</v>
      </c>
      <c r="B90" s="246"/>
      <c r="C90" s="246" t="s">
        <v>974</v>
      </c>
      <c r="D90" s="246" t="s">
        <v>897</v>
      </c>
      <c r="E90" s="246">
        <v>9</v>
      </c>
      <c r="F90" s="248">
        <v>30</v>
      </c>
      <c r="G90" s="246">
        <f>E90*F90</f>
        <v>270</v>
      </c>
      <c r="H90" s="246">
        <f>E90*10</f>
        <v>90</v>
      </c>
      <c r="I90" s="247">
        <f>G90+H90</f>
        <v>360</v>
      </c>
      <c r="J90" s="247">
        <f>0.1*I90</f>
        <v>36</v>
      </c>
      <c r="K90" s="248">
        <f>0.9*I90</f>
        <v>324</v>
      </c>
      <c r="L90" s="246" t="s">
        <v>651</v>
      </c>
      <c r="N90" s="269">
        <v>30</v>
      </c>
      <c r="O90" s="270">
        <v>25</v>
      </c>
      <c r="V90" s="271"/>
    </row>
    <row ht="18.75" r="91" spans="1:22" s="268" customFormat="1">
      <c r="A91" s="246">
        <v>86</v>
      </c>
      <c r="B91" s="246"/>
      <c r="C91" s="246" t="s">
        <v>973</v>
      </c>
      <c r="D91" s="246" t="s">
        <v>897</v>
      </c>
      <c r="E91" s="246">
        <v>24</v>
      </c>
      <c r="F91" s="248">
        <v>30</v>
      </c>
      <c r="G91" s="246">
        <f>E91*F91</f>
        <v>720</v>
      </c>
      <c r="H91" s="246">
        <f>E91*10</f>
        <v>240</v>
      </c>
      <c r="I91" s="247">
        <f>G91+H91</f>
        <v>960</v>
      </c>
      <c r="J91" s="247">
        <f>0.1*I91</f>
        <v>96</v>
      </c>
      <c r="K91" s="248">
        <f>0.9*I91</f>
        <v>864</v>
      </c>
      <c r="L91" s="246" t="s">
        <v>651</v>
      </c>
      <c r="N91" s="269">
        <v>30</v>
      </c>
      <c r="O91" s="270">
        <v>25</v>
      </c>
      <c r="V91" s="271"/>
    </row>
    <row ht="18.75" r="92" spans="1:22" s="268" customFormat="1">
      <c r="A92" s="246">
        <v>87</v>
      </c>
      <c r="B92" s="246"/>
      <c r="C92" s="246" t="s">
        <v>972</v>
      </c>
      <c r="D92" s="246" t="s">
        <v>897</v>
      </c>
      <c r="E92" s="246">
        <v>5</v>
      </c>
      <c r="F92" s="248">
        <v>30</v>
      </c>
      <c r="G92" s="246">
        <f>E92*F92</f>
        <v>150</v>
      </c>
      <c r="H92" s="246">
        <f>E92*10</f>
        <v>50</v>
      </c>
      <c r="I92" s="247">
        <f>G92+H92</f>
        <v>200</v>
      </c>
      <c r="J92" s="247">
        <f>0.1*I92</f>
        <v>20</v>
      </c>
      <c r="K92" s="248">
        <f>0.9*I92</f>
        <v>180</v>
      </c>
      <c r="L92" s="246" t="s">
        <v>651</v>
      </c>
      <c r="N92" s="269">
        <v>30</v>
      </c>
      <c r="O92" s="270">
        <v>25</v>
      </c>
      <c r="V92" s="271"/>
    </row>
    <row ht="18.75" r="93" spans="1:22" s="268" customFormat="1">
      <c r="A93" s="246">
        <v>88</v>
      </c>
      <c r="B93" s="246"/>
      <c r="C93" s="246" t="s">
        <v>971</v>
      </c>
      <c r="D93" s="246" t="s">
        <v>897</v>
      </c>
      <c r="E93" s="246">
        <v>9</v>
      </c>
      <c r="F93" s="248">
        <v>30</v>
      </c>
      <c r="G93" s="246">
        <f>E93*F93</f>
        <v>270</v>
      </c>
      <c r="H93" s="246">
        <f>E93*10</f>
        <v>90</v>
      </c>
      <c r="I93" s="247">
        <f>G93+H93</f>
        <v>360</v>
      </c>
      <c r="J93" s="247">
        <f>0.1*I93</f>
        <v>36</v>
      </c>
      <c r="K93" s="248">
        <f>0.9*I93</f>
        <v>324</v>
      </c>
      <c r="L93" s="246" t="s">
        <v>651</v>
      </c>
      <c r="N93" s="269">
        <v>30</v>
      </c>
      <c r="O93" s="270">
        <v>25</v>
      </c>
    </row>
    <row ht="18.75" r="94" spans="1:22" s="268" customFormat="1">
      <c r="A94" s="246">
        <v>89</v>
      </c>
      <c r="B94" s="246"/>
      <c r="C94" s="246" t="s">
        <v>970</v>
      </c>
      <c r="D94" s="246" t="s">
        <v>897</v>
      </c>
      <c r="E94" s="246">
        <v>11</v>
      </c>
      <c r="F94" s="248">
        <v>30</v>
      </c>
      <c r="G94" s="246">
        <f>E94*F94</f>
        <v>330</v>
      </c>
      <c r="H94" s="246">
        <f>E94*10</f>
        <v>110</v>
      </c>
      <c r="I94" s="247">
        <f>G94+H94</f>
        <v>440</v>
      </c>
      <c r="J94" s="247">
        <f>0.1*I94</f>
        <v>44</v>
      </c>
      <c r="K94" s="248">
        <f>0.9*I94</f>
        <v>396</v>
      </c>
      <c r="L94" s="246" t="s">
        <v>651</v>
      </c>
      <c r="N94" s="269">
        <v>30</v>
      </c>
      <c r="O94" s="270">
        <v>25</v>
      </c>
    </row>
    <row ht="18.75" r="95" spans="1:22" s="268" customFormat="1">
      <c r="A95" s="246">
        <v>90</v>
      </c>
      <c r="B95" s="246"/>
      <c r="C95" s="246" t="s">
        <v>969</v>
      </c>
      <c r="D95" s="246" t="s">
        <v>897</v>
      </c>
      <c r="E95" s="246">
        <v>14</v>
      </c>
      <c r="F95" s="248">
        <v>30</v>
      </c>
      <c r="G95" s="246">
        <f>E95*F95</f>
        <v>420</v>
      </c>
      <c r="H95" s="246">
        <f>E95*10</f>
        <v>140</v>
      </c>
      <c r="I95" s="247">
        <f>G95+H95</f>
        <v>560</v>
      </c>
      <c r="J95" s="247">
        <f>0.1*I95</f>
        <v>56</v>
      </c>
      <c r="K95" s="248">
        <f>0.9*I95</f>
        <v>504</v>
      </c>
      <c r="L95" s="246" t="s">
        <v>651</v>
      </c>
      <c r="N95" s="269">
        <v>30</v>
      </c>
      <c r="O95" s="270">
        <v>25</v>
      </c>
    </row>
    <row ht="18.75" r="96" spans="1:22" s="268" customFormat="1">
      <c r="A96" s="246">
        <v>91</v>
      </c>
      <c r="B96" s="246"/>
      <c r="C96" s="246" t="s">
        <v>968</v>
      </c>
      <c r="D96" s="246" t="s">
        <v>897</v>
      </c>
      <c r="E96" s="246">
        <v>8</v>
      </c>
      <c r="F96" s="248">
        <v>30</v>
      </c>
      <c r="G96" s="246">
        <f>E96*F96</f>
        <v>240</v>
      </c>
      <c r="H96" s="246">
        <f>E96*10</f>
        <v>80</v>
      </c>
      <c r="I96" s="247">
        <f>G96+H96</f>
        <v>320</v>
      </c>
      <c r="J96" s="247">
        <f>0.1*I96</f>
        <v>32</v>
      </c>
      <c r="K96" s="248">
        <f>0.9*I96</f>
        <v>288</v>
      </c>
      <c r="L96" s="246" t="s">
        <v>651</v>
      </c>
      <c r="N96" s="269">
        <v>30</v>
      </c>
      <c r="O96" s="270">
        <v>25</v>
      </c>
    </row>
    <row ht="18.75" r="97" spans="1:22" s="268" customFormat="1">
      <c r="A97" s="246">
        <v>92</v>
      </c>
      <c r="B97" s="246"/>
      <c r="C97" s="246" t="s">
        <v>967</v>
      </c>
      <c r="D97" s="246" t="s">
        <v>897</v>
      </c>
      <c r="E97" s="246">
        <v>9</v>
      </c>
      <c r="F97" s="248">
        <v>30</v>
      </c>
      <c r="G97" s="246">
        <f>E97*F97</f>
        <v>270</v>
      </c>
      <c r="H97" s="246">
        <f>E97*10</f>
        <v>90</v>
      </c>
      <c r="I97" s="247">
        <f>G97+H97</f>
        <v>360</v>
      </c>
      <c r="J97" s="247">
        <f>0.1*I97</f>
        <v>36</v>
      </c>
      <c r="K97" s="248">
        <f>0.9*I97</f>
        <v>324</v>
      </c>
      <c r="L97" s="246" t="s">
        <v>651</v>
      </c>
      <c r="N97" s="269">
        <v>30</v>
      </c>
      <c r="O97" s="270">
        <v>25</v>
      </c>
    </row>
    <row ht="18.75" r="98" spans="1:22" s="268" customFormat="1">
      <c r="A98" s="246">
        <v>93</v>
      </c>
      <c r="B98" s="246"/>
      <c r="C98" s="246" t="s">
        <v>966</v>
      </c>
      <c r="D98" s="246" t="s">
        <v>897</v>
      </c>
      <c r="E98" s="246">
        <v>9</v>
      </c>
      <c r="F98" s="248">
        <v>30</v>
      </c>
      <c r="G98" s="246">
        <f>E98*F98</f>
        <v>270</v>
      </c>
      <c r="H98" s="246">
        <f>E98*10</f>
        <v>90</v>
      </c>
      <c r="I98" s="247">
        <f>G98+H98</f>
        <v>360</v>
      </c>
      <c r="J98" s="247">
        <f>0.1*I98</f>
        <v>36</v>
      </c>
      <c r="K98" s="248">
        <f>0.9*I98</f>
        <v>324</v>
      </c>
      <c r="L98" s="246" t="s">
        <v>651</v>
      </c>
      <c r="N98" s="269">
        <v>30</v>
      </c>
      <c r="O98" s="270">
        <v>25</v>
      </c>
    </row>
    <row ht="18.75" r="99" spans="1:22" s="268" customFormat="1">
      <c r="A99" s="246">
        <v>94</v>
      </c>
      <c r="B99" s="246"/>
      <c r="C99" s="246" t="s">
        <v>965</v>
      </c>
      <c r="D99" s="246" t="s">
        <v>897</v>
      </c>
      <c r="E99" s="246">
        <v>6</v>
      </c>
      <c r="F99" s="248">
        <v>30</v>
      </c>
      <c r="G99" s="246">
        <f>E99*F99</f>
        <v>180</v>
      </c>
      <c r="H99" s="246">
        <f>E99*10</f>
        <v>60</v>
      </c>
      <c r="I99" s="247">
        <f>G99+H99</f>
        <v>240</v>
      </c>
      <c r="J99" s="247">
        <f>0.1*I99</f>
        <v>24</v>
      </c>
      <c r="K99" s="248">
        <f>0.9*I99</f>
        <v>216</v>
      </c>
      <c r="L99" s="246" t="s">
        <v>651</v>
      </c>
      <c r="N99" s="269">
        <v>30</v>
      </c>
      <c r="O99" s="270">
        <v>25</v>
      </c>
      <c r="V99" s="271"/>
    </row>
    <row ht="18.75" r="100" spans="1:22" s="268" customFormat="1">
      <c r="A100" s="246">
        <v>95</v>
      </c>
      <c r="B100" s="246"/>
      <c r="C100" s="246" t="s">
        <v>900</v>
      </c>
      <c r="D100" s="246" t="s">
        <v>897</v>
      </c>
      <c r="E100" s="246">
        <v>14</v>
      </c>
      <c r="F100" s="248">
        <v>30</v>
      </c>
      <c r="G100" s="246">
        <f>E100*F100</f>
        <v>420</v>
      </c>
      <c r="H100" s="246">
        <f>E100*10</f>
        <v>140</v>
      </c>
      <c r="I100" s="247">
        <f>G100+H100</f>
        <v>560</v>
      </c>
      <c r="J100" s="247">
        <f>0.1*I100</f>
        <v>56</v>
      </c>
      <c r="K100" s="248">
        <f>0.9*I100</f>
        <v>504</v>
      </c>
      <c r="L100" s="246" t="s">
        <v>651</v>
      </c>
      <c r="N100" s="269">
        <v>30</v>
      </c>
      <c r="O100" s="270">
        <v>25</v>
      </c>
      <c r="V100" s="271"/>
    </row>
    <row ht="18.75" r="101" spans="1:22" s="268" customFormat="1">
      <c r="A101" s="246">
        <v>96</v>
      </c>
      <c r="B101" s="246"/>
      <c r="C101" s="246" t="s">
        <v>964</v>
      </c>
      <c r="D101" s="246" t="s">
        <v>897</v>
      </c>
      <c r="E101" s="246">
        <v>9</v>
      </c>
      <c r="F101" s="248">
        <v>30</v>
      </c>
      <c r="G101" s="246">
        <f>E101*F101</f>
        <v>270</v>
      </c>
      <c r="H101" s="246">
        <f>E101*10</f>
        <v>90</v>
      </c>
      <c r="I101" s="247">
        <f>G101+H101</f>
        <v>360</v>
      </c>
      <c r="J101" s="247">
        <f>0.1*I101</f>
        <v>36</v>
      </c>
      <c r="K101" s="248">
        <f>0.9*I101</f>
        <v>324</v>
      </c>
      <c r="L101" s="246" t="s">
        <v>651</v>
      </c>
      <c r="N101" s="269">
        <v>30</v>
      </c>
      <c r="O101" s="270">
        <v>25</v>
      </c>
      <c r="V101" s="271"/>
    </row>
    <row ht="18.75" r="102" spans="1:22" s="268" customFormat="1">
      <c r="A102" s="246">
        <v>97</v>
      </c>
      <c r="B102" s="246"/>
      <c r="C102" s="246" t="s">
        <v>963</v>
      </c>
      <c r="D102" s="246" t="s">
        <v>897</v>
      </c>
      <c r="E102" s="246">
        <v>9</v>
      </c>
      <c r="F102" s="248">
        <v>30</v>
      </c>
      <c r="G102" s="246">
        <f>E102*F102</f>
        <v>270</v>
      </c>
      <c r="H102" s="246">
        <f>E102*10</f>
        <v>90</v>
      </c>
      <c r="I102" s="247">
        <f>G102+H102</f>
        <v>360</v>
      </c>
      <c r="J102" s="247">
        <f>0.1*I102</f>
        <v>36</v>
      </c>
      <c r="K102" s="248">
        <f>0.9*I102</f>
        <v>324</v>
      </c>
      <c r="L102" s="246" t="s">
        <v>651</v>
      </c>
      <c r="N102" s="269">
        <v>30</v>
      </c>
      <c r="O102" s="270">
        <v>25</v>
      </c>
      <c r="V102" s="271"/>
    </row>
    <row ht="18.75" r="103" spans="1:22" s="268" customFormat="1">
      <c r="A103" s="246">
        <v>98</v>
      </c>
      <c r="B103" s="246"/>
      <c r="C103" s="246" t="s">
        <v>962</v>
      </c>
      <c r="D103" s="246" t="s">
        <v>897</v>
      </c>
      <c r="E103" s="246">
        <v>8</v>
      </c>
      <c r="F103" s="248">
        <v>30</v>
      </c>
      <c r="G103" s="246">
        <f>E103*F103</f>
        <v>240</v>
      </c>
      <c r="H103" s="246">
        <f>E103*10</f>
        <v>80</v>
      </c>
      <c r="I103" s="247">
        <f>G103+H103</f>
        <v>320</v>
      </c>
      <c r="J103" s="247">
        <f>0.1*I103</f>
        <v>32</v>
      </c>
      <c r="K103" s="248">
        <f>0.9*I103</f>
        <v>288</v>
      </c>
      <c r="L103" s="246" t="s">
        <v>651</v>
      </c>
      <c r="N103" s="269">
        <v>30</v>
      </c>
      <c r="O103" s="270">
        <v>25</v>
      </c>
      <c r="V103" s="271"/>
    </row>
    <row ht="18.75" r="104" spans="1:22" s="268" customFormat="1">
      <c r="A104" s="246">
        <v>99</v>
      </c>
      <c r="B104" s="246"/>
      <c r="C104" s="246" t="s">
        <v>961</v>
      </c>
      <c r="D104" s="246" t="s">
        <v>897</v>
      </c>
      <c r="E104" s="246">
        <v>9</v>
      </c>
      <c r="F104" s="248">
        <v>30</v>
      </c>
      <c r="G104" s="246">
        <f>E104*F104</f>
        <v>270</v>
      </c>
      <c r="H104" s="246">
        <f>E104*10</f>
        <v>90</v>
      </c>
      <c r="I104" s="247">
        <f>G104+H104</f>
        <v>360</v>
      </c>
      <c r="J104" s="247">
        <f>0.1*I104</f>
        <v>36</v>
      </c>
      <c r="K104" s="248">
        <f>0.9*I104</f>
        <v>324</v>
      </c>
      <c r="L104" s="246" t="s">
        <v>651</v>
      </c>
      <c r="N104" s="269">
        <v>30</v>
      </c>
      <c r="O104" s="270">
        <v>25</v>
      </c>
      <c r="V104" s="271"/>
    </row>
    <row ht="18.75" r="105" spans="1:22" s="268" customFormat="1">
      <c r="A105" s="246">
        <v>100</v>
      </c>
      <c r="B105" s="246"/>
      <c r="C105" s="246" t="s">
        <v>1179</v>
      </c>
      <c r="D105" s="246" t="s">
        <v>897</v>
      </c>
      <c r="E105" s="246">
        <v>16</v>
      </c>
      <c r="F105" s="248">
        <v>30</v>
      </c>
      <c r="G105" s="246">
        <f>E105*F105</f>
        <v>480</v>
      </c>
      <c r="H105" s="246">
        <f>E105*10</f>
        <v>160</v>
      </c>
      <c r="I105" s="247">
        <f>G105+H105</f>
        <v>640</v>
      </c>
      <c r="J105" s="247">
        <f>0.1*I105</f>
        <v>64</v>
      </c>
      <c r="K105" s="248">
        <f>0.9*I105</f>
        <v>576</v>
      </c>
      <c r="L105" s="246" t="s">
        <v>651</v>
      </c>
      <c r="N105" s="269">
        <v>30</v>
      </c>
      <c r="O105" s="270">
        <v>25</v>
      </c>
      <c r="V105" s="271"/>
    </row>
    <row ht="18.75" r="106" spans="1:22" s="268" customFormat="1">
      <c r="A106" s="246">
        <v>101</v>
      </c>
      <c r="B106" s="246"/>
      <c r="C106" s="246" t="s">
        <v>960</v>
      </c>
      <c r="D106" s="246" t="s">
        <v>897</v>
      </c>
      <c r="E106" s="246">
        <v>14</v>
      </c>
      <c r="F106" s="248">
        <v>30</v>
      </c>
      <c r="G106" s="246">
        <f>E106*F106</f>
        <v>420</v>
      </c>
      <c r="H106" s="246">
        <f>E106*10</f>
        <v>140</v>
      </c>
      <c r="I106" s="247">
        <f>G106+H106</f>
        <v>560</v>
      </c>
      <c r="J106" s="247">
        <f>0.1*I106</f>
        <v>56</v>
      </c>
      <c r="K106" s="248">
        <f>0.9*I106</f>
        <v>504</v>
      </c>
      <c r="L106" s="246" t="s">
        <v>651</v>
      </c>
      <c r="N106" s="269">
        <v>30</v>
      </c>
      <c r="O106" s="270">
        <v>25</v>
      </c>
      <c r="V106" s="271"/>
    </row>
    <row ht="18.75" r="107" spans="1:22" s="268" customFormat="1">
      <c r="A107" s="246">
        <v>102</v>
      </c>
      <c r="B107" s="246"/>
      <c r="C107" s="246" t="s">
        <v>959</v>
      </c>
      <c r="D107" s="246" t="s">
        <v>897</v>
      </c>
      <c r="E107" s="246">
        <v>9</v>
      </c>
      <c r="F107" s="248">
        <v>30</v>
      </c>
      <c r="G107" s="246">
        <f>E107*F107</f>
        <v>270</v>
      </c>
      <c r="H107" s="246">
        <f>E107*10</f>
        <v>90</v>
      </c>
      <c r="I107" s="247">
        <f>G107+H107</f>
        <v>360</v>
      </c>
      <c r="J107" s="247">
        <f>0.1*I107</f>
        <v>36</v>
      </c>
      <c r="K107" s="248">
        <f>0.9*I107</f>
        <v>324</v>
      </c>
      <c r="L107" s="246" t="s">
        <v>651</v>
      </c>
      <c r="N107" s="269">
        <v>30</v>
      </c>
      <c r="O107" s="270">
        <v>25</v>
      </c>
      <c r="V107" s="271"/>
    </row>
    <row ht="18.75" r="108" spans="1:22" s="268" customFormat="1">
      <c r="A108" s="246">
        <v>103</v>
      </c>
      <c r="B108" s="246"/>
      <c r="C108" s="246" t="s">
        <v>958</v>
      </c>
      <c r="D108" s="246" t="s">
        <v>897</v>
      </c>
      <c r="E108" s="246">
        <v>9</v>
      </c>
      <c r="F108" s="246">
        <v>30</v>
      </c>
      <c r="G108" s="246">
        <f>E108*F108</f>
        <v>270</v>
      </c>
      <c r="H108" s="246">
        <f>E108*10</f>
        <v>90</v>
      </c>
      <c r="I108" s="247">
        <f>G108+H108</f>
        <v>360</v>
      </c>
      <c r="J108" s="247">
        <f>0.1*I108</f>
        <v>36</v>
      </c>
      <c r="K108" s="248">
        <f>0.9*I108</f>
        <v>324</v>
      </c>
      <c r="L108" s="246" t="s">
        <v>651</v>
      </c>
      <c r="N108" s="269">
        <v>30</v>
      </c>
      <c r="O108" s="270">
        <v>25</v>
      </c>
      <c r="V108" s="271"/>
    </row>
    <row ht="18.75" r="109" spans="1:22" s="268" customFormat="1">
      <c r="A109" s="246">
        <v>104</v>
      </c>
      <c r="B109" s="246"/>
      <c r="C109" s="246" t="s">
        <v>957</v>
      </c>
      <c r="D109" s="246" t="s">
        <v>897</v>
      </c>
      <c r="E109" s="246">
        <v>9</v>
      </c>
      <c r="F109" s="248">
        <v>30</v>
      </c>
      <c r="G109" s="246">
        <f>E109*F109</f>
        <v>270</v>
      </c>
      <c r="H109" s="246">
        <f>E109*10</f>
        <v>90</v>
      </c>
      <c r="I109" s="247">
        <f>G109+H109</f>
        <v>360</v>
      </c>
      <c r="J109" s="247">
        <f>0.1*I109</f>
        <v>36</v>
      </c>
      <c r="K109" s="248">
        <f>0.9*I109</f>
        <v>324</v>
      </c>
      <c r="L109" s="246" t="s">
        <v>651</v>
      </c>
      <c r="N109" s="269">
        <v>30</v>
      </c>
      <c r="O109" s="270">
        <v>25</v>
      </c>
      <c r="V109" s="271"/>
    </row>
    <row ht="18.75" r="110" spans="1:22" s="268" customFormat="1">
      <c r="A110" s="246">
        <v>105</v>
      </c>
      <c r="B110" s="246"/>
      <c r="C110" s="246" t="s">
        <v>956</v>
      </c>
      <c r="D110" s="246" t="s">
        <v>897</v>
      </c>
      <c r="E110" s="246">
        <v>5</v>
      </c>
      <c r="F110" s="248">
        <v>30</v>
      </c>
      <c r="G110" s="246">
        <f>E110*F110</f>
        <v>150</v>
      </c>
      <c r="H110" s="246">
        <f>E110*10</f>
        <v>50</v>
      </c>
      <c r="I110" s="247">
        <f>G110+H110</f>
        <v>200</v>
      </c>
      <c r="J110" s="247">
        <f>0.1*I110</f>
        <v>20</v>
      </c>
      <c r="K110" s="248">
        <f>0.9*I110</f>
        <v>180</v>
      </c>
      <c r="L110" s="246" t="s">
        <v>651</v>
      </c>
      <c r="N110" s="269">
        <v>30</v>
      </c>
      <c r="O110" s="270">
        <v>25</v>
      </c>
      <c r="V110" s="271"/>
    </row>
    <row ht="18.75" r="111" spans="1:22" s="268" customFormat="1">
      <c r="A111" s="246">
        <v>106</v>
      </c>
      <c r="B111" s="246"/>
      <c r="C111" s="246" t="s">
        <v>955</v>
      </c>
      <c r="D111" s="246" t="s">
        <v>897</v>
      </c>
      <c r="E111" s="246">
        <v>9</v>
      </c>
      <c r="F111" s="248">
        <v>30</v>
      </c>
      <c r="G111" s="246">
        <f>E111*F111</f>
        <v>270</v>
      </c>
      <c r="H111" s="246">
        <f>E111*10</f>
        <v>90</v>
      </c>
      <c r="I111" s="247">
        <f>G111+H111</f>
        <v>360</v>
      </c>
      <c r="J111" s="247">
        <f>0.1*I111</f>
        <v>36</v>
      </c>
      <c r="K111" s="248">
        <f>0.9*I111</f>
        <v>324</v>
      </c>
      <c r="L111" s="246" t="s">
        <v>651</v>
      </c>
      <c r="N111" s="269">
        <v>30</v>
      </c>
      <c r="O111" s="270">
        <v>25</v>
      </c>
      <c r="V111" s="271"/>
    </row>
    <row ht="18.75" r="112" spans="1:22" s="268" customFormat="1">
      <c r="A112" s="246">
        <v>107</v>
      </c>
      <c r="B112" s="246"/>
      <c r="C112" s="246" t="s">
        <v>954</v>
      </c>
      <c r="D112" s="246" t="s">
        <v>897</v>
      </c>
      <c r="E112" s="246">
        <v>14</v>
      </c>
      <c r="F112" s="248">
        <v>30</v>
      </c>
      <c r="G112" s="246">
        <f>E112*F112</f>
        <v>420</v>
      </c>
      <c r="H112" s="246">
        <f>E112*10</f>
        <v>140</v>
      </c>
      <c r="I112" s="247">
        <f>G112+H112</f>
        <v>560</v>
      </c>
      <c r="J112" s="247">
        <f>0.1*I112</f>
        <v>56</v>
      </c>
      <c r="K112" s="248">
        <f>0.9*I112</f>
        <v>504</v>
      </c>
      <c r="L112" s="246" t="s">
        <v>651</v>
      </c>
      <c r="N112" s="269">
        <v>30</v>
      </c>
      <c r="O112" s="270">
        <v>25</v>
      </c>
      <c r="V112" s="271"/>
    </row>
    <row ht="18.75" r="113" spans="1:22" s="268" customFormat="1">
      <c r="A113" s="246">
        <v>108</v>
      </c>
      <c r="B113" s="246"/>
      <c r="C113" s="246" t="s">
        <v>953</v>
      </c>
      <c r="D113" s="246" t="s">
        <v>897</v>
      </c>
      <c r="E113" s="246">
        <v>9</v>
      </c>
      <c r="F113" s="248">
        <v>30</v>
      </c>
      <c r="G113" s="246">
        <f>E113*F113</f>
        <v>270</v>
      </c>
      <c r="H113" s="246">
        <f>E113*10</f>
        <v>90</v>
      </c>
      <c r="I113" s="247">
        <f>G113+H113</f>
        <v>360</v>
      </c>
      <c r="J113" s="247">
        <f>0.1*I113</f>
        <v>36</v>
      </c>
      <c r="K113" s="248">
        <f>0.9*I113</f>
        <v>324</v>
      </c>
      <c r="L113" s="246" t="s">
        <v>651</v>
      </c>
      <c r="N113" s="269">
        <v>30</v>
      </c>
      <c r="O113" s="270">
        <v>25</v>
      </c>
      <c r="V113" s="271"/>
    </row>
    <row ht="18.75" r="114" spans="1:22" s="268" customFormat="1">
      <c r="A114" s="246">
        <v>109</v>
      </c>
      <c r="B114" s="246"/>
      <c r="C114" s="246" t="s">
        <v>952</v>
      </c>
      <c r="D114" s="246" t="s">
        <v>897</v>
      </c>
      <c r="E114" s="246">
        <v>9</v>
      </c>
      <c r="F114" s="248">
        <v>30</v>
      </c>
      <c r="G114" s="246">
        <f>E114*F114</f>
        <v>270</v>
      </c>
      <c r="H114" s="246">
        <f>E114*10</f>
        <v>90</v>
      </c>
      <c r="I114" s="247">
        <f>G114+H114</f>
        <v>360</v>
      </c>
      <c r="J114" s="247">
        <f>0.1*I114</f>
        <v>36</v>
      </c>
      <c r="K114" s="248">
        <f>0.9*I114</f>
        <v>324</v>
      </c>
      <c r="L114" s="246" t="s">
        <v>651</v>
      </c>
      <c r="N114" s="269">
        <v>30</v>
      </c>
      <c r="O114" s="270">
        <v>25</v>
      </c>
      <c r="V114" s="271"/>
    </row>
    <row ht="18.75" r="115" spans="1:22" s="268" customFormat="1">
      <c r="A115" s="246">
        <v>110</v>
      </c>
      <c r="B115" s="246"/>
      <c r="C115" s="246" t="s">
        <v>951</v>
      </c>
      <c r="D115" s="246" t="s">
        <v>897</v>
      </c>
      <c r="E115" s="246">
        <v>12</v>
      </c>
      <c r="F115" s="248">
        <v>30</v>
      </c>
      <c r="G115" s="246">
        <f>E115*F115</f>
        <v>360</v>
      </c>
      <c r="H115" s="246">
        <f>E115*10</f>
        <v>120</v>
      </c>
      <c r="I115" s="247">
        <f>G115+H115</f>
        <v>480</v>
      </c>
      <c r="J115" s="247">
        <f>0.1*I115</f>
        <v>48</v>
      </c>
      <c r="K115" s="248">
        <f>0.9*I115</f>
        <v>432</v>
      </c>
      <c r="L115" s="246" t="s">
        <v>651</v>
      </c>
      <c r="N115" s="269">
        <v>30</v>
      </c>
      <c r="O115" s="270">
        <v>25</v>
      </c>
      <c r="V115" s="271"/>
    </row>
    <row ht="18.75" r="116" spans="1:22" s="268" customFormat="1">
      <c r="A116" s="246">
        <v>111</v>
      </c>
      <c r="B116" s="246"/>
      <c r="C116" s="246" t="s">
        <v>950</v>
      </c>
      <c r="D116" s="246" t="s">
        <v>897</v>
      </c>
      <c r="E116" s="246">
        <v>12</v>
      </c>
      <c r="F116" s="248">
        <v>30</v>
      </c>
      <c r="G116" s="246">
        <f>E116*F116</f>
        <v>360</v>
      </c>
      <c r="H116" s="246">
        <f>E116*10</f>
        <v>120</v>
      </c>
      <c r="I116" s="247">
        <f>G116+H116</f>
        <v>480</v>
      </c>
      <c r="J116" s="247">
        <f>0.1*I116</f>
        <v>48</v>
      </c>
      <c r="K116" s="248">
        <f>0.9*I116</f>
        <v>432</v>
      </c>
      <c r="L116" s="246" t="s">
        <v>651</v>
      </c>
      <c r="N116" s="269">
        <v>30</v>
      </c>
      <c r="O116" s="270">
        <v>25</v>
      </c>
      <c r="V116" s="271"/>
    </row>
    <row ht="18.75" r="117" spans="1:22" s="268" customFormat="1">
      <c r="A117" s="246">
        <v>112</v>
      </c>
      <c r="B117" s="246"/>
      <c r="C117" s="246" t="s">
        <v>949</v>
      </c>
      <c r="D117" s="246" t="s">
        <v>897</v>
      </c>
      <c r="E117" s="246">
        <v>9</v>
      </c>
      <c r="F117" s="248">
        <v>30</v>
      </c>
      <c r="G117" s="246">
        <f>E117*F117</f>
        <v>270</v>
      </c>
      <c r="H117" s="246">
        <f>E117*10</f>
        <v>90</v>
      </c>
      <c r="I117" s="247">
        <f>G117+H117</f>
        <v>360</v>
      </c>
      <c r="J117" s="247">
        <f>0.1*I117</f>
        <v>36</v>
      </c>
      <c r="K117" s="248">
        <f>0.9*I117</f>
        <v>324</v>
      </c>
      <c r="L117" s="246" t="s">
        <v>651</v>
      </c>
      <c r="N117" s="269">
        <v>30</v>
      </c>
      <c r="O117" s="270">
        <v>25</v>
      </c>
      <c r="V117" s="271"/>
    </row>
    <row ht="18.75" r="118" spans="1:22" s="268" customFormat="1">
      <c r="A118" s="246">
        <v>113</v>
      </c>
      <c r="B118" s="246"/>
      <c r="C118" s="246" t="s">
        <v>948</v>
      </c>
      <c r="D118" s="246" t="s">
        <v>897</v>
      </c>
      <c r="E118" s="246">
        <v>9</v>
      </c>
      <c r="F118" s="248">
        <v>30</v>
      </c>
      <c r="G118" s="246">
        <f>E118*F118</f>
        <v>270</v>
      </c>
      <c r="H118" s="246">
        <f>E118*10</f>
        <v>90</v>
      </c>
      <c r="I118" s="247">
        <f>G118+H118</f>
        <v>360</v>
      </c>
      <c r="J118" s="247">
        <f>0.1*I118</f>
        <v>36</v>
      </c>
      <c r="K118" s="248">
        <f>0.9*I118</f>
        <v>324</v>
      </c>
      <c r="L118" s="246" t="s">
        <v>651</v>
      </c>
      <c r="N118" s="269">
        <v>30</v>
      </c>
      <c r="O118" s="270">
        <v>25</v>
      </c>
      <c r="V118" s="271"/>
    </row>
    <row ht="18.75" r="119" spans="1:22" s="268" customFormat="1">
      <c r="A119" s="246">
        <v>114</v>
      </c>
      <c r="B119" s="246"/>
      <c r="C119" s="246" t="s">
        <v>947</v>
      </c>
      <c r="D119" s="246" t="s">
        <v>897</v>
      </c>
      <c r="E119" s="246">
        <v>8</v>
      </c>
      <c r="F119" s="248">
        <v>30</v>
      </c>
      <c r="G119" s="246">
        <f>E119*F119</f>
        <v>240</v>
      </c>
      <c r="H119" s="246">
        <f>E119*10</f>
        <v>80</v>
      </c>
      <c r="I119" s="247">
        <f>G119+H119</f>
        <v>320</v>
      </c>
      <c r="J119" s="247">
        <f>0.1*I119</f>
        <v>32</v>
      </c>
      <c r="K119" s="248">
        <f>0.9*I119</f>
        <v>288</v>
      </c>
      <c r="L119" s="246" t="s">
        <v>651</v>
      </c>
      <c r="N119" s="269">
        <v>30</v>
      </c>
      <c r="O119" s="270">
        <v>25</v>
      </c>
      <c r="V119" s="271"/>
    </row>
    <row ht="18.75" r="120" spans="1:22" s="268" customFormat="1">
      <c r="A120" s="246">
        <v>115</v>
      </c>
      <c r="B120" s="246"/>
      <c r="C120" s="246" t="s">
        <v>946</v>
      </c>
      <c r="D120" s="246" t="s">
        <v>897</v>
      </c>
      <c r="E120" s="246">
        <v>8</v>
      </c>
      <c r="F120" s="248">
        <v>30</v>
      </c>
      <c r="G120" s="246">
        <f>E120*F120</f>
        <v>240</v>
      </c>
      <c r="H120" s="246">
        <f>E120*10</f>
        <v>80</v>
      </c>
      <c r="I120" s="247">
        <f>G120+H120</f>
        <v>320</v>
      </c>
      <c r="J120" s="247">
        <f>0.1*I120</f>
        <v>32</v>
      </c>
      <c r="K120" s="248">
        <f>0.9*I120</f>
        <v>288</v>
      </c>
      <c r="L120" s="246" t="s">
        <v>651</v>
      </c>
      <c r="N120" s="269">
        <v>30</v>
      </c>
      <c r="O120" s="270">
        <v>25</v>
      </c>
      <c r="V120" s="271"/>
    </row>
    <row ht="18.75" r="121" spans="1:22" s="268" customFormat="1">
      <c r="A121" s="246">
        <v>116</v>
      </c>
      <c r="B121" s="246"/>
      <c r="C121" s="246" t="s">
        <v>945</v>
      </c>
      <c r="D121" s="246" t="s">
        <v>897</v>
      </c>
      <c r="E121" s="246">
        <v>9</v>
      </c>
      <c r="F121" s="248">
        <v>30</v>
      </c>
      <c r="G121" s="246">
        <f>E121*F121</f>
        <v>270</v>
      </c>
      <c r="H121" s="246">
        <f>E121*10</f>
        <v>90</v>
      </c>
      <c r="I121" s="247">
        <f>G121+H121</f>
        <v>360</v>
      </c>
      <c r="J121" s="247">
        <f>0.1*I121</f>
        <v>36</v>
      </c>
      <c r="K121" s="248">
        <f>0.9*I121</f>
        <v>324</v>
      </c>
      <c r="L121" s="246" t="s">
        <v>651</v>
      </c>
      <c r="N121" s="269">
        <v>30</v>
      </c>
      <c r="O121" s="270">
        <v>25</v>
      </c>
      <c r="V121" s="271"/>
    </row>
    <row ht="18.75" r="122" spans="1:22" s="268" customFormat="1">
      <c r="A122" s="246">
        <v>117</v>
      </c>
      <c r="B122" s="246"/>
      <c r="C122" s="246" t="s">
        <v>944</v>
      </c>
      <c r="D122" s="246" t="s">
        <v>897</v>
      </c>
      <c r="E122" s="246">
        <v>12</v>
      </c>
      <c r="F122" s="248">
        <v>30</v>
      </c>
      <c r="G122" s="246">
        <f>E122*F122</f>
        <v>360</v>
      </c>
      <c r="H122" s="246">
        <f>E122*10</f>
        <v>120</v>
      </c>
      <c r="I122" s="247">
        <f>G122+H122</f>
        <v>480</v>
      </c>
      <c r="J122" s="247">
        <f>0.1*I122</f>
        <v>48</v>
      </c>
      <c r="K122" s="248">
        <f>0.9*I122</f>
        <v>432</v>
      </c>
      <c r="L122" s="246" t="s">
        <v>651</v>
      </c>
      <c r="N122" s="269">
        <v>30</v>
      </c>
      <c r="O122" s="270">
        <v>25</v>
      </c>
    </row>
    <row ht="18.75" r="123" spans="1:22" s="268" customFormat="1">
      <c r="A123" s="246">
        <v>118</v>
      </c>
      <c r="B123" s="246"/>
      <c r="C123" s="246" t="s">
        <v>943</v>
      </c>
      <c r="D123" s="246" t="s">
        <v>897</v>
      </c>
      <c r="E123" s="246">
        <v>12</v>
      </c>
      <c r="F123" s="248">
        <v>30</v>
      </c>
      <c r="G123" s="246">
        <f>E123*F123</f>
        <v>360</v>
      </c>
      <c r="H123" s="246">
        <f>E123*10</f>
        <v>120</v>
      </c>
      <c r="I123" s="247">
        <f>G123+H123</f>
        <v>480</v>
      </c>
      <c r="J123" s="247">
        <f>0.1*I123</f>
        <v>48</v>
      </c>
      <c r="K123" s="248">
        <f>0.9*I123</f>
        <v>432</v>
      </c>
      <c r="L123" s="246" t="s">
        <v>651</v>
      </c>
      <c r="N123" s="269">
        <v>30</v>
      </c>
      <c r="O123" s="270">
        <v>25</v>
      </c>
    </row>
    <row ht="18.75" r="124" spans="1:22" s="268" customFormat="1">
      <c r="A124" s="246">
        <v>119</v>
      </c>
      <c r="B124" s="246"/>
      <c r="C124" s="246" t="s">
        <v>942</v>
      </c>
      <c r="D124" s="246" t="s">
        <v>897</v>
      </c>
      <c r="E124" s="246">
        <v>9</v>
      </c>
      <c r="F124" s="248">
        <v>30</v>
      </c>
      <c r="G124" s="246">
        <f>E124*F124</f>
        <v>270</v>
      </c>
      <c r="H124" s="246">
        <f>E124*10</f>
        <v>90</v>
      </c>
      <c r="I124" s="247">
        <f>G124+H124</f>
        <v>360</v>
      </c>
      <c r="J124" s="247">
        <f>0.1*I124</f>
        <v>36</v>
      </c>
      <c r="K124" s="248">
        <f>0.9*I124</f>
        <v>324</v>
      </c>
      <c r="L124" s="246" t="s">
        <v>651</v>
      </c>
      <c r="N124" s="269">
        <v>30</v>
      </c>
      <c r="O124" s="270">
        <v>25</v>
      </c>
    </row>
    <row ht="18.75" r="125" spans="1:22" s="268" customFormat="1">
      <c r="A125" s="246">
        <v>120</v>
      </c>
      <c r="B125" s="246"/>
      <c r="C125" s="246" t="s">
        <v>941</v>
      </c>
      <c r="D125" s="246" t="s">
        <v>897</v>
      </c>
      <c r="E125" s="246">
        <v>9</v>
      </c>
      <c r="F125" s="248">
        <v>30</v>
      </c>
      <c r="G125" s="246">
        <f>E125*F125</f>
        <v>270</v>
      </c>
      <c r="H125" s="246">
        <f>E125*10</f>
        <v>90</v>
      </c>
      <c r="I125" s="247">
        <f>G125+H125</f>
        <v>360</v>
      </c>
      <c r="J125" s="247">
        <f>0.1*I125</f>
        <v>36</v>
      </c>
      <c r="K125" s="248">
        <f>0.9*I125</f>
        <v>324</v>
      </c>
      <c r="L125" s="246" t="s">
        <v>651</v>
      </c>
      <c r="N125" s="269">
        <v>30</v>
      </c>
      <c r="O125" s="270">
        <v>25</v>
      </c>
    </row>
    <row ht="18.75" r="126" spans="1:22" s="268" customFormat="1">
      <c r="A126" s="246">
        <v>121</v>
      </c>
      <c r="B126" s="246"/>
      <c r="C126" s="246" t="s">
        <v>940</v>
      </c>
      <c r="D126" s="246" t="s">
        <v>897</v>
      </c>
      <c r="E126" s="246">
        <v>12</v>
      </c>
      <c r="F126" s="248">
        <v>30</v>
      </c>
      <c r="G126" s="246">
        <f>E126*F126</f>
        <v>360</v>
      </c>
      <c r="H126" s="246">
        <f>E126*10</f>
        <v>120</v>
      </c>
      <c r="I126" s="247">
        <f>G126+H126</f>
        <v>480</v>
      </c>
      <c r="J126" s="247">
        <f>0.1*I126</f>
        <v>48</v>
      </c>
      <c r="K126" s="248">
        <f>0.9*I126</f>
        <v>432</v>
      </c>
      <c r="L126" s="246" t="s">
        <v>651</v>
      </c>
      <c r="N126" s="269">
        <v>30</v>
      </c>
      <c r="O126" s="270">
        <v>25</v>
      </c>
    </row>
    <row ht="18.75" r="127" spans="1:22" s="268" customFormat="1">
      <c r="A127" s="246">
        <v>122</v>
      </c>
      <c r="B127" s="246"/>
      <c r="C127" s="246" t="s">
        <v>939</v>
      </c>
      <c r="D127" s="246" t="s">
        <v>897</v>
      </c>
      <c r="E127" s="246">
        <v>9</v>
      </c>
      <c r="F127" s="248">
        <v>30</v>
      </c>
      <c r="G127" s="246">
        <f>E127*F127</f>
        <v>270</v>
      </c>
      <c r="H127" s="246">
        <f>E127*10</f>
        <v>90</v>
      </c>
      <c r="I127" s="247">
        <f>G127+H127</f>
        <v>360</v>
      </c>
      <c r="J127" s="247">
        <f>0.1*I127</f>
        <v>36</v>
      </c>
      <c r="K127" s="248">
        <f>0.9*I127</f>
        <v>324</v>
      </c>
      <c r="L127" s="246" t="s">
        <v>651</v>
      </c>
      <c r="N127" s="269">
        <v>30</v>
      </c>
      <c r="O127" s="270">
        <v>25</v>
      </c>
    </row>
    <row ht="18.75" r="128" spans="1:22" s="268" customFormat="1">
      <c r="A128" s="246">
        <v>123</v>
      </c>
      <c r="B128" s="246"/>
      <c r="C128" s="246" t="s">
        <v>938</v>
      </c>
      <c r="D128" s="246" t="s">
        <v>897</v>
      </c>
      <c r="E128" s="246">
        <v>9</v>
      </c>
      <c r="F128" s="248">
        <v>30</v>
      </c>
      <c r="G128" s="246">
        <f>E128*F128</f>
        <v>270</v>
      </c>
      <c r="H128" s="246">
        <f>E128*10</f>
        <v>90</v>
      </c>
      <c r="I128" s="247">
        <f>G128+H128</f>
        <v>360</v>
      </c>
      <c r="J128" s="247">
        <f>0.1*I128</f>
        <v>36</v>
      </c>
      <c r="K128" s="248">
        <f>0.9*I128</f>
        <v>324</v>
      </c>
      <c r="L128" s="246" t="s">
        <v>651</v>
      </c>
      <c r="N128" s="269">
        <v>30</v>
      </c>
      <c r="O128" s="270">
        <v>25</v>
      </c>
      <c r="P128" s="271"/>
      <c r="V128" s="271"/>
    </row>
    <row ht="18.75" r="129" spans="1:22" s="268" customFormat="1">
      <c r="A129" s="246">
        <v>124</v>
      </c>
      <c r="B129" s="246"/>
      <c r="C129" s="246" t="s">
        <v>937</v>
      </c>
      <c r="D129" s="246" t="s">
        <v>897</v>
      </c>
      <c r="E129" s="246">
        <v>8</v>
      </c>
      <c r="F129" s="248">
        <v>30</v>
      </c>
      <c r="G129" s="246">
        <f>E129*F129</f>
        <v>240</v>
      </c>
      <c r="H129" s="246">
        <f>E129*10</f>
        <v>80</v>
      </c>
      <c r="I129" s="247">
        <f>G129+H129</f>
        <v>320</v>
      </c>
      <c r="J129" s="247">
        <f>0.1*I129</f>
        <v>32</v>
      </c>
      <c r="K129" s="248">
        <f>0.9*I129</f>
        <v>288</v>
      </c>
      <c r="L129" s="246" t="s">
        <v>651</v>
      </c>
      <c r="N129" s="269">
        <v>30</v>
      </c>
      <c r="O129" s="270">
        <v>25</v>
      </c>
      <c r="P129" s="271"/>
      <c r="V129" s="271"/>
    </row>
    <row ht="18.75" r="130" spans="1:22" s="268" customFormat="1">
      <c r="A130" s="246">
        <v>125</v>
      </c>
      <c r="B130" s="246"/>
      <c r="C130" s="246" t="s">
        <v>936</v>
      </c>
      <c r="D130" s="246" t="s">
        <v>897</v>
      </c>
      <c r="E130" s="246">
        <v>12</v>
      </c>
      <c r="F130" s="248">
        <v>30</v>
      </c>
      <c r="G130" s="246">
        <f>E130*F130</f>
        <v>360</v>
      </c>
      <c r="H130" s="246">
        <f>E130*10</f>
        <v>120</v>
      </c>
      <c r="I130" s="247">
        <f>G130+H130</f>
        <v>480</v>
      </c>
      <c r="J130" s="247">
        <f>0.1*I130</f>
        <v>48</v>
      </c>
      <c r="K130" s="248">
        <f>0.9*I130</f>
        <v>432</v>
      </c>
      <c r="L130" s="246" t="s">
        <v>651</v>
      </c>
      <c r="N130" s="269">
        <v>30</v>
      </c>
      <c r="O130" s="270">
        <v>25</v>
      </c>
      <c r="P130" s="271"/>
      <c r="V130" s="271"/>
    </row>
    <row ht="18.75" r="131" spans="1:22" s="268" customFormat="1">
      <c r="A131" s="246">
        <v>126</v>
      </c>
      <c r="B131" s="246"/>
      <c r="C131" s="246" t="s">
        <v>935</v>
      </c>
      <c r="D131" s="246" t="s">
        <v>897</v>
      </c>
      <c r="E131" s="246">
        <v>8</v>
      </c>
      <c r="F131" s="248">
        <v>30</v>
      </c>
      <c r="G131" s="246">
        <f>E131*F131</f>
        <v>240</v>
      </c>
      <c r="H131" s="246">
        <f>E131*10</f>
        <v>80</v>
      </c>
      <c r="I131" s="247">
        <f>G131+H131</f>
        <v>320</v>
      </c>
      <c r="J131" s="247">
        <f>0.1*I131</f>
        <v>32</v>
      </c>
      <c r="K131" s="248">
        <f>0.9*I131</f>
        <v>288</v>
      </c>
      <c r="L131" s="246" t="s">
        <v>651</v>
      </c>
      <c r="N131" s="269">
        <v>30</v>
      </c>
      <c r="O131" s="270">
        <v>25</v>
      </c>
      <c r="P131" s="271"/>
      <c r="V131" s="271"/>
    </row>
    <row ht="18.75" r="132" spans="1:22" s="268" customFormat="1">
      <c r="A132" s="246">
        <v>127</v>
      </c>
      <c r="B132" s="246"/>
      <c r="C132" s="246" t="s">
        <v>934</v>
      </c>
      <c r="D132" s="246" t="s">
        <v>897</v>
      </c>
      <c r="E132" s="246">
        <v>8</v>
      </c>
      <c r="F132" s="248">
        <v>30</v>
      </c>
      <c r="G132" s="246">
        <f>E132*F132</f>
        <v>240</v>
      </c>
      <c r="H132" s="246">
        <f>E132*10</f>
        <v>80</v>
      </c>
      <c r="I132" s="247">
        <f>G132+H132</f>
        <v>320</v>
      </c>
      <c r="J132" s="247">
        <f>0.1*I132</f>
        <v>32</v>
      </c>
      <c r="K132" s="248">
        <f>0.9*I132</f>
        <v>288</v>
      </c>
      <c r="L132" s="246" t="s">
        <v>651</v>
      </c>
      <c r="N132" s="269">
        <v>30</v>
      </c>
      <c r="O132" s="270">
        <v>25</v>
      </c>
      <c r="P132" s="271"/>
      <c r="V132" s="271"/>
    </row>
    <row ht="18.75" r="133" spans="1:22" s="268" customFormat="1">
      <c r="A133" s="246">
        <v>128</v>
      </c>
      <c r="B133" s="246"/>
      <c r="C133" s="246" t="s">
        <v>933</v>
      </c>
      <c r="D133" s="246" t="s">
        <v>897</v>
      </c>
      <c r="E133" s="246">
        <v>11</v>
      </c>
      <c r="F133" s="246">
        <v>30</v>
      </c>
      <c r="G133" s="246">
        <f>E133*F133</f>
        <v>330</v>
      </c>
      <c r="H133" s="246">
        <v>115</v>
      </c>
      <c r="I133" s="246">
        <v>440</v>
      </c>
      <c r="J133" s="247">
        <f>0.1*I133</f>
        <v>44</v>
      </c>
      <c r="K133" s="248">
        <f>0.9*I133</f>
        <v>396</v>
      </c>
      <c r="L133" s="246" t="s">
        <v>651</v>
      </c>
      <c r="N133" s="269">
        <v>30</v>
      </c>
      <c r="O133" s="270">
        <v>25</v>
      </c>
      <c r="P133" s="271"/>
      <c r="V133" s="271"/>
    </row>
    <row ht="18.75" r="134" spans="1:22" s="268" customFormat="1">
      <c r="A134" s="246">
        <v>129</v>
      </c>
      <c r="B134" s="246"/>
      <c r="C134" s="246" t="s">
        <v>932</v>
      </c>
      <c r="D134" s="246" t="s">
        <v>897</v>
      </c>
      <c r="E134" s="246">
        <v>9</v>
      </c>
      <c r="F134" s="248">
        <v>30</v>
      </c>
      <c r="G134" s="246">
        <f>E134*F134</f>
        <v>270</v>
      </c>
      <c r="H134" s="246">
        <f>E134*10</f>
        <v>90</v>
      </c>
      <c r="I134" s="247">
        <f>G134+H134</f>
        <v>360</v>
      </c>
      <c r="J134" s="247">
        <f>0.1*I134</f>
        <v>36</v>
      </c>
      <c r="K134" s="248">
        <f>0.9*I134</f>
        <v>324</v>
      </c>
      <c r="L134" s="246" t="s">
        <v>651</v>
      </c>
      <c r="N134" s="269">
        <v>30</v>
      </c>
      <c r="O134" s="270">
        <v>25</v>
      </c>
      <c r="P134" s="271"/>
      <c r="V134" s="271"/>
    </row>
    <row ht="18.75" r="135" spans="1:22" s="268" customFormat="1">
      <c r="A135" s="246">
        <v>130</v>
      </c>
      <c r="B135" s="246"/>
      <c r="C135" s="246" t="s">
        <v>931</v>
      </c>
      <c r="D135" s="246" t="s">
        <v>897</v>
      </c>
      <c r="E135" s="246">
        <v>9</v>
      </c>
      <c r="F135" s="248">
        <v>30</v>
      </c>
      <c r="G135" s="246">
        <f>E135*F135</f>
        <v>270</v>
      </c>
      <c r="H135" s="246">
        <f>E135*10</f>
        <v>90</v>
      </c>
      <c r="I135" s="247">
        <f>G135+H135</f>
        <v>360</v>
      </c>
      <c r="J135" s="247">
        <f>0.1*I135</f>
        <v>36</v>
      </c>
      <c r="K135" s="248">
        <f>0.9*I135</f>
        <v>324</v>
      </c>
      <c r="L135" s="246" t="s">
        <v>651</v>
      </c>
      <c r="N135" s="269">
        <v>30</v>
      </c>
      <c r="O135" s="270">
        <v>25</v>
      </c>
      <c r="P135" s="271"/>
      <c r="V135" s="271"/>
    </row>
    <row ht="18.75" r="136" spans="1:22" s="268" customFormat="1">
      <c r="A136" s="246">
        <v>131</v>
      </c>
      <c r="B136" s="246"/>
      <c r="C136" s="246" t="s">
        <v>930</v>
      </c>
      <c r="D136" s="246" t="s">
        <v>897</v>
      </c>
      <c r="E136" s="246">
        <v>8</v>
      </c>
      <c r="F136" s="248">
        <v>30</v>
      </c>
      <c r="G136" s="246">
        <f>E136*F136</f>
        <v>240</v>
      </c>
      <c r="H136" s="246">
        <f>E136*10</f>
        <v>80</v>
      </c>
      <c r="I136" s="247">
        <f>G136+H136</f>
        <v>320</v>
      </c>
      <c r="J136" s="247">
        <f>0.1*I136</f>
        <v>32</v>
      </c>
      <c r="K136" s="248">
        <f>0.9*I136</f>
        <v>288</v>
      </c>
      <c r="L136" s="246" t="s">
        <v>651</v>
      </c>
      <c r="N136" s="269">
        <v>30</v>
      </c>
      <c r="O136" s="270">
        <v>25</v>
      </c>
      <c r="P136" s="271"/>
      <c r="V136" s="271"/>
    </row>
    <row ht="18.75" r="137" spans="1:22" s="268" customFormat="1">
      <c r="A137" s="246">
        <v>132</v>
      </c>
      <c r="B137" s="246"/>
      <c r="C137" s="246" t="s">
        <v>929</v>
      </c>
      <c r="D137" s="246" t="s">
        <v>897</v>
      </c>
      <c r="E137" s="246">
        <v>11</v>
      </c>
      <c r="F137" s="248">
        <v>30</v>
      </c>
      <c r="G137" s="246">
        <f>E137*F137</f>
        <v>330</v>
      </c>
      <c r="H137" s="246">
        <f>E137*10</f>
        <v>110</v>
      </c>
      <c r="I137" s="247">
        <f>G137+H137</f>
        <v>440</v>
      </c>
      <c r="J137" s="247">
        <f>0.1*I137</f>
        <v>44</v>
      </c>
      <c r="K137" s="248">
        <f>0.9*I137</f>
        <v>396</v>
      </c>
      <c r="L137" s="246" t="s">
        <v>651</v>
      </c>
      <c r="N137" s="269">
        <v>30</v>
      </c>
      <c r="O137" s="270">
        <v>25</v>
      </c>
      <c r="P137" s="271"/>
      <c r="V137" s="271"/>
    </row>
    <row ht="18.75" r="138" spans="1:22" s="268" customFormat="1">
      <c r="A138" s="246">
        <v>133</v>
      </c>
      <c r="B138" s="246"/>
      <c r="C138" s="246" t="s">
        <v>928</v>
      </c>
      <c r="D138" s="246" t="s">
        <v>897</v>
      </c>
      <c r="E138" s="246">
        <v>11</v>
      </c>
      <c r="F138" s="248">
        <v>30</v>
      </c>
      <c r="G138" s="246">
        <f>E138*F138</f>
        <v>330</v>
      </c>
      <c r="H138" s="246">
        <f>E138*10</f>
        <v>110</v>
      </c>
      <c r="I138" s="247">
        <f>G138+H138</f>
        <v>440</v>
      </c>
      <c r="J138" s="247">
        <f>0.1*I138</f>
        <v>44</v>
      </c>
      <c r="K138" s="248">
        <f>0.9*I138</f>
        <v>396</v>
      </c>
      <c r="L138" s="246" t="s">
        <v>651</v>
      </c>
      <c r="N138" s="269">
        <v>30</v>
      </c>
      <c r="O138" s="270">
        <v>25</v>
      </c>
      <c r="P138" s="271"/>
      <c r="V138" s="271"/>
    </row>
    <row ht="18.75" r="139" spans="1:22" s="268" customFormat="1">
      <c r="A139" s="246">
        <v>134</v>
      </c>
      <c r="B139" s="246"/>
      <c r="C139" s="246" t="s">
        <v>927</v>
      </c>
      <c r="D139" s="246" t="s">
        <v>897</v>
      </c>
      <c r="E139" s="246">
        <v>9</v>
      </c>
      <c r="F139" s="248">
        <v>30</v>
      </c>
      <c r="G139" s="246">
        <f>E139*F139</f>
        <v>270</v>
      </c>
      <c r="H139" s="246">
        <f>E139*10</f>
        <v>90</v>
      </c>
      <c r="I139" s="247">
        <f>G139+H139</f>
        <v>360</v>
      </c>
      <c r="J139" s="247">
        <f>0.1*I139</f>
        <v>36</v>
      </c>
      <c r="K139" s="248">
        <f>0.9*I139</f>
        <v>324</v>
      </c>
      <c r="L139" s="246" t="s">
        <v>651</v>
      </c>
      <c r="N139" s="269">
        <v>30</v>
      </c>
      <c r="O139" s="270">
        <v>25</v>
      </c>
      <c r="P139" s="271"/>
      <c r="V139" s="271"/>
    </row>
    <row ht="18.75" r="140" spans="1:22" s="268" customFormat="1">
      <c r="A140" s="246">
        <v>135</v>
      </c>
      <c r="B140" s="246"/>
      <c r="C140" s="246" t="s">
        <v>926</v>
      </c>
      <c r="D140" s="246" t="s">
        <v>897</v>
      </c>
      <c r="E140" s="246">
        <v>9</v>
      </c>
      <c r="F140" s="248">
        <v>30</v>
      </c>
      <c r="G140" s="246">
        <f>E140*F140</f>
        <v>270</v>
      </c>
      <c r="H140" s="246">
        <f>E140*10</f>
        <v>90</v>
      </c>
      <c r="I140" s="247">
        <f>G140+H140</f>
        <v>360</v>
      </c>
      <c r="J140" s="247">
        <f>0.1*I140</f>
        <v>36</v>
      </c>
      <c r="K140" s="248">
        <f>0.9*I140</f>
        <v>324</v>
      </c>
      <c r="L140" s="246" t="s">
        <v>651</v>
      </c>
      <c r="N140" s="269">
        <v>30</v>
      </c>
      <c r="O140" s="270">
        <v>25</v>
      </c>
      <c r="P140" s="271"/>
      <c r="V140" s="271"/>
    </row>
    <row ht="18.75" r="141" spans="1:22" s="268" customFormat="1">
      <c r="A141" s="246">
        <v>136</v>
      </c>
      <c r="B141" s="246"/>
      <c r="C141" s="246" t="s">
        <v>925</v>
      </c>
      <c r="D141" s="246" t="s">
        <v>897</v>
      </c>
      <c r="E141" s="246">
        <v>8</v>
      </c>
      <c r="F141" s="248">
        <v>30</v>
      </c>
      <c r="G141" s="246">
        <f>E141*F141</f>
        <v>240</v>
      </c>
      <c r="H141" s="246">
        <f>E141*10</f>
        <v>80</v>
      </c>
      <c r="I141" s="247">
        <f>G141+H141</f>
        <v>320</v>
      </c>
      <c r="J141" s="247">
        <f>0.1*I141</f>
        <v>32</v>
      </c>
      <c r="K141" s="248">
        <f>0.9*I141</f>
        <v>288</v>
      </c>
      <c r="L141" s="246" t="s">
        <v>651</v>
      </c>
      <c r="N141" s="269">
        <v>30</v>
      </c>
      <c r="O141" s="270">
        <v>25</v>
      </c>
      <c r="P141" s="271"/>
      <c r="V141" s="271"/>
    </row>
    <row ht="18.75" r="142" spans="1:22" s="268" customFormat="1">
      <c r="A142" s="246">
        <v>137</v>
      </c>
      <c r="B142" s="246"/>
      <c r="C142" s="246" t="s">
        <v>924</v>
      </c>
      <c r="D142" s="246" t="s">
        <v>897</v>
      </c>
      <c r="E142" s="246">
        <v>11</v>
      </c>
      <c r="F142" s="248">
        <v>30</v>
      </c>
      <c r="G142" s="246">
        <f>E142*F142</f>
        <v>330</v>
      </c>
      <c r="H142" s="246">
        <f>E142*10</f>
        <v>110</v>
      </c>
      <c r="I142" s="247">
        <f>G142+H142</f>
        <v>440</v>
      </c>
      <c r="J142" s="247">
        <f>0.1*I142</f>
        <v>44</v>
      </c>
      <c r="K142" s="248">
        <f>0.9*I142</f>
        <v>396</v>
      </c>
      <c r="L142" s="246" t="s">
        <v>651</v>
      </c>
      <c r="N142" s="269">
        <v>30</v>
      </c>
      <c r="O142" s="270">
        <v>25</v>
      </c>
      <c r="P142" s="271"/>
      <c r="V142" s="271"/>
    </row>
    <row ht="18.75" r="143" spans="1:22" s="268" customFormat="1">
      <c r="A143" s="246">
        <v>138</v>
      </c>
      <c r="B143" s="246"/>
      <c r="C143" s="246" t="s">
        <v>923</v>
      </c>
      <c r="D143" s="246" t="s">
        <v>897</v>
      </c>
      <c r="E143" s="246">
        <v>9</v>
      </c>
      <c r="F143" s="248">
        <v>30</v>
      </c>
      <c r="G143" s="246">
        <f>E143*F143</f>
        <v>270</v>
      </c>
      <c r="H143" s="246">
        <f>E143*10</f>
        <v>90</v>
      </c>
      <c r="I143" s="247">
        <f>G143+H143</f>
        <v>360</v>
      </c>
      <c r="J143" s="247">
        <f>0.1*I143</f>
        <v>36</v>
      </c>
      <c r="K143" s="248">
        <f>0.9*I143</f>
        <v>324</v>
      </c>
      <c r="L143" s="246" t="s">
        <v>651</v>
      </c>
      <c r="N143" s="269">
        <v>30</v>
      </c>
      <c r="O143" s="270">
        <v>25</v>
      </c>
      <c r="P143" s="271"/>
      <c r="V143" s="271"/>
    </row>
    <row ht="18.75" r="144" spans="1:22" s="268" customFormat="1">
      <c r="A144" s="246">
        <v>139</v>
      </c>
      <c r="B144" s="246"/>
      <c r="C144" s="246" t="s">
        <v>922</v>
      </c>
      <c r="D144" s="246" t="s">
        <v>897</v>
      </c>
      <c r="E144" s="246">
        <v>12</v>
      </c>
      <c r="F144" s="248">
        <v>30</v>
      </c>
      <c r="G144" s="246">
        <f>E144*F144</f>
        <v>360</v>
      </c>
      <c r="H144" s="246">
        <f>E144*10</f>
        <v>120</v>
      </c>
      <c r="I144" s="247">
        <f>G144+H144</f>
        <v>480</v>
      </c>
      <c r="J144" s="247">
        <f>0.1*I144</f>
        <v>48</v>
      </c>
      <c r="K144" s="248">
        <f>0.9*I144</f>
        <v>432</v>
      </c>
      <c r="L144" s="246" t="s">
        <v>651</v>
      </c>
      <c r="N144" s="269">
        <v>30</v>
      </c>
      <c r="O144" s="270">
        <v>25</v>
      </c>
      <c r="P144" s="271"/>
      <c r="V144" s="271"/>
    </row>
    <row ht="18.75" r="145" spans="1:22" s="268" customFormat="1">
      <c r="A145" s="246">
        <v>140</v>
      </c>
      <c r="B145" s="246"/>
      <c r="C145" s="246" t="s">
        <v>921</v>
      </c>
      <c r="D145" s="246" t="s">
        <v>897</v>
      </c>
      <c r="E145" s="246">
        <v>9</v>
      </c>
      <c r="F145" s="246">
        <v>30</v>
      </c>
      <c r="G145" s="246">
        <f>E145*F145</f>
        <v>270</v>
      </c>
      <c r="H145" s="246">
        <f>E145*10</f>
        <v>90</v>
      </c>
      <c r="I145" s="247">
        <f>G145+H145</f>
        <v>360</v>
      </c>
      <c r="J145" s="247">
        <f>0.1*I145</f>
        <v>36</v>
      </c>
      <c r="K145" s="248">
        <f>0.9*I145</f>
        <v>324</v>
      </c>
      <c r="L145" s="246" t="s">
        <v>651</v>
      </c>
      <c r="N145" s="269">
        <v>30</v>
      </c>
      <c r="O145" s="270">
        <v>25</v>
      </c>
      <c r="P145" s="271"/>
      <c r="V145" s="271"/>
    </row>
    <row ht="18.75" r="146" spans="1:22" s="268" customFormat="1">
      <c r="A146" s="246">
        <v>141</v>
      </c>
      <c r="B146" s="246"/>
      <c r="C146" s="246" t="s">
        <v>920</v>
      </c>
      <c r="D146" s="246" t="s">
        <v>897</v>
      </c>
      <c r="E146" s="246">
        <v>11</v>
      </c>
      <c r="F146" s="248">
        <v>30</v>
      </c>
      <c r="G146" s="246">
        <f>E146*F146</f>
        <v>330</v>
      </c>
      <c r="H146" s="246">
        <f>E146*10</f>
        <v>110</v>
      </c>
      <c r="I146" s="247">
        <f>G146+H146</f>
        <v>440</v>
      </c>
      <c r="J146" s="247">
        <f>0.1*I146</f>
        <v>44</v>
      </c>
      <c r="K146" s="248">
        <f>0.9*I146</f>
        <v>396</v>
      </c>
      <c r="L146" s="246" t="s">
        <v>651</v>
      </c>
      <c r="N146" s="269">
        <v>30</v>
      </c>
      <c r="O146" s="270">
        <v>25</v>
      </c>
      <c r="P146" s="271"/>
      <c r="V146" s="271"/>
    </row>
    <row ht="18.75" r="147" spans="1:22" s="268" customFormat="1">
      <c r="A147" s="246">
        <v>142</v>
      </c>
      <c r="B147" s="246"/>
      <c r="C147" s="246" t="s">
        <v>919</v>
      </c>
      <c r="D147" s="246" t="s">
        <v>897</v>
      </c>
      <c r="E147" s="246">
        <v>12</v>
      </c>
      <c r="F147" s="248">
        <v>30</v>
      </c>
      <c r="G147" s="246">
        <f>E147*F147</f>
        <v>360</v>
      </c>
      <c r="H147" s="246">
        <f>E147*10</f>
        <v>120</v>
      </c>
      <c r="I147" s="247">
        <f>G147+H147</f>
        <v>480</v>
      </c>
      <c r="J147" s="247">
        <f>0.1*I147</f>
        <v>48</v>
      </c>
      <c r="K147" s="248">
        <f>0.9*I147</f>
        <v>432</v>
      </c>
      <c r="L147" s="246" t="s">
        <v>651</v>
      </c>
      <c r="N147" s="269">
        <v>30</v>
      </c>
      <c r="O147" s="270">
        <v>25</v>
      </c>
      <c r="P147" s="271"/>
      <c r="V147" s="271"/>
    </row>
    <row ht="18.75" r="148" spans="1:22" s="268" customFormat="1">
      <c r="A148" s="246">
        <v>143</v>
      </c>
      <c r="B148" s="246"/>
      <c r="C148" s="246" t="s">
        <v>918</v>
      </c>
      <c r="D148" s="246" t="s">
        <v>897</v>
      </c>
      <c r="E148" s="246">
        <v>9</v>
      </c>
      <c r="F148" s="246">
        <v>30</v>
      </c>
      <c r="G148" s="246">
        <f>E148*F148</f>
        <v>270</v>
      </c>
      <c r="H148" s="246">
        <f>E148*10</f>
        <v>90</v>
      </c>
      <c r="I148" s="247">
        <f>G148+H148</f>
        <v>360</v>
      </c>
      <c r="J148" s="247">
        <f>0.1*I148</f>
        <v>36</v>
      </c>
      <c r="K148" s="248">
        <f>0.9*I148</f>
        <v>324</v>
      </c>
      <c r="L148" s="246" t="s">
        <v>651</v>
      </c>
      <c r="N148" s="269">
        <v>30</v>
      </c>
      <c r="O148" s="270">
        <v>25</v>
      </c>
      <c r="P148" s="271"/>
      <c r="V148" s="271"/>
    </row>
    <row ht="18.75" r="149" spans="1:22" s="268" customFormat="1">
      <c r="A149" s="246">
        <v>144</v>
      </c>
      <c r="B149" s="246"/>
      <c r="C149" s="246" t="s">
        <v>917</v>
      </c>
      <c r="D149" s="246" t="s">
        <v>897</v>
      </c>
      <c r="E149" s="246">
        <v>9</v>
      </c>
      <c r="F149" s="248">
        <v>30</v>
      </c>
      <c r="G149" s="246">
        <f>E149*F149</f>
        <v>270</v>
      </c>
      <c r="H149" s="246">
        <f>E149*10</f>
        <v>90</v>
      </c>
      <c r="I149" s="247">
        <f>G149+H149</f>
        <v>360</v>
      </c>
      <c r="J149" s="247">
        <f>0.1*I149</f>
        <v>36</v>
      </c>
      <c r="K149" s="248">
        <f>0.9*I149</f>
        <v>324</v>
      </c>
      <c r="L149" s="246" t="s">
        <v>651</v>
      </c>
      <c r="N149" s="269">
        <v>30</v>
      </c>
      <c r="O149" s="270">
        <v>25</v>
      </c>
      <c r="P149" s="271"/>
      <c r="V149" s="271"/>
    </row>
    <row ht="18.75" r="150" spans="1:22" s="268" customFormat="1">
      <c r="A150" s="246">
        <v>145</v>
      </c>
      <c r="B150" s="246"/>
      <c r="C150" s="246" t="s">
        <v>916</v>
      </c>
      <c r="D150" s="246" t="s">
        <v>897</v>
      </c>
      <c r="E150" s="246">
        <v>9</v>
      </c>
      <c r="F150" s="248">
        <v>30</v>
      </c>
      <c r="G150" s="246">
        <f>E150*F150</f>
        <v>270</v>
      </c>
      <c r="H150" s="246">
        <f>E150*10</f>
        <v>90</v>
      </c>
      <c r="I150" s="247">
        <f>G150+H150</f>
        <v>360</v>
      </c>
      <c r="J150" s="247">
        <f>0.1*I150</f>
        <v>36</v>
      </c>
      <c r="K150" s="248">
        <f>0.9*I150</f>
        <v>324</v>
      </c>
      <c r="L150" s="246" t="s">
        <v>651</v>
      </c>
      <c r="N150" s="269">
        <v>30</v>
      </c>
      <c r="O150" s="270">
        <v>25</v>
      </c>
      <c r="P150" s="271"/>
    </row>
    <row ht="18.75" r="151" spans="1:22" s="268" customFormat="1">
      <c r="A151" s="246">
        <v>146</v>
      </c>
      <c r="B151" s="246"/>
      <c r="C151" s="246" t="s">
        <v>915</v>
      </c>
      <c r="D151" s="246" t="s">
        <v>897</v>
      </c>
      <c r="E151" s="246">
        <v>9</v>
      </c>
      <c r="F151" s="248">
        <v>30</v>
      </c>
      <c r="G151" s="246">
        <f>E151*F151</f>
        <v>270</v>
      </c>
      <c r="H151" s="246">
        <f>E151*10</f>
        <v>90</v>
      </c>
      <c r="I151" s="247">
        <f>G151+H151</f>
        <v>360</v>
      </c>
      <c r="J151" s="247">
        <f>0.1*I151</f>
        <v>36</v>
      </c>
      <c r="K151" s="248">
        <f>0.9*I151</f>
        <v>324</v>
      </c>
      <c r="L151" s="246" t="s">
        <v>651</v>
      </c>
      <c r="N151" s="269">
        <v>30</v>
      </c>
      <c r="O151" s="270">
        <v>25</v>
      </c>
      <c r="P151" s="271"/>
    </row>
    <row ht="18.75" r="152" spans="1:22" s="268" customFormat="1">
      <c r="A152" s="246">
        <v>147</v>
      </c>
      <c r="B152" s="246"/>
      <c r="C152" s="246" t="s">
        <v>914</v>
      </c>
      <c r="D152" s="246" t="s">
        <v>897</v>
      </c>
      <c r="E152" s="246">
        <v>11</v>
      </c>
      <c r="F152" s="248">
        <v>30</v>
      </c>
      <c r="G152" s="246">
        <f>E152*F152</f>
        <v>330</v>
      </c>
      <c r="H152" s="246">
        <f>E152*10</f>
        <v>110</v>
      </c>
      <c r="I152" s="247">
        <f>G152+H152</f>
        <v>440</v>
      </c>
      <c r="J152" s="247">
        <f>0.1*I152</f>
        <v>44</v>
      </c>
      <c r="K152" s="248">
        <f>0.9*I152</f>
        <v>396</v>
      </c>
      <c r="L152" s="246" t="s">
        <v>651</v>
      </c>
      <c r="N152" s="269">
        <v>30</v>
      </c>
      <c r="O152" s="270">
        <v>25</v>
      </c>
      <c r="P152" s="271"/>
    </row>
    <row ht="18.75" r="153" spans="1:22" s="268" customFormat="1">
      <c r="A153" s="246">
        <v>148</v>
      </c>
      <c r="B153" s="246"/>
      <c r="C153" s="246" t="s">
        <v>913</v>
      </c>
      <c r="D153" s="246" t="s">
        <v>897</v>
      </c>
      <c r="E153" s="246">
        <v>9</v>
      </c>
      <c r="F153" s="248">
        <v>30</v>
      </c>
      <c r="G153" s="246">
        <f>E153*F153</f>
        <v>270</v>
      </c>
      <c r="H153" s="246">
        <f>E153*10</f>
        <v>90</v>
      </c>
      <c r="I153" s="247">
        <f>G153+H153</f>
        <v>360</v>
      </c>
      <c r="J153" s="247">
        <f>0.1*I153</f>
        <v>36</v>
      </c>
      <c r="K153" s="248">
        <f>0.9*I153</f>
        <v>324</v>
      </c>
      <c r="L153" s="246" t="s">
        <v>651</v>
      </c>
      <c r="N153" s="269">
        <v>30</v>
      </c>
      <c r="O153" s="270">
        <v>25</v>
      </c>
      <c r="P153" s="271"/>
    </row>
    <row ht="18.75" r="154" spans="1:22" s="268" customFormat="1">
      <c r="A154" s="246">
        <v>149</v>
      </c>
      <c r="B154" s="246"/>
      <c r="C154" s="246" t="s">
        <v>912</v>
      </c>
      <c r="D154" s="246" t="s">
        <v>897</v>
      </c>
      <c r="E154" s="246">
        <v>8</v>
      </c>
      <c r="F154" s="248">
        <v>30</v>
      </c>
      <c r="G154" s="246">
        <f>E154*F154</f>
        <v>240</v>
      </c>
      <c r="H154" s="246">
        <f>E154*10</f>
        <v>80</v>
      </c>
      <c r="I154" s="247">
        <f>G154+H154</f>
        <v>320</v>
      </c>
      <c r="J154" s="247">
        <f>0.1*I154</f>
        <v>32</v>
      </c>
      <c r="K154" s="248">
        <f>0.9*I154</f>
        <v>288</v>
      </c>
      <c r="L154" s="246" t="s">
        <v>651</v>
      </c>
      <c r="N154" s="269">
        <v>30</v>
      </c>
      <c r="O154" s="270">
        <v>25</v>
      </c>
      <c r="P154" s="271"/>
    </row>
    <row ht="18.75" r="155" spans="1:22" s="268" customFormat="1">
      <c r="A155" s="246">
        <v>150</v>
      </c>
      <c r="B155" s="246"/>
      <c r="C155" s="246" t="s">
        <v>911</v>
      </c>
      <c r="D155" s="246" t="s">
        <v>897</v>
      </c>
      <c r="E155" s="246">
        <v>12</v>
      </c>
      <c r="F155" s="248">
        <v>30</v>
      </c>
      <c r="G155" s="246">
        <f>E155*F155</f>
        <v>360</v>
      </c>
      <c r="H155" s="246">
        <f>E155*10</f>
        <v>120</v>
      </c>
      <c r="I155" s="247">
        <f>G155+H155</f>
        <v>480</v>
      </c>
      <c r="J155" s="247">
        <f>0.1*I155</f>
        <v>48</v>
      </c>
      <c r="K155" s="248">
        <f>0.9*I155</f>
        <v>432</v>
      </c>
      <c r="L155" s="246" t="s">
        <v>651</v>
      </c>
      <c r="N155" s="269">
        <v>30</v>
      </c>
      <c r="O155" s="270">
        <v>25</v>
      </c>
      <c r="P155" s="271"/>
      <c r="V155" s="271"/>
    </row>
    <row ht="18.75" r="156" spans="1:22" s="268" customFormat="1">
      <c r="A156" s="246">
        <v>151</v>
      </c>
      <c r="B156" s="246"/>
      <c r="C156" s="246" t="s">
        <v>910</v>
      </c>
      <c r="D156" s="246" t="s">
        <v>897</v>
      </c>
      <c r="E156" s="246">
        <v>9</v>
      </c>
      <c r="F156" s="248">
        <v>30</v>
      </c>
      <c r="G156" s="246">
        <f>E156*F156</f>
        <v>270</v>
      </c>
      <c r="H156" s="246">
        <f>E156*10</f>
        <v>90</v>
      </c>
      <c r="I156" s="247">
        <f>G156+H156</f>
        <v>360</v>
      </c>
      <c r="J156" s="247">
        <f>0.1*I156</f>
        <v>36</v>
      </c>
      <c r="K156" s="248">
        <f>0.9*I156</f>
        <v>324</v>
      </c>
      <c r="L156" s="246" t="s">
        <v>651</v>
      </c>
      <c r="N156" s="269">
        <v>30</v>
      </c>
      <c r="O156" s="270">
        <v>25</v>
      </c>
      <c r="P156" s="271"/>
      <c r="V156" s="271"/>
    </row>
    <row ht="18.75" r="157" spans="1:22" s="268" customFormat="1">
      <c r="A157" s="246">
        <v>152</v>
      </c>
      <c r="B157" s="246"/>
      <c r="C157" s="246" t="s">
        <v>909</v>
      </c>
      <c r="D157" s="246" t="s">
        <v>897</v>
      </c>
      <c r="E157" s="246">
        <v>11</v>
      </c>
      <c r="F157" s="248">
        <v>30</v>
      </c>
      <c r="G157" s="246">
        <f>E157*F157</f>
        <v>330</v>
      </c>
      <c r="H157" s="246">
        <f>E157*10</f>
        <v>110</v>
      </c>
      <c r="I157" s="247">
        <f>G157+H157</f>
        <v>440</v>
      </c>
      <c r="J157" s="247">
        <f>0.1*I157</f>
        <v>44</v>
      </c>
      <c r="K157" s="248">
        <f>0.9*I157</f>
        <v>396</v>
      </c>
      <c r="L157" s="246" t="s">
        <v>651</v>
      </c>
      <c r="N157" s="269">
        <v>30</v>
      </c>
      <c r="O157" s="270">
        <v>25</v>
      </c>
      <c r="P157" s="271"/>
      <c r="V157" s="271"/>
    </row>
    <row ht="18.75" r="158" spans="1:22" s="268" customFormat="1">
      <c r="A158" s="246">
        <v>153</v>
      </c>
      <c r="B158" s="246"/>
      <c r="C158" s="246" t="s">
        <v>908</v>
      </c>
      <c r="D158" s="246" t="s">
        <v>897</v>
      </c>
      <c r="E158" s="246">
        <v>9</v>
      </c>
      <c r="F158" s="248">
        <v>30</v>
      </c>
      <c r="G158" s="246">
        <f>E158*F158</f>
        <v>270</v>
      </c>
      <c r="H158" s="246">
        <f>E158*10</f>
        <v>90</v>
      </c>
      <c r="I158" s="247">
        <f>G158+H158</f>
        <v>360</v>
      </c>
      <c r="J158" s="247">
        <f>0.1*I158</f>
        <v>36</v>
      </c>
      <c r="K158" s="248">
        <f>0.9*I158</f>
        <v>324</v>
      </c>
      <c r="L158" s="246" t="s">
        <v>651</v>
      </c>
      <c r="N158" s="269">
        <v>30</v>
      </c>
      <c r="O158" s="270">
        <v>25</v>
      </c>
      <c r="V158" s="271"/>
    </row>
    <row ht="18.75" r="159" spans="1:22" s="268" customFormat="1">
      <c r="A159" s="246">
        <v>154</v>
      </c>
      <c r="B159" s="246"/>
      <c r="C159" s="246" t="s">
        <v>907</v>
      </c>
      <c r="D159" s="246" t="s">
        <v>897</v>
      </c>
      <c r="E159" s="246">
        <v>8</v>
      </c>
      <c r="F159" s="248">
        <v>30</v>
      </c>
      <c r="G159" s="246">
        <f>E159*F159</f>
        <v>240</v>
      </c>
      <c r="H159" s="246">
        <f>E159*10</f>
        <v>80</v>
      </c>
      <c r="I159" s="247">
        <f>G159+H159</f>
        <v>320</v>
      </c>
      <c r="J159" s="247">
        <f>0.1*I159</f>
        <v>32</v>
      </c>
      <c r="K159" s="248">
        <f>0.9*I159</f>
        <v>288</v>
      </c>
      <c r="L159" s="246" t="s">
        <v>651</v>
      </c>
      <c r="N159" s="269">
        <v>30</v>
      </c>
      <c r="O159" s="270">
        <v>25</v>
      </c>
      <c r="V159" s="271"/>
    </row>
    <row ht="18.75" r="160" spans="1:22" s="268" customFormat="1">
      <c r="A160" s="246">
        <v>155</v>
      </c>
      <c r="B160" s="246"/>
      <c r="C160" s="246" t="s">
        <v>906</v>
      </c>
      <c r="D160" s="246" t="s">
        <v>897</v>
      </c>
      <c r="E160" s="246">
        <v>14</v>
      </c>
      <c r="F160" s="248">
        <v>30</v>
      </c>
      <c r="G160" s="246">
        <f>E160*F160</f>
        <v>420</v>
      </c>
      <c r="H160" s="246">
        <f>E160*10</f>
        <v>140</v>
      </c>
      <c r="I160" s="247">
        <f>G160+H160</f>
        <v>560</v>
      </c>
      <c r="J160" s="247">
        <f>0.1*I160</f>
        <v>56</v>
      </c>
      <c r="K160" s="248">
        <f>0.9*I160</f>
        <v>504</v>
      </c>
      <c r="L160" s="246" t="s">
        <v>651</v>
      </c>
      <c r="N160" s="269">
        <v>30</v>
      </c>
      <c r="O160" s="270">
        <v>25</v>
      </c>
      <c r="V160" s="271"/>
    </row>
    <row ht="18.75" r="161" spans="1:22" s="268" customFormat="1">
      <c r="A161" s="246">
        <v>156</v>
      </c>
      <c r="B161" s="246"/>
      <c r="C161" s="246" t="s">
        <v>905</v>
      </c>
      <c r="D161" s="246" t="s">
        <v>897</v>
      </c>
      <c r="E161" s="246">
        <v>11</v>
      </c>
      <c r="F161" s="248">
        <v>30</v>
      </c>
      <c r="G161" s="246">
        <f>E161*F161</f>
        <v>330</v>
      </c>
      <c r="H161" s="246">
        <f>E161*10</f>
        <v>110</v>
      </c>
      <c r="I161" s="247">
        <f>G161+H161</f>
        <v>440</v>
      </c>
      <c r="J161" s="247">
        <f>0.1*I161</f>
        <v>44</v>
      </c>
      <c r="K161" s="248">
        <f>0.9*I161</f>
        <v>396</v>
      </c>
      <c r="L161" s="246" t="s">
        <v>651</v>
      </c>
      <c r="N161" s="269">
        <v>30</v>
      </c>
      <c r="O161" s="270">
        <v>25</v>
      </c>
      <c r="P161" s="271"/>
      <c r="V161" s="271"/>
    </row>
    <row ht="18.75" r="162" spans="1:22" s="268" customFormat="1">
      <c r="A162" s="246">
        <v>157</v>
      </c>
      <c r="B162" s="246"/>
      <c r="C162" s="246" t="s">
        <v>904</v>
      </c>
      <c r="D162" s="246" t="s">
        <v>897</v>
      </c>
      <c r="E162" s="246">
        <v>8</v>
      </c>
      <c r="F162" s="248">
        <v>30</v>
      </c>
      <c r="G162" s="246">
        <f>E162*F162</f>
        <v>240</v>
      </c>
      <c r="H162" s="246">
        <f>E162*10</f>
        <v>80</v>
      </c>
      <c r="I162" s="247">
        <f>G162+H162</f>
        <v>320</v>
      </c>
      <c r="J162" s="247">
        <f>0.1*I162</f>
        <v>32</v>
      </c>
      <c r="K162" s="248">
        <f>0.9*I162</f>
        <v>288</v>
      </c>
      <c r="L162" s="246" t="s">
        <v>651</v>
      </c>
      <c r="N162" s="269">
        <v>30</v>
      </c>
      <c r="O162" s="270">
        <v>25</v>
      </c>
      <c r="P162" s="271"/>
      <c r="V162" s="271"/>
    </row>
    <row ht="18.75" r="163" spans="1:22" s="268" customFormat="1">
      <c r="A163" s="246">
        <v>158</v>
      </c>
      <c r="B163" s="246"/>
      <c r="C163" s="246" t="s">
        <v>903</v>
      </c>
      <c r="D163" s="246" t="s">
        <v>897</v>
      </c>
      <c r="E163" s="246">
        <v>15</v>
      </c>
      <c r="F163" s="248">
        <v>30</v>
      </c>
      <c r="G163" s="246">
        <f>E163*F163</f>
        <v>450</v>
      </c>
      <c r="H163" s="246">
        <f>E163*10</f>
        <v>150</v>
      </c>
      <c r="I163" s="247">
        <f>G163+H163</f>
        <v>600</v>
      </c>
      <c r="J163" s="247">
        <f>0.1*I163</f>
        <v>60</v>
      </c>
      <c r="K163" s="248">
        <f>0.9*I163</f>
        <v>540</v>
      </c>
      <c r="L163" s="246" t="s">
        <v>651</v>
      </c>
      <c r="N163" s="269">
        <v>30</v>
      </c>
      <c r="O163" s="270">
        <v>25</v>
      </c>
      <c r="P163" s="271"/>
      <c r="V163" s="271"/>
    </row>
    <row ht="18.75" r="164" spans="1:22" s="268" customFormat="1">
      <c r="A164" s="246">
        <v>159</v>
      </c>
      <c r="B164" s="246"/>
      <c r="C164" s="246" t="s">
        <v>902</v>
      </c>
      <c r="D164" s="246" t="s">
        <v>897</v>
      </c>
      <c r="E164" s="246">
        <v>11</v>
      </c>
      <c r="F164" s="248">
        <v>30</v>
      </c>
      <c r="G164" s="246">
        <f>E164*F164</f>
        <v>330</v>
      </c>
      <c r="H164" s="246">
        <f>E164*10</f>
        <v>110</v>
      </c>
      <c r="I164" s="247">
        <f>G164+H164</f>
        <v>440</v>
      </c>
      <c r="J164" s="247">
        <f>0.1*I164</f>
        <v>44</v>
      </c>
      <c r="K164" s="248">
        <f>0.9*I164</f>
        <v>396</v>
      </c>
      <c r="L164" s="246" t="s">
        <v>651</v>
      </c>
      <c r="N164" s="269">
        <v>30</v>
      </c>
      <c r="O164" s="270">
        <v>25</v>
      </c>
      <c r="P164" s="271"/>
      <c r="V164" s="271"/>
    </row>
    <row ht="18.75" r="165" spans="1:22" s="268" customFormat="1">
      <c r="A165" s="246">
        <v>160</v>
      </c>
      <c r="B165" s="246"/>
      <c r="C165" s="246" t="s">
        <v>901</v>
      </c>
      <c r="D165" s="246" t="s">
        <v>897</v>
      </c>
      <c r="E165" s="246">
        <v>11</v>
      </c>
      <c r="F165" s="248">
        <v>30</v>
      </c>
      <c r="G165" s="246">
        <f>E165*F165</f>
        <v>330</v>
      </c>
      <c r="H165" s="246">
        <f>E165*10</f>
        <v>110</v>
      </c>
      <c r="I165" s="247">
        <f>G165+H165</f>
        <v>440</v>
      </c>
      <c r="J165" s="247">
        <f>0.1*I165</f>
        <v>44</v>
      </c>
      <c r="K165" s="248">
        <f>0.9*I165</f>
        <v>396</v>
      </c>
      <c r="L165" s="246" t="s">
        <v>651</v>
      </c>
      <c r="N165" s="269">
        <v>30</v>
      </c>
      <c r="O165" s="270">
        <v>25</v>
      </c>
      <c r="P165" s="271"/>
      <c r="V165" s="271"/>
    </row>
    <row ht="18.75" r="166" spans="1:22" s="268" customFormat="1">
      <c r="A166" s="246">
        <v>161</v>
      </c>
      <c r="B166" s="246"/>
      <c r="C166" s="246" t="s">
        <v>1302</v>
      </c>
      <c r="D166" s="246" t="s">
        <v>897</v>
      </c>
      <c r="E166" s="246">
        <v>15</v>
      </c>
      <c r="F166" s="248">
        <v>30</v>
      </c>
      <c r="G166" s="246">
        <f>E166*F166</f>
        <v>450</v>
      </c>
      <c r="H166" s="246">
        <f>E166*10</f>
        <v>150</v>
      </c>
      <c r="I166" s="247">
        <f>G166+H166</f>
        <v>600</v>
      </c>
      <c r="J166" s="247">
        <f>0.1*I166</f>
        <v>60</v>
      </c>
      <c r="K166" s="248">
        <f>0.9*I166</f>
        <v>540</v>
      </c>
      <c r="L166" s="246" t="s">
        <v>651</v>
      </c>
      <c r="N166" s="269">
        <v>30</v>
      </c>
      <c r="O166" s="270">
        <v>25</v>
      </c>
      <c r="P166" s="271"/>
      <c r="V166" s="271"/>
    </row>
    <row ht="18.75" r="167" spans="1:22" s="268" customFormat="1">
      <c r="A167" s="246">
        <v>162</v>
      </c>
      <c r="B167" s="246"/>
      <c r="C167" s="246" t="s">
        <v>899</v>
      </c>
      <c r="D167" s="246" t="s">
        <v>897</v>
      </c>
      <c r="E167" s="246">
        <v>8</v>
      </c>
      <c r="F167" s="248">
        <v>30</v>
      </c>
      <c r="G167" s="246">
        <f>E167*F167</f>
        <v>240</v>
      </c>
      <c r="H167" s="246">
        <f>E167*10</f>
        <v>80</v>
      </c>
      <c r="I167" s="247">
        <f>G167+H167</f>
        <v>320</v>
      </c>
      <c r="J167" s="247">
        <f>0.1*I167</f>
        <v>32</v>
      </c>
      <c r="K167" s="248">
        <f>0.9*I167</f>
        <v>288</v>
      </c>
      <c r="L167" s="246" t="s">
        <v>651</v>
      </c>
      <c r="N167" s="269">
        <v>30</v>
      </c>
      <c r="O167" s="270">
        <v>25</v>
      </c>
      <c r="P167" s="271"/>
      <c r="V167" s="271"/>
    </row>
    <row ht="18.75" r="168" spans="1:22" s="268" customFormat="1">
      <c r="A168" s="246">
        <v>163</v>
      </c>
      <c r="B168" s="246"/>
      <c r="C168" s="246" t="s">
        <v>1073</v>
      </c>
      <c r="D168" s="246" t="s">
        <v>897</v>
      </c>
      <c r="E168" s="246">
        <v>11</v>
      </c>
      <c r="F168" s="248">
        <v>30</v>
      </c>
      <c r="G168" s="246">
        <f>E168*F168</f>
        <v>330</v>
      </c>
      <c r="H168" s="246">
        <f>E168*10</f>
        <v>110</v>
      </c>
      <c r="I168" s="247">
        <f>G168+H168</f>
        <v>440</v>
      </c>
      <c r="J168" s="247">
        <f>0.1*I168</f>
        <v>44</v>
      </c>
      <c r="K168" s="248">
        <f>0.9*I168</f>
        <v>396</v>
      </c>
      <c r="L168" s="246" t="s">
        <v>651</v>
      </c>
      <c r="N168" s="269">
        <v>30</v>
      </c>
      <c r="O168" s="270">
        <v>25</v>
      </c>
      <c r="P168" s="271"/>
      <c r="V168" s="271"/>
    </row>
    <row ht="18.75" r="169" spans="1:22" s="268" customFormat="1">
      <c r="A169" s="246">
        <v>164</v>
      </c>
      <c r="B169" s="246"/>
      <c r="C169" s="246" t="s">
        <v>1074</v>
      </c>
      <c r="D169" s="246" t="s">
        <v>897</v>
      </c>
      <c r="E169" s="246">
        <v>11</v>
      </c>
      <c r="F169" s="248">
        <v>30</v>
      </c>
      <c r="G169" s="246">
        <f>E169*F169</f>
        <v>330</v>
      </c>
      <c r="H169" s="246">
        <f>E169*10</f>
        <v>110</v>
      </c>
      <c r="I169" s="247">
        <f>G169+H169</f>
        <v>440</v>
      </c>
      <c r="J169" s="247">
        <f>0.1*I169</f>
        <v>44</v>
      </c>
      <c r="K169" s="248">
        <f>0.9*I169</f>
        <v>396</v>
      </c>
      <c r="L169" s="246" t="s">
        <v>651</v>
      </c>
      <c r="N169" s="269">
        <v>30</v>
      </c>
      <c r="O169" s="270">
        <v>25</v>
      </c>
      <c r="P169" s="271"/>
      <c r="V169" s="271"/>
    </row>
    <row ht="18.75" r="170" spans="1:22" s="268" customFormat="1">
      <c r="A170" s="246">
        <v>165</v>
      </c>
      <c r="B170" s="246"/>
      <c r="C170" s="246" t="s">
        <v>1076</v>
      </c>
      <c r="D170" s="246" t="s">
        <v>897</v>
      </c>
      <c r="E170" s="246">
        <v>9</v>
      </c>
      <c r="F170" s="248">
        <v>30</v>
      </c>
      <c r="G170" s="246">
        <f>E170*F170</f>
        <v>270</v>
      </c>
      <c r="H170" s="246">
        <f>E170*10</f>
        <v>90</v>
      </c>
      <c r="I170" s="247">
        <f>G170+H170</f>
        <v>360</v>
      </c>
      <c r="J170" s="247">
        <f>0.1*I170</f>
        <v>36</v>
      </c>
      <c r="K170" s="248">
        <f>0.9*I170</f>
        <v>324</v>
      </c>
      <c r="L170" s="246" t="s">
        <v>651</v>
      </c>
      <c r="N170" s="269">
        <v>30</v>
      </c>
      <c r="O170" s="270">
        <v>25</v>
      </c>
      <c r="P170" s="271"/>
      <c r="V170" s="271"/>
    </row>
    <row ht="18.75" r="171" spans="1:22" s="268" customFormat="1">
      <c r="A171" s="246">
        <v>166</v>
      </c>
      <c r="B171" s="246"/>
      <c r="C171" s="246" t="s">
        <v>1077</v>
      </c>
      <c r="D171" s="246" t="s">
        <v>897</v>
      </c>
      <c r="E171" s="246">
        <v>9</v>
      </c>
      <c r="F171" s="248">
        <v>30</v>
      </c>
      <c r="G171" s="246">
        <f>E171*F171</f>
        <v>270</v>
      </c>
      <c r="H171" s="246">
        <f>E171*10</f>
        <v>90</v>
      </c>
      <c r="I171" s="247">
        <f>G171+H171</f>
        <v>360</v>
      </c>
      <c r="J171" s="247">
        <f>0.1*I171</f>
        <v>36</v>
      </c>
      <c r="K171" s="248">
        <f>0.9*I171</f>
        <v>324</v>
      </c>
      <c r="L171" s="246" t="s">
        <v>651</v>
      </c>
      <c r="N171" s="269">
        <v>30</v>
      </c>
      <c r="O171" s="270">
        <v>25</v>
      </c>
      <c r="P171" s="271"/>
      <c r="V171" s="271"/>
    </row>
    <row ht="18.75" r="172" spans="1:22" s="268" customFormat="1">
      <c r="A172" s="246">
        <v>167</v>
      </c>
      <c r="B172" s="246"/>
      <c r="C172" s="246" t="s">
        <v>1079</v>
      </c>
      <c r="D172" s="246" t="s">
        <v>897</v>
      </c>
      <c r="E172" s="246">
        <v>11</v>
      </c>
      <c r="F172" s="248">
        <v>30</v>
      </c>
      <c r="G172" s="246">
        <f>E172*F172</f>
        <v>330</v>
      </c>
      <c r="H172" s="246">
        <f>E172*10</f>
        <v>110</v>
      </c>
      <c r="I172" s="247">
        <f>G172+H172</f>
        <v>440</v>
      </c>
      <c r="J172" s="247">
        <f>0.1*I172</f>
        <v>44</v>
      </c>
      <c r="K172" s="248">
        <f>0.9*I172</f>
        <v>396</v>
      </c>
      <c r="L172" s="246" t="s">
        <v>651</v>
      </c>
      <c r="N172" s="269">
        <v>30</v>
      </c>
      <c r="O172" s="270">
        <v>25</v>
      </c>
      <c r="P172" s="271"/>
      <c r="V172" s="271"/>
    </row>
    <row ht="18.75" r="173" spans="1:22" s="268" customFormat="1">
      <c r="A173" s="246">
        <v>168</v>
      </c>
      <c r="B173" s="246"/>
      <c r="C173" s="246" t="s">
        <v>1080</v>
      </c>
      <c r="D173" s="246" t="s">
        <v>897</v>
      </c>
      <c r="E173" s="246">
        <v>11</v>
      </c>
      <c r="F173" s="248">
        <v>30</v>
      </c>
      <c r="G173" s="246">
        <f>E173*F173</f>
        <v>330</v>
      </c>
      <c r="H173" s="246">
        <f>E173*10</f>
        <v>110</v>
      </c>
      <c r="I173" s="247">
        <f>G173+H173</f>
        <v>440</v>
      </c>
      <c r="J173" s="247">
        <f>0.1*I173</f>
        <v>44</v>
      </c>
      <c r="K173" s="248">
        <f>0.9*I173</f>
        <v>396</v>
      </c>
      <c r="L173" s="246" t="s">
        <v>651</v>
      </c>
      <c r="N173" s="269">
        <v>30</v>
      </c>
      <c r="O173" s="270">
        <v>25</v>
      </c>
      <c r="P173" s="271"/>
      <c r="V173" s="271"/>
    </row>
    <row ht="18.75" r="174" spans="1:22" s="268" customFormat="1">
      <c r="A174" s="246">
        <v>169</v>
      </c>
      <c r="B174" s="246"/>
      <c r="C174" s="246" t="s">
        <v>1081</v>
      </c>
      <c r="D174" s="246" t="s">
        <v>897</v>
      </c>
      <c r="E174" s="246">
        <v>9</v>
      </c>
      <c r="F174" s="248">
        <v>30</v>
      </c>
      <c r="G174" s="246">
        <f>E174*F174</f>
        <v>270</v>
      </c>
      <c r="H174" s="246">
        <f>E174*10</f>
        <v>90</v>
      </c>
      <c r="I174" s="247">
        <f>G174+H174</f>
        <v>360</v>
      </c>
      <c r="J174" s="247">
        <f>0.1*I174</f>
        <v>36</v>
      </c>
      <c r="K174" s="248">
        <f>0.9*I174</f>
        <v>324</v>
      </c>
      <c r="L174" s="246" t="s">
        <v>651</v>
      </c>
      <c r="N174" s="269">
        <v>30</v>
      </c>
      <c r="O174" s="270">
        <v>25</v>
      </c>
      <c r="P174" s="271"/>
      <c r="V174" s="271"/>
    </row>
    <row ht="18.75" r="175" spans="1:22" s="268" customFormat="1">
      <c r="A175" s="246">
        <v>170</v>
      </c>
      <c r="B175" s="246"/>
      <c r="C175" s="246" t="s">
        <v>1348</v>
      </c>
      <c r="D175" s="246" t="s">
        <v>897</v>
      </c>
      <c r="E175" s="246">
        <v>11</v>
      </c>
      <c r="F175" s="248">
        <v>30</v>
      </c>
      <c r="G175" s="246">
        <f>E175*F175</f>
        <v>330</v>
      </c>
      <c r="H175" s="246">
        <f>E175*10</f>
        <v>110</v>
      </c>
      <c r="I175" s="247">
        <f>G175+H175</f>
        <v>440</v>
      </c>
      <c r="J175" s="247">
        <f>0.1*I175</f>
        <v>44</v>
      </c>
      <c r="K175" s="248">
        <f>0.9*I175</f>
        <v>396</v>
      </c>
      <c r="L175" s="246" t="s">
        <v>651</v>
      </c>
      <c r="N175" s="269">
        <v>30</v>
      </c>
      <c r="O175" s="270">
        <v>25</v>
      </c>
      <c r="P175" s="271"/>
      <c r="V175" s="271"/>
    </row>
    <row ht="18.75" r="176" spans="1:22" s="268" customFormat="1">
      <c r="A176" s="246">
        <v>171</v>
      </c>
      <c r="B176" s="246"/>
      <c r="C176" s="246" t="s">
        <v>1082</v>
      </c>
      <c r="D176" s="246" t="s">
        <v>897</v>
      </c>
      <c r="E176" s="246">
        <v>9</v>
      </c>
      <c r="F176" s="248">
        <v>30</v>
      </c>
      <c r="G176" s="246">
        <f>E176*F176</f>
        <v>270</v>
      </c>
      <c r="H176" s="246">
        <f>E176*10</f>
        <v>90</v>
      </c>
      <c r="I176" s="247">
        <f>G176+H176</f>
        <v>360</v>
      </c>
      <c r="J176" s="247">
        <f>0.1*I176</f>
        <v>36</v>
      </c>
      <c r="K176" s="248">
        <f>0.9*I176</f>
        <v>324</v>
      </c>
      <c r="L176" s="246" t="s">
        <v>651</v>
      </c>
      <c r="N176" s="269">
        <v>30</v>
      </c>
      <c r="O176" s="270">
        <v>25</v>
      </c>
      <c r="P176" s="271"/>
      <c r="V176" s="271"/>
    </row>
    <row ht="18.75" r="177" spans="1:22" s="268" customFormat="1">
      <c r="A177" s="246">
        <v>172</v>
      </c>
      <c r="B177" s="246"/>
      <c r="C177" s="246" t="s">
        <v>1078</v>
      </c>
      <c r="D177" s="246" t="s">
        <v>897</v>
      </c>
      <c r="E177" s="246">
        <v>9</v>
      </c>
      <c r="F177" s="248">
        <v>30</v>
      </c>
      <c r="G177" s="246">
        <f>E177*F177</f>
        <v>270</v>
      </c>
      <c r="H177" s="246">
        <f>E177*10</f>
        <v>90</v>
      </c>
      <c r="I177" s="247">
        <f>G177+H177</f>
        <v>360</v>
      </c>
      <c r="J177" s="247">
        <f>0.1*I177</f>
        <v>36</v>
      </c>
      <c r="K177" s="248">
        <f>0.9*I177</f>
        <v>324</v>
      </c>
      <c r="L177" s="246" t="s">
        <v>651</v>
      </c>
      <c r="N177" s="269">
        <v>30</v>
      </c>
      <c r="O177" s="270">
        <v>25</v>
      </c>
      <c r="P177" s="271"/>
      <c r="V177" s="271"/>
    </row>
    <row ht="18.75" r="178" spans="1:22" s="268" customFormat="1">
      <c r="A178" s="246">
        <v>173</v>
      </c>
      <c r="B178" s="246"/>
      <c r="C178" s="246" t="s">
        <v>1075</v>
      </c>
      <c r="D178" s="246" t="s">
        <v>897</v>
      </c>
      <c r="E178" s="246">
        <v>11</v>
      </c>
      <c r="F178" s="248">
        <v>30</v>
      </c>
      <c r="G178" s="246">
        <f>E178*F178</f>
        <v>330</v>
      </c>
      <c r="H178" s="246">
        <f>E178*10</f>
        <v>110</v>
      </c>
      <c r="I178" s="247">
        <f>G178+H178</f>
        <v>440</v>
      </c>
      <c r="J178" s="247">
        <f>0.1*I178</f>
        <v>44</v>
      </c>
      <c r="K178" s="248">
        <f>0.9*I178</f>
        <v>396</v>
      </c>
      <c r="L178" s="246" t="s">
        <v>651</v>
      </c>
      <c r="N178" s="269">
        <v>30</v>
      </c>
      <c r="O178" s="270">
        <v>25</v>
      </c>
      <c r="P178" s="271"/>
      <c r="V178" s="271"/>
    </row>
    <row ht="18.75" r="179" spans="1:22" s="268" customFormat="1">
      <c r="A179" s="246">
        <v>174</v>
      </c>
      <c r="B179" s="246"/>
      <c r="C179" s="246" t="s">
        <v>1083</v>
      </c>
      <c r="D179" s="246" t="s">
        <v>897</v>
      </c>
      <c r="E179" s="246">
        <v>9</v>
      </c>
      <c r="F179" s="248">
        <v>30</v>
      </c>
      <c r="G179" s="246">
        <f>E179*F179</f>
        <v>270</v>
      </c>
      <c r="H179" s="246">
        <f>E179*10</f>
        <v>90</v>
      </c>
      <c r="I179" s="247">
        <f>G179+H179</f>
        <v>360</v>
      </c>
      <c r="J179" s="247">
        <f>0.1*I179</f>
        <v>36</v>
      </c>
      <c r="K179" s="248">
        <f>0.9*I179</f>
        <v>324</v>
      </c>
      <c r="L179" s="246" t="s">
        <v>651</v>
      </c>
      <c r="N179" s="269">
        <v>30</v>
      </c>
      <c r="O179" s="270">
        <v>25</v>
      </c>
      <c r="P179" s="271"/>
      <c r="V179" s="271"/>
    </row>
    <row ht="18.75" r="180" spans="1:22" s="268" customFormat="1">
      <c r="A180" s="246">
        <v>175</v>
      </c>
      <c r="B180" s="246"/>
      <c r="C180" s="246" t="s">
        <v>1084</v>
      </c>
      <c r="D180" s="246" t="s">
        <v>897</v>
      </c>
      <c r="E180" s="246">
        <v>9</v>
      </c>
      <c r="F180" s="248">
        <v>30</v>
      </c>
      <c r="G180" s="246">
        <f>E180*F180</f>
        <v>270</v>
      </c>
      <c r="H180" s="246">
        <f>E180*10</f>
        <v>90</v>
      </c>
      <c r="I180" s="247">
        <f>G180+H180</f>
        <v>360</v>
      </c>
      <c r="J180" s="247">
        <f>0.1*I180</f>
        <v>36</v>
      </c>
      <c r="K180" s="248">
        <f>0.9*I180</f>
        <v>324</v>
      </c>
      <c r="L180" s="246" t="s">
        <v>651</v>
      </c>
      <c r="N180" s="269">
        <v>30</v>
      </c>
      <c r="O180" s="270">
        <v>25</v>
      </c>
      <c r="P180" s="271"/>
      <c r="V180" s="271"/>
    </row>
    <row ht="18.75" r="181" spans="1:22" s="268" customFormat="1">
      <c r="A181" s="246">
        <v>176</v>
      </c>
      <c r="B181" s="246"/>
      <c r="C181" s="246" t="s">
        <v>1085</v>
      </c>
      <c r="D181" s="246" t="s">
        <v>897</v>
      </c>
      <c r="E181" s="246">
        <v>8</v>
      </c>
      <c r="F181" s="248">
        <v>30</v>
      </c>
      <c r="G181" s="246">
        <f>E181*F181</f>
        <v>240</v>
      </c>
      <c r="H181" s="246">
        <f>E181*10</f>
        <v>80</v>
      </c>
      <c r="I181" s="247">
        <f>G181+H181</f>
        <v>320</v>
      </c>
      <c r="J181" s="247">
        <f>0.1*I181</f>
        <v>32</v>
      </c>
      <c r="K181" s="248">
        <f>0.9*I181</f>
        <v>288</v>
      </c>
      <c r="L181" s="246" t="s">
        <v>651</v>
      </c>
      <c r="N181" s="269">
        <v>30</v>
      </c>
      <c r="O181" s="270">
        <v>25</v>
      </c>
      <c r="P181" s="271"/>
      <c r="V181" s="271"/>
    </row>
    <row ht="18.75" r="182" spans="1:22" s="268" customFormat="1">
      <c r="A182" s="246">
        <v>177</v>
      </c>
      <c r="B182" s="246"/>
      <c r="C182" s="246" t="s">
        <v>1086</v>
      </c>
      <c r="D182" s="246" t="s">
        <v>897</v>
      </c>
      <c r="E182" s="246">
        <v>11</v>
      </c>
      <c r="F182" s="248">
        <v>30</v>
      </c>
      <c r="G182" s="246">
        <f>E182*F182</f>
        <v>330</v>
      </c>
      <c r="H182" s="246">
        <f>E182*10</f>
        <v>110</v>
      </c>
      <c r="I182" s="247">
        <f>G182+H182</f>
        <v>440</v>
      </c>
      <c r="J182" s="247">
        <f>0.1*I182</f>
        <v>44</v>
      </c>
      <c r="K182" s="248">
        <f>0.9*I182</f>
        <v>396</v>
      </c>
      <c r="L182" s="246" t="s">
        <v>651</v>
      </c>
      <c r="N182" s="269">
        <v>30</v>
      </c>
      <c r="O182" s="270">
        <v>25</v>
      </c>
      <c r="P182" s="271"/>
      <c r="V182" s="271"/>
    </row>
    <row ht="18.75" r="183" spans="1:22" s="268" customFormat="1">
      <c r="A183" s="246">
        <v>178</v>
      </c>
      <c r="B183" s="246"/>
      <c r="C183" s="246" t="s">
        <v>1072</v>
      </c>
      <c r="D183" s="246" t="s">
        <v>897</v>
      </c>
      <c r="E183" s="246">
        <v>11</v>
      </c>
      <c r="F183" s="246">
        <v>30</v>
      </c>
      <c r="G183" s="246">
        <f>E183*F183</f>
        <v>330</v>
      </c>
      <c r="H183" s="246">
        <f>E183*10</f>
        <v>110</v>
      </c>
      <c r="I183" s="247">
        <f>G183+H183</f>
        <v>440</v>
      </c>
      <c r="J183" s="247">
        <f>0.1*I183</f>
        <v>44</v>
      </c>
      <c r="K183" s="248">
        <f>0.9*I183</f>
        <v>396</v>
      </c>
      <c r="L183" s="246" t="s">
        <v>651</v>
      </c>
      <c r="N183" s="269">
        <v>30</v>
      </c>
      <c r="O183" s="270">
        <v>25</v>
      </c>
      <c r="P183" s="271"/>
      <c r="V183" s="271"/>
    </row>
    <row ht="18.75" r="184" spans="1:22" s="268" customFormat="1">
      <c r="A184" s="246">
        <v>179</v>
      </c>
      <c r="B184" s="246"/>
      <c r="C184" s="246" t="s">
        <v>1071</v>
      </c>
      <c r="D184" s="246" t="s">
        <v>897</v>
      </c>
      <c r="E184" s="246">
        <v>12</v>
      </c>
      <c r="F184" s="248">
        <v>30</v>
      </c>
      <c r="G184" s="246">
        <f>E184*F184</f>
        <v>360</v>
      </c>
      <c r="H184" s="246">
        <f>E184*10</f>
        <v>120</v>
      </c>
      <c r="I184" s="247">
        <f>G184+H184</f>
        <v>480</v>
      </c>
      <c r="J184" s="247">
        <f>0.1*I184</f>
        <v>48</v>
      </c>
      <c r="K184" s="248">
        <f>0.9*I184</f>
        <v>432</v>
      </c>
      <c r="L184" s="246" t="s">
        <v>651</v>
      </c>
      <c r="N184" s="269">
        <v>30</v>
      </c>
      <c r="O184" s="268">
        <v>29</v>
      </c>
      <c r="P184" s="271"/>
      <c r="V184" s="271"/>
    </row>
    <row ht="18.75" r="185" spans="1:22" s="268" customFormat="1">
      <c r="A185" s="246">
        <v>180</v>
      </c>
      <c r="B185" s="246"/>
      <c r="C185" s="246" t="s">
        <v>898</v>
      </c>
      <c r="D185" s="246" t="s">
        <v>897</v>
      </c>
      <c r="E185" s="246">
        <v>85</v>
      </c>
      <c r="F185" s="248">
        <v>30</v>
      </c>
      <c r="G185" s="246">
        <f>E185*F185</f>
        <v>2550</v>
      </c>
      <c r="H185" s="246">
        <f>E185*10</f>
        <v>850</v>
      </c>
      <c r="I185" s="247">
        <f>G185+H185</f>
        <v>3400</v>
      </c>
      <c r="J185" s="247">
        <f>0.1*I185</f>
        <v>340</v>
      </c>
      <c r="K185" s="248">
        <f>0.9*I185</f>
        <v>3060</v>
      </c>
      <c r="L185" s="246" t="s">
        <v>651</v>
      </c>
      <c r="N185" s="269">
        <v>30</v>
      </c>
      <c r="O185" s="268">
        <v>29</v>
      </c>
      <c r="P185" s="271"/>
      <c r="V185" s="271"/>
    </row>
    <row ht="18.75" r="186" spans="1:22" s="268" customFormat="1">
      <c r="A186" s="246">
        <v>181</v>
      </c>
      <c r="B186" s="246"/>
      <c r="C186" s="246" t="s">
        <v>1349</v>
      </c>
      <c r="D186" s="246" t="s">
        <v>897</v>
      </c>
      <c r="E186" s="246">
        <v>14</v>
      </c>
      <c r="F186" s="248">
        <v>30</v>
      </c>
      <c r="G186" s="246">
        <f>E186*F186</f>
        <v>420</v>
      </c>
      <c r="H186" s="246">
        <f>E186*10</f>
        <v>140</v>
      </c>
      <c r="I186" s="247">
        <f>G186+H186</f>
        <v>560</v>
      </c>
      <c r="J186" s="247">
        <f>0.1*I186</f>
        <v>56</v>
      </c>
      <c r="K186" s="248">
        <f>0.9*I186</f>
        <v>504</v>
      </c>
      <c r="L186" s="246" t="s">
        <v>651</v>
      </c>
      <c r="N186" s="269">
        <v>30</v>
      </c>
      <c r="O186" s="268">
        <v>29</v>
      </c>
      <c r="P186" s="271"/>
      <c r="V186" s="271"/>
    </row>
    <row ht="18.75" r="187" spans="1:22" s="268" customFormat="1">
      <c r="A187" s="246">
        <v>182</v>
      </c>
      <c r="B187" s="246"/>
      <c r="C187" s="246" t="s">
        <v>896</v>
      </c>
      <c r="D187" s="246" t="s">
        <v>874</v>
      </c>
      <c r="E187" s="246">
        <v>48</v>
      </c>
      <c r="F187" s="248">
        <f>N187</f>
        <v>30</v>
      </c>
      <c r="G187" s="246">
        <f>E187*F187</f>
        <v>1440</v>
      </c>
      <c r="H187" s="246">
        <v>360</v>
      </c>
      <c r="I187" s="247">
        <f>G187+H187</f>
        <v>1800</v>
      </c>
      <c r="J187" s="247">
        <f>I187*0.1</f>
        <v>180</v>
      </c>
      <c r="K187" s="248">
        <f>I187*0.9</f>
        <v>1620</v>
      </c>
      <c r="L187" s="246" t="s">
        <v>651</v>
      </c>
      <c r="N187" s="269">
        <v>30</v>
      </c>
    </row>
    <row ht="18.75" r="188" spans="1:22" s="268" customFormat="1">
      <c r="A188" s="246">
        <v>183</v>
      </c>
      <c r="B188" s="246"/>
      <c r="C188" s="246" t="s">
        <v>895</v>
      </c>
      <c r="D188" s="246" t="s">
        <v>874</v>
      </c>
      <c r="E188" s="246">
        <v>50</v>
      </c>
      <c r="F188" s="248">
        <f>N188</f>
        <v>30</v>
      </c>
      <c r="G188" s="246">
        <f>E188*F188</f>
        <v>1500</v>
      </c>
      <c r="H188" s="246">
        <v>375</v>
      </c>
      <c r="I188" s="247">
        <f>G188+H188</f>
        <v>1875</v>
      </c>
      <c r="J188" s="247">
        <f>I188*0.1</f>
        <v>187.5</v>
      </c>
      <c r="K188" s="248">
        <f>I188*0.9</f>
        <v>1687.5</v>
      </c>
      <c r="L188" s="246" t="s">
        <v>651</v>
      </c>
      <c r="N188" s="269">
        <v>30</v>
      </c>
    </row>
    <row ht="18.75" r="189" spans="1:22" s="268" customFormat="1">
      <c r="A189" s="246">
        <v>184</v>
      </c>
      <c r="B189" s="246"/>
      <c r="C189" s="246" t="s">
        <v>894</v>
      </c>
      <c r="D189" s="246" t="s">
        <v>874</v>
      </c>
      <c r="E189" s="246">
        <v>50</v>
      </c>
      <c r="F189" s="248">
        <f>N189</f>
        <v>30</v>
      </c>
      <c r="G189" s="246">
        <f>E189*F189</f>
        <v>1500</v>
      </c>
      <c r="H189" s="246">
        <v>375</v>
      </c>
      <c r="I189" s="247">
        <f>G189+H189</f>
        <v>1875</v>
      </c>
      <c r="J189" s="247">
        <f>I189*0.1</f>
        <v>187.5</v>
      </c>
      <c r="K189" s="248">
        <f>I189*0.9</f>
        <v>1687.5</v>
      </c>
      <c r="L189" s="246" t="s">
        <v>651</v>
      </c>
      <c r="N189" s="269">
        <v>30</v>
      </c>
    </row>
    <row ht="18.75" r="190" spans="1:22" s="268" customFormat="1">
      <c r="A190" s="246">
        <v>185</v>
      </c>
      <c r="B190" s="246"/>
      <c r="C190" s="246" t="s">
        <v>893</v>
      </c>
      <c r="D190" s="246" t="s">
        <v>874</v>
      </c>
      <c r="E190" s="246">
        <v>50</v>
      </c>
      <c r="F190" s="248">
        <f>N190</f>
        <v>30</v>
      </c>
      <c r="G190" s="246">
        <f>E190*F190</f>
        <v>1500</v>
      </c>
      <c r="H190" s="246">
        <v>375</v>
      </c>
      <c r="I190" s="247">
        <f>G190+H190</f>
        <v>1875</v>
      </c>
      <c r="J190" s="247">
        <f>I190*0.1</f>
        <v>187.5</v>
      </c>
      <c r="K190" s="248">
        <f>I190*0.9</f>
        <v>1687.5</v>
      </c>
      <c r="L190" s="246" t="s">
        <v>651</v>
      </c>
      <c r="N190" s="269">
        <v>30</v>
      </c>
    </row>
    <row ht="18.75" r="191" spans="1:22" s="268" customFormat="1">
      <c r="A191" s="246">
        <v>186</v>
      </c>
      <c r="B191" s="246"/>
      <c r="C191" s="246" t="s">
        <v>892</v>
      </c>
      <c r="D191" s="246" t="s">
        <v>874</v>
      </c>
      <c r="E191" s="246">
        <v>50</v>
      </c>
      <c r="F191" s="248">
        <f>N191</f>
        <v>30</v>
      </c>
      <c r="G191" s="246">
        <f>E191*F191</f>
        <v>1500</v>
      </c>
      <c r="H191" s="246">
        <v>375</v>
      </c>
      <c r="I191" s="247">
        <f>G191+H191</f>
        <v>1875</v>
      </c>
      <c r="J191" s="247">
        <f>I191*0.1</f>
        <v>187.5</v>
      </c>
      <c r="K191" s="248">
        <f>I191*0.9</f>
        <v>1687.5</v>
      </c>
      <c r="L191" s="246" t="s">
        <v>651</v>
      </c>
      <c r="N191" s="269">
        <v>30</v>
      </c>
    </row>
    <row ht="18.75" r="192" spans="1:22" s="268" customFormat="1">
      <c r="A192" s="246">
        <v>187</v>
      </c>
      <c r="B192" s="246"/>
      <c r="C192" s="246" t="s">
        <v>891</v>
      </c>
      <c r="D192" s="246" t="s">
        <v>874</v>
      </c>
      <c r="E192" s="246">
        <v>48</v>
      </c>
      <c r="F192" s="248">
        <f>N192</f>
        <v>30</v>
      </c>
      <c r="G192" s="246">
        <f>E192*F192</f>
        <v>1440</v>
      </c>
      <c r="H192" s="246">
        <v>360</v>
      </c>
      <c r="I192" s="247">
        <f>G192+H192</f>
        <v>1800</v>
      </c>
      <c r="J192" s="247">
        <f>I192*0.1</f>
        <v>180</v>
      </c>
      <c r="K192" s="248">
        <f>I192*0.9</f>
        <v>1620</v>
      </c>
      <c r="L192" s="246" t="s">
        <v>651</v>
      </c>
      <c r="N192" s="269">
        <v>30</v>
      </c>
    </row>
    <row ht="18.75" r="193" spans="1:14" s="268" customFormat="1">
      <c r="A193" s="246">
        <v>188</v>
      </c>
      <c r="B193" s="246"/>
      <c r="C193" s="246" t="s">
        <v>1155</v>
      </c>
      <c r="D193" s="246" t="s">
        <v>874</v>
      </c>
      <c r="E193" s="246">
        <v>50</v>
      </c>
      <c r="F193" s="248">
        <f>N193</f>
        <v>30</v>
      </c>
      <c r="G193" s="246">
        <f>E193*F193</f>
        <v>1500</v>
      </c>
      <c r="H193" s="246">
        <v>375</v>
      </c>
      <c r="I193" s="247">
        <f>G193+H193</f>
        <v>1875</v>
      </c>
      <c r="J193" s="247">
        <f>I193*0.1</f>
        <v>187.5</v>
      </c>
      <c r="K193" s="248">
        <f>I193*0.9</f>
        <v>1687.5</v>
      </c>
      <c r="L193" s="246" t="s">
        <v>651</v>
      </c>
      <c r="N193" s="269">
        <v>30</v>
      </c>
    </row>
    <row ht="18.75" r="194" spans="1:14" s="268" customFormat="1">
      <c r="A194" s="246">
        <v>189</v>
      </c>
      <c r="B194" s="246"/>
      <c r="C194" s="246" t="s">
        <v>1156</v>
      </c>
      <c r="D194" s="246" t="s">
        <v>874</v>
      </c>
      <c r="E194" s="246">
        <v>48</v>
      </c>
      <c r="F194" s="248">
        <f>N194</f>
        <v>30</v>
      </c>
      <c r="G194" s="246">
        <f>E194*F194</f>
        <v>1440</v>
      </c>
      <c r="H194" s="246">
        <v>360</v>
      </c>
      <c r="I194" s="247">
        <f>G194+H194</f>
        <v>1800</v>
      </c>
      <c r="J194" s="247">
        <f>I194*0.1</f>
        <v>180</v>
      </c>
      <c r="K194" s="248">
        <f>I194*0.9</f>
        <v>1620</v>
      </c>
      <c r="L194" s="246" t="s">
        <v>651</v>
      </c>
      <c r="N194" s="269">
        <v>30</v>
      </c>
    </row>
    <row ht="18.75" r="195" spans="1:14" s="268" customFormat="1">
      <c r="A195" s="246">
        <v>190</v>
      </c>
      <c r="B195" s="246"/>
      <c r="C195" s="246" t="s">
        <v>885</v>
      </c>
      <c r="D195" s="246" t="s">
        <v>874</v>
      </c>
      <c r="E195" s="246">
        <v>46</v>
      </c>
      <c r="F195" s="248">
        <f>N195</f>
        <v>30</v>
      </c>
      <c r="G195" s="246">
        <f>E195*F195</f>
        <v>1380</v>
      </c>
      <c r="H195" s="246">
        <v>345</v>
      </c>
      <c r="I195" s="247">
        <f>G195+H195</f>
        <v>1725</v>
      </c>
      <c r="J195" s="247">
        <f>I195*0.1</f>
        <v>172.5</v>
      </c>
      <c r="K195" s="248">
        <f>I195*0.9</f>
        <v>1552.5</v>
      </c>
      <c r="L195" s="246" t="s">
        <v>651</v>
      </c>
      <c r="N195" s="269">
        <v>30</v>
      </c>
    </row>
    <row ht="18.75" r="196" spans="1:14" s="268" customFormat="1">
      <c r="A196" s="246">
        <v>191</v>
      </c>
      <c r="B196" s="246"/>
      <c r="C196" s="246" t="s">
        <v>1240</v>
      </c>
      <c r="D196" s="246" t="s">
        <v>874</v>
      </c>
      <c r="E196" s="246">
        <v>48</v>
      </c>
      <c r="F196" s="248">
        <f>N196</f>
        <v>30</v>
      </c>
      <c r="G196" s="246">
        <f>E196*F196</f>
        <v>1440</v>
      </c>
      <c r="H196" s="246">
        <v>360</v>
      </c>
      <c r="I196" s="247">
        <f>G196+H196</f>
        <v>1800</v>
      </c>
      <c r="J196" s="247">
        <f>I196*0.1</f>
        <v>180</v>
      </c>
      <c r="K196" s="248">
        <f>I196*0.9</f>
        <v>1620</v>
      </c>
      <c r="L196" s="246" t="s">
        <v>651</v>
      </c>
      <c r="N196" s="269">
        <v>30</v>
      </c>
    </row>
    <row ht="18.75" r="197" spans="1:14" s="268" customFormat="1">
      <c r="A197" s="246">
        <v>192</v>
      </c>
      <c r="B197" s="246"/>
      <c r="C197" s="246" t="s">
        <v>890</v>
      </c>
      <c r="D197" s="246" t="s">
        <v>874</v>
      </c>
      <c r="E197" s="246">
        <v>50</v>
      </c>
      <c r="F197" s="248">
        <f>N197</f>
        <v>30</v>
      </c>
      <c r="G197" s="246">
        <f>E197*F197</f>
        <v>1500</v>
      </c>
      <c r="H197" s="246">
        <v>375</v>
      </c>
      <c r="I197" s="247">
        <f>G197+H197</f>
        <v>1875</v>
      </c>
      <c r="J197" s="247">
        <f>I197*0.1</f>
        <v>187.5</v>
      </c>
      <c r="K197" s="248">
        <f>I197*0.9</f>
        <v>1687.5</v>
      </c>
      <c r="L197" s="246" t="s">
        <v>651</v>
      </c>
      <c r="N197" s="269">
        <v>30</v>
      </c>
    </row>
    <row ht="18.75" r="198" spans="1:14" s="268" customFormat="1">
      <c r="A198" s="246">
        <v>193</v>
      </c>
      <c r="B198" s="246"/>
      <c r="C198" s="246" t="s">
        <v>1154</v>
      </c>
      <c r="D198" s="246" t="s">
        <v>874</v>
      </c>
      <c r="E198" s="246">
        <v>50</v>
      </c>
      <c r="F198" s="248">
        <f>N198</f>
        <v>30</v>
      </c>
      <c r="G198" s="246">
        <f>E198*F198</f>
        <v>1500</v>
      </c>
      <c r="H198" s="246">
        <v>375</v>
      </c>
      <c r="I198" s="247">
        <f>G198+H198</f>
        <v>1875</v>
      </c>
      <c r="J198" s="247">
        <f>I198*0.1</f>
        <v>187.5</v>
      </c>
      <c r="K198" s="248">
        <f>I198*0.9</f>
        <v>1687.5</v>
      </c>
      <c r="L198" s="246" t="s">
        <v>651</v>
      </c>
      <c r="N198" s="269">
        <v>30</v>
      </c>
    </row>
    <row ht="18.75" r="199" spans="1:14" s="268" customFormat="1">
      <c r="A199" s="246">
        <v>194</v>
      </c>
      <c r="B199" s="246"/>
      <c r="C199" s="246" t="s">
        <v>889</v>
      </c>
      <c r="D199" s="246" t="s">
        <v>874</v>
      </c>
      <c r="E199" s="246">
        <v>50</v>
      </c>
      <c r="F199" s="248">
        <f>N199</f>
        <v>30</v>
      </c>
      <c r="G199" s="246">
        <f>E199*F199</f>
        <v>1500</v>
      </c>
      <c r="H199" s="246">
        <v>375</v>
      </c>
      <c r="I199" s="247">
        <f>G199+H199</f>
        <v>1875</v>
      </c>
      <c r="J199" s="247">
        <f>I199*0.1</f>
        <v>187.5</v>
      </c>
      <c r="K199" s="248">
        <f>I199*0.9</f>
        <v>1687.5</v>
      </c>
      <c r="L199" s="246" t="s">
        <v>651</v>
      </c>
      <c r="N199" s="269">
        <v>30</v>
      </c>
    </row>
    <row ht="18.75" r="200" spans="1:14" s="268" customFormat="1">
      <c r="A200" s="246">
        <v>195</v>
      </c>
      <c r="B200" s="246"/>
      <c r="C200" s="246" t="s">
        <v>888</v>
      </c>
      <c r="D200" s="246" t="s">
        <v>874</v>
      </c>
      <c r="E200" s="246">
        <v>54</v>
      </c>
      <c r="F200" s="248">
        <f>N200</f>
        <v>30</v>
      </c>
      <c r="G200" s="246">
        <f>E200*F200</f>
        <v>1620</v>
      </c>
      <c r="H200" s="246">
        <v>405</v>
      </c>
      <c r="I200" s="247">
        <f>G200+H200</f>
        <v>2025</v>
      </c>
      <c r="J200" s="247">
        <f>I200*0.1</f>
        <v>202.5</v>
      </c>
      <c r="K200" s="248">
        <f>I200*0.9</f>
        <v>1822.5</v>
      </c>
      <c r="L200" s="246" t="s">
        <v>651</v>
      </c>
      <c r="N200" s="269">
        <v>30</v>
      </c>
    </row>
    <row ht="18.75" r="201" spans="1:14" s="268" customFormat="1">
      <c r="A201" s="246">
        <v>196</v>
      </c>
      <c r="B201" s="246"/>
      <c r="C201" s="246" t="s">
        <v>887</v>
      </c>
      <c r="D201" s="246" t="s">
        <v>874</v>
      </c>
      <c r="E201" s="246">
        <v>50</v>
      </c>
      <c r="F201" s="248">
        <f>N201</f>
        <v>30</v>
      </c>
      <c r="G201" s="246">
        <f>E201*F201</f>
        <v>1500</v>
      </c>
      <c r="H201" s="246">
        <v>375</v>
      </c>
      <c r="I201" s="247">
        <f>G201+H201</f>
        <v>1875</v>
      </c>
      <c r="J201" s="247">
        <f>I201*0.1</f>
        <v>187.5</v>
      </c>
      <c r="K201" s="248">
        <f>I201*0.9</f>
        <v>1687.5</v>
      </c>
      <c r="L201" s="246" t="s">
        <v>651</v>
      </c>
      <c r="N201" s="269">
        <v>30</v>
      </c>
    </row>
    <row ht="18.75" r="202" spans="1:14" s="268" customFormat="1">
      <c r="A202" s="246">
        <v>197</v>
      </c>
      <c r="B202" s="246"/>
      <c r="C202" s="246" t="s">
        <v>886</v>
      </c>
      <c r="D202" s="246" t="s">
        <v>874</v>
      </c>
      <c r="E202" s="246">
        <v>50</v>
      </c>
      <c r="F202" s="248">
        <f>N202</f>
        <v>30</v>
      </c>
      <c r="G202" s="246">
        <f>E202*F202</f>
        <v>1500</v>
      </c>
      <c r="H202" s="246">
        <v>375</v>
      </c>
      <c r="I202" s="247">
        <f>G202+H202</f>
        <v>1875</v>
      </c>
      <c r="J202" s="247">
        <f>I202*0.1</f>
        <v>187.5</v>
      </c>
      <c r="K202" s="248">
        <f>I202*0.9</f>
        <v>1687.5</v>
      </c>
      <c r="L202" s="246" t="s">
        <v>651</v>
      </c>
      <c r="N202" s="269">
        <v>30</v>
      </c>
    </row>
    <row ht="18.75" r="203" spans="1:14" s="268" customFormat="1">
      <c r="A203" s="246">
        <v>198</v>
      </c>
      <c r="B203" s="246"/>
      <c r="C203" s="246" t="s">
        <v>1153</v>
      </c>
      <c r="D203" s="246" t="s">
        <v>874</v>
      </c>
      <c r="E203" s="246">
        <v>48</v>
      </c>
      <c r="F203" s="248">
        <f>N203</f>
        <v>30</v>
      </c>
      <c r="G203" s="246">
        <f>E203*F203</f>
        <v>1440</v>
      </c>
      <c r="H203" s="246">
        <v>360</v>
      </c>
      <c r="I203" s="247">
        <f>G203+H203</f>
        <v>1800</v>
      </c>
      <c r="J203" s="247">
        <f>I203*0.1</f>
        <v>180</v>
      </c>
      <c r="K203" s="248">
        <f>I203*0.9</f>
        <v>1620</v>
      </c>
      <c r="L203" s="246" t="s">
        <v>651</v>
      </c>
      <c r="N203" s="269">
        <v>30</v>
      </c>
    </row>
    <row ht="18.75" r="204" spans="1:14" s="268" customFormat="1">
      <c r="A204" s="246">
        <v>199</v>
      </c>
      <c r="B204" s="246"/>
      <c r="C204" s="246" t="s">
        <v>1151</v>
      </c>
      <c r="D204" s="246" t="s">
        <v>874</v>
      </c>
      <c r="E204" s="246">
        <v>58</v>
      </c>
      <c r="F204" s="248">
        <f>N204</f>
        <v>30</v>
      </c>
      <c r="G204" s="246">
        <f>E204*F204</f>
        <v>1740</v>
      </c>
      <c r="H204" s="246">
        <v>360</v>
      </c>
      <c r="I204" s="247">
        <f>G204+H204</f>
        <v>2100</v>
      </c>
      <c r="J204" s="247">
        <f>I204*0.1</f>
        <v>210</v>
      </c>
      <c r="K204" s="248">
        <f>I204*0.9</f>
        <v>1890</v>
      </c>
      <c r="L204" s="246" t="s">
        <v>651</v>
      </c>
      <c r="N204" s="269">
        <v>30</v>
      </c>
    </row>
    <row ht="18.75" r="205" spans="1:14" s="268" customFormat="1">
      <c r="A205" s="246">
        <v>200</v>
      </c>
      <c r="B205" s="246"/>
      <c r="C205" s="246" t="s">
        <v>1152</v>
      </c>
      <c r="D205" s="246" t="s">
        <v>874</v>
      </c>
      <c r="E205" s="246">
        <v>48</v>
      </c>
      <c r="F205" s="248">
        <f>N205</f>
        <v>30</v>
      </c>
      <c r="G205" s="246">
        <f>E205*F205</f>
        <v>1440</v>
      </c>
      <c r="H205" s="246">
        <v>360</v>
      </c>
      <c r="I205" s="247">
        <f>G205+H205</f>
        <v>1800</v>
      </c>
      <c r="J205" s="247">
        <f>I205*0.1</f>
        <v>180</v>
      </c>
      <c r="K205" s="248">
        <f>I205*0.9</f>
        <v>1620</v>
      </c>
      <c r="L205" s="246" t="s">
        <v>651</v>
      </c>
      <c r="N205" s="269">
        <v>30</v>
      </c>
    </row>
    <row ht="18.75" r="206" spans="1:14" s="268" customFormat="1">
      <c r="A206" s="246">
        <v>201</v>
      </c>
      <c r="B206" s="246"/>
      <c r="C206" s="246" t="s">
        <v>884</v>
      </c>
      <c r="D206" s="246" t="s">
        <v>874</v>
      </c>
      <c r="E206" s="246">
        <v>50</v>
      </c>
      <c r="F206" s="248">
        <f>N206</f>
        <v>30</v>
      </c>
      <c r="G206" s="246">
        <f>E206*F206</f>
        <v>1500</v>
      </c>
      <c r="H206" s="246">
        <v>375</v>
      </c>
      <c r="I206" s="247">
        <f>G206+H206</f>
        <v>1875</v>
      </c>
      <c r="J206" s="247">
        <f>I206*0.1</f>
        <v>187.5</v>
      </c>
      <c r="K206" s="248">
        <f>I206*0.9</f>
        <v>1687.5</v>
      </c>
      <c r="L206" s="246" t="s">
        <v>651</v>
      </c>
      <c r="N206" s="269">
        <v>30</v>
      </c>
    </row>
    <row ht="18.75" r="207" spans="1:14" s="268" customFormat="1">
      <c r="A207" s="246">
        <v>202</v>
      </c>
      <c r="B207" s="246"/>
      <c r="C207" s="246" t="s">
        <v>883</v>
      </c>
      <c r="D207" s="246" t="s">
        <v>874</v>
      </c>
      <c r="E207" s="246">
        <v>54</v>
      </c>
      <c r="F207" s="248">
        <f>N207</f>
        <v>30</v>
      </c>
      <c r="G207" s="246">
        <f>E207*F207</f>
        <v>1620</v>
      </c>
      <c r="H207" s="246">
        <v>405</v>
      </c>
      <c r="I207" s="247">
        <f>G207+H207</f>
        <v>2025</v>
      </c>
      <c r="J207" s="247">
        <f>I207*0.1</f>
        <v>202.5</v>
      </c>
      <c r="K207" s="248">
        <f>I207*0.9</f>
        <v>1822.5</v>
      </c>
      <c r="L207" s="246" t="s">
        <v>651</v>
      </c>
      <c r="N207" s="269">
        <v>30</v>
      </c>
    </row>
    <row ht="18.75" r="208" spans="1:14" s="268" customFormat="1">
      <c r="A208" s="246">
        <v>203</v>
      </c>
      <c r="B208" s="246"/>
      <c r="C208" s="246" t="s">
        <v>882</v>
      </c>
      <c r="D208" s="246" t="s">
        <v>874</v>
      </c>
      <c r="E208" s="246">
        <v>42</v>
      </c>
      <c r="F208" s="248">
        <f>N208</f>
        <v>30</v>
      </c>
      <c r="G208" s="246">
        <f>E208*F208</f>
        <v>1260</v>
      </c>
      <c r="H208" s="246">
        <v>315</v>
      </c>
      <c r="I208" s="247">
        <f>G208+H208</f>
        <v>1575</v>
      </c>
      <c r="J208" s="247">
        <f>I208*0.1</f>
        <v>157.5</v>
      </c>
      <c r="K208" s="248">
        <f>I208*0.9</f>
        <v>1417.5</v>
      </c>
      <c r="L208" s="246" t="s">
        <v>651</v>
      </c>
      <c r="N208" s="269">
        <v>30</v>
      </c>
    </row>
    <row ht="18.75" r="209" spans="1:15" s="268" customFormat="1">
      <c r="A209" s="246">
        <v>204</v>
      </c>
      <c r="B209" s="246"/>
      <c r="C209" s="246" t="s">
        <v>881</v>
      </c>
      <c r="D209" s="246" t="s">
        <v>874</v>
      </c>
      <c r="E209" s="246">
        <v>50</v>
      </c>
      <c r="F209" s="248">
        <f>N209</f>
        <v>30</v>
      </c>
      <c r="G209" s="246">
        <f>E209*F209</f>
        <v>1500</v>
      </c>
      <c r="H209" s="246">
        <v>360</v>
      </c>
      <c r="I209" s="247">
        <f>G209+H209</f>
        <v>1860</v>
      </c>
      <c r="J209" s="247">
        <f>I209*0.1</f>
        <v>186</v>
      </c>
      <c r="K209" s="248">
        <f>I209*0.9</f>
        <v>1674</v>
      </c>
      <c r="L209" s="246" t="s">
        <v>651</v>
      </c>
      <c r="N209" s="269">
        <v>30</v>
      </c>
    </row>
    <row ht="18.75" r="210" spans="1:15" s="268" customFormat="1">
      <c r="A210" s="246">
        <v>205</v>
      </c>
      <c r="B210" s="246"/>
      <c r="C210" s="246" t="s">
        <v>880</v>
      </c>
      <c r="D210" s="246" t="s">
        <v>874</v>
      </c>
      <c r="E210" s="246">
        <v>80</v>
      </c>
      <c r="F210" s="248">
        <f>N210</f>
        <v>30</v>
      </c>
      <c r="G210" s="246">
        <f>E210*F210</f>
        <v>2400</v>
      </c>
      <c r="H210" s="246">
        <v>500</v>
      </c>
      <c r="I210" s="247">
        <f>G210+H210</f>
        <v>2900</v>
      </c>
      <c r="J210" s="247">
        <f>I210*0.1</f>
        <v>290</v>
      </c>
      <c r="K210" s="248">
        <f>I210*0.9</f>
        <v>2610</v>
      </c>
      <c r="L210" s="246" t="s">
        <v>651</v>
      </c>
      <c r="N210" s="269">
        <v>30</v>
      </c>
    </row>
    <row ht="18.75" r="211" spans="1:15" s="268" customFormat="1">
      <c r="A211" s="246">
        <v>206</v>
      </c>
      <c r="B211" s="246"/>
      <c r="C211" s="246" t="s">
        <v>879</v>
      </c>
      <c r="D211" s="246" t="s">
        <v>874</v>
      </c>
      <c r="E211" s="246">
        <v>44</v>
      </c>
      <c r="F211" s="248">
        <f>N211</f>
        <v>30</v>
      </c>
      <c r="G211" s="246">
        <f>E211*F211</f>
        <v>1320</v>
      </c>
      <c r="H211" s="246">
        <v>330</v>
      </c>
      <c r="I211" s="247">
        <f>G211+H211</f>
        <v>1650</v>
      </c>
      <c r="J211" s="247">
        <f>I211*0.1</f>
        <v>165</v>
      </c>
      <c r="K211" s="248">
        <f>I211*0.9</f>
        <v>1485</v>
      </c>
      <c r="L211" s="246" t="s">
        <v>651</v>
      </c>
      <c r="N211" s="269">
        <v>30</v>
      </c>
    </row>
    <row ht="18.75" r="212" spans="1:15" s="268" customFormat="1">
      <c r="A212" s="246">
        <v>207</v>
      </c>
      <c r="B212" s="246"/>
      <c r="C212" s="246" t="s">
        <v>878</v>
      </c>
      <c r="D212" s="246" t="s">
        <v>874</v>
      </c>
      <c r="E212" s="246">
        <v>48</v>
      </c>
      <c r="F212" s="248">
        <f>N212</f>
        <v>30</v>
      </c>
      <c r="G212" s="246">
        <f>E212*F212</f>
        <v>1440</v>
      </c>
      <c r="H212" s="246">
        <v>360</v>
      </c>
      <c r="I212" s="247">
        <f>G212+H212</f>
        <v>1800</v>
      </c>
      <c r="J212" s="247">
        <f>I212*0.1</f>
        <v>180</v>
      </c>
      <c r="K212" s="248">
        <f>I212*0.9</f>
        <v>1620</v>
      </c>
      <c r="L212" s="246" t="s">
        <v>651</v>
      </c>
      <c r="N212" s="269">
        <v>30</v>
      </c>
    </row>
    <row ht="18.75" r="213" spans="1:15" s="268" customFormat="1">
      <c r="A213" s="246">
        <v>208</v>
      </c>
      <c r="B213" s="246"/>
      <c r="C213" s="246" t="s">
        <v>1150</v>
      </c>
      <c r="D213" s="246" t="s">
        <v>874</v>
      </c>
      <c r="E213" s="246">
        <v>60</v>
      </c>
      <c r="F213" s="248">
        <v>30</v>
      </c>
      <c r="G213" s="246">
        <f>E213*F213</f>
        <v>1800</v>
      </c>
      <c r="H213" s="246">
        <v>375</v>
      </c>
      <c r="I213" s="247">
        <f>G213+H213</f>
        <v>2175</v>
      </c>
      <c r="J213" s="247">
        <f>I213*0.1</f>
        <v>217.5</v>
      </c>
      <c r="K213" s="248">
        <f>I213*0.9</f>
        <v>1957.5</v>
      </c>
      <c r="L213" s="246" t="s">
        <v>651</v>
      </c>
      <c r="N213" s="269"/>
    </row>
    <row ht="18.75" r="214" spans="1:15" s="268" customFormat="1">
      <c r="A214" s="246">
        <v>209</v>
      </c>
      <c r="B214" s="246"/>
      <c r="C214" s="246" t="s">
        <v>1149</v>
      </c>
      <c r="D214" s="246" t="s">
        <v>874</v>
      </c>
      <c r="E214" s="246">
        <v>62</v>
      </c>
      <c r="F214" s="248">
        <v>30</v>
      </c>
      <c r="G214" s="246">
        <f>E214*F214</f>
        <v>1860</v>
      </c>
      <c r="H214" s="246">
        <v>390</v>
      </c>
      <c r="I214" s="247">
        <f>G214+H214</f>
        <v>2250</v>
      </c>
      <c r="J214" s="247">
        <f>I214*0.1</f>
        <v>225</v>
      </c>
      <c r="K214" s="248">
        <f>I214*0.9</f>
        <v>2025</v>
      </c>
      <c r="L214" s="246" t="s">
        <v>651</v>
      </c>
      <c r="N214" s="269"/>
    </row>
    <row ht="18.75" r="215" spans="1:15" s="268" customFormat="1">
      <c r="A215" s="246">
        <v>210</v>
      </c>
      <c r="B215" s="246"/>
      <c r="C215" s="246" t="s">
        <v>877</v>
      </c>
      <c r="D215" s="246" t="s">
        <v>874</v>
      </c>
      <c r="E215" s="246">
        <v>40</v>
      </c>
      <c r="F215" s="248">
        <f>N215</f>
        <v>30</v>
      </c>
      <c r="G215" s="246">
        <f>E215*F215</f>
        <v>1200</v>
      </c>
      <c r="H215" s="246">
        <v>300</v>
      </c>
      <c r="I215" s="247">
        <f>G215+H215</f>
        <v>1500</v>
      </c>
      <c r="J215" s="247">
        <f>I215*0.1</f>
        <v>150</v>
      </c>
      <c r="K215" s="248">
        <f>I215*0.9</f>
        <v>1350</v>
      </c>
      <c r="L215" s="246" t="s">
        <v>651</v>
      </c>
      <c r="N215" s="269">
        <v>30</v>
      </c>
    </row>
    <row ht="18.75" r="216" spans="1:15" s="268" customFormat="1">
      <c r="A216" s="246">
        <v>211</v>
      </c>
      <c r="B216" s="246"/>
      <c r="C216" s="246" t="s">
        <v>876</v>
      </c>
      <c r="D216" s="246" t="s">
        <v>874</v>
      </c>
      <c r="E216" s="246">
        <v>50</v>
      </c>
      <c r="F216" s="248">
        <f>N216</f>
        <v>30</v>
      </c>
      <c r="G216" s="246">
        <f>E216*F216</f>
        <v>1500</v>
      </c>
      <c r="H216" s="246">
        <v>375</v>
      </c>
      <c r="I216" s="247">
        <f>G216+H216</f>
        <v>1875</v>
      </c>
      <c r="J216" s="247">
        <f>I216*0.1</f>
        <v>187.5</v>
      </c>
      <c r="K216" s="248">
        <f>I216*0.9</f>
        <v>1687.5</v>
      </c>
      <c r="L216" s="246" t="s">
        <v>651</v>
      </c>
      <c r="N216" s="269">
        <v>30</v>
      </c>
    </row>
    <row ht="18.75" r="217" spans="1:15" s="268" customFormat="1">
      <c r="A217" s="246">
        <v>212</v>
      </c>
      <c r="B217" s="246"/>
      <c r="C217" s="246" t="s">
        <v>875</v>
      </c>
      <c r="D217" s="246" t="s">
        <v>874</v>
      </c>
      <c r="E217" s="246">
        <v>50</v>
      </c>
      <c r="F217" s="248">
        <f>N217</f>
        <v>30</v>
      </c>
      <c r="G217" s="246">
        <f>E217*F217</f>
        <v>1500</v>
      </c>
      <c r="H217" s="246">
        <v>375</v>
      </c>
      <c r="I217" s="247">
        <f>G217+H217</f>
        <v>1875</v>
      </c>
      <c r="J217" s="247">
        <f>I217*0.1</f>
        <v>187.5</v>
      </c>
      <c r="K217" s="248">
        <f>I217*0.9</f>
        <v>1687.5</v>
      </c>
      <c r="L217" s="246" t="s">
        <v>651</v>
      </c>
      <c r="N217" s="269">
        <v>30</v>
      </c>
    </row>
    <row ht="18.75" r="218" spans="1:15" s="268" customFormat="1">
      <c r="A218" s="246">
        <v>213</v>
      </c>
      <c r="B218" s="246"/>
      <c r="C218" s="246" t="s">
        <v>873</v>
      </c>
      <c r="D218" s="246" t="s">
        <v>862</v>
      </c>
      <c r="E218" s="246">
        <v>110</v>
      </c>
      <c r="F218" s="248">
        <f>N218</f>
        <v>30</v>
      </c>
      <c r="G218" s="246">
        <f>E218*F218</f>
        <v>3300</v>
      </c>
      <c r="H218" s="246">
        <v>500</v>
      </c>
      <c r="I218" s="247">
        <f>G218+H218</f>
        <v>3800</v>
      </c>
      <c r="J218" s="247">
        <f>I218*0.1</f>
        <v>380</v>
      </c>
      <c r="K218" s="248">
        <f>I218*0.9</f>
        <v>3420</v>
      </c>
      <c r="L218" s="246" t="s">
        <v>651</v>
      </c>
      <c r="N218" s="269">
        <v>30</v>
      </c>
    </row>
    <row ht="18.75" r="219" spans="1:15" s="268" customFormat="1">
      <c r="A219" s="246">
        <v>214</v>
      </c>
      <c r="B219" s="246"/>
      <c r="C219" s="246" t="s">
        <v>872</v>
      </c>
      <c r="D219" s="246" t="s">
        <v>871</v>
      </c>
      <c r="E219" s="246">
        <v>80</v>
      </c>
      <c r="F219" s="248">
        <v>60</v>
      </c>
      <c r="G219" s="246">
        <f>E219*F219</f>
        <v>4800</v>
      </c>
      <c r="H219" s="246">
        <v>500</v>
      </c>
      <c r="I219" s="247">
        <f>G219+H219</f>
        <v>5300</v>
      </c>
      <c r="J219" s="247">
        <f>I219*0.1</f>
        <v>530</v>
      </c>
      <c r="K219" s="248">
        <f>I219*0.9</f>
        <v>4770</v>
      </c>
      <c r="L219" s="246" t="s">
        <v>651</v>
      </c>
      <c r="N219" s="269"/>
    </row>
    <row ht="18.75" r="220" spans="1:15" s="268" customFormat="1">
      <c r="A220" s="246">
        <v>215</v>
      </c>
      <c r="B220" s="246"/>
      <c r="C220" s="246" t="s">
        <v>869</v>
      </c>
      <c r="D220" s="246" t="s">
        <v>862</v>
      </c>
      <c r="E220" s="246">
        <v>110</v>
      </c>
      <c r="F220" s="248">
        <v>30</v>
      </c>
      <c r="G220" s="246">
        <f>E220*F220</f>
        <v>3300</v>
      </c>
      <c r="H220" s="246">
        <v>500</v>
      </c>
      <c r="I220" s="247">
        <f>G220+H220</f>
        <v>3800</v>
      </c>
      <c r="J220" s="247">
        <f>I220*0.1</f>
        <v>380</v>
      </c>
      <c r="K220" s="248">
        <f>I220*0.9</f>
        <v>3420</v>
      </c>
      <c r="L220" s="246" t="s">
        <v>651</v>
      </c>
      <c r="N220" s="269"/>
    </row>
    <row ht="18.75" r="221" spans="1:15" s="268" customFormat="1">
      <c r="A221" s="246">
        <v>216</v>
      </c>
      <c r="B221" s="246"/>
      <c r="C221" s="246" t="s">
        <v>870</v>
      </c>
      <c r="D221" s="246" t="s">
        <v>620</v>
      </c>
      <c r="E221" s="246">
        <v>3</v>
      </c>
      <c r="F221" s="246">
        <v>60</v>
      </c>
      <c r="G221" s="246">
        <v>180</v>
      </c>
      <c r="H221" s="246">
        <f>E221*20/3</f>
        <v>20</v>
      </c>
      <c r="I221" s="246">
        <f>G221+H221</f>
        <v>200</v>
      </c>
      <c r="J221" s="247">
        <f>I221*0.1</f>
        <v>20</v>
      </c>
      <c r="K221" s="248">
        <f>I221*0.9</f>
        <v>180</v>
      </c>
      <c r="L221" s="246" t="s">
        <v>651</v>
      </c>
      <c r="N221" s="269">
        <v>60</v>
      </c>
    </row>
    <row ht="18.75" r="222" spans="1:15" s="268" customFormat="1">
      <c r="A222" s="246">
        <v>217</v>
      </c>
      <c r="B222" s="246"/>
      <c r="C222" s="246" t="s">
        <v>868</v>
      </c>
      <c r="D222" s="246" t="s">
        <v>853</v>
      </c>
      <c r="E222" s="247">
        <v>80</v>
      </c>
      <c r="F222" s="248">
        <f>N222</f>
        <v>60</v>
      </c>
      <c r="G222" s="246">
        <f>E222*F222</f>
        <v>4800</v>
      </c>
      <c r="H222" s="246">
        <v>400</v>
      </c>
      <c r="I222" s="247">
        <f>G222+H222</f>
        <v>5200</v>
      </c>
      <c r="J222" s="247">
        <f>I222*0.1</f>
        <v>520</v>
      </c>
      <c r="K222" s="248">
        <f>I222*0.9</f>
        <v>4680</v>
      </c>
      <c r="L222" s="246" t="s">
        <v>651</v>
      </c>
      <c r="N222" s="269">
        <v>60</v>
      </c>
      <c r="O222" s="270">
        <v>50</v>
      </c>
    </row>
    <row ht="18.75" r="223" spans="1:15" s="223" customFormat="1">
      <c r="A223" s="246">
        <v>258</v>
      </c>
      <c r="B223" s="228"/>
      <c r="C223" s="228" t="s">
        <v>818</v>
      </c>
      <c r="D223" s="228" t="s">
        <v>807</v>
      </c>
      <c r="E223" s="229">
        <v>175</v>
      </c>
      <c r="F223" s="227">
        <f>N223</f>
        <v>30</v>
      </c>
      <c r="G223" s="228">
        <f>E223*F223</f>
        <v>5250</v>
      </c>
      <c r="H223" s="228">
        <v>570</v>
      </c>
      <c r="I223" s="229">
        <f>G223+H223</f>
        <v>5820</v>
      </c>
      <c r="J223" s="229">
        <f>I223*0.1</f>
        <v>582</v>
      </c>
      <c r="K223" s="227">
        <f>I223*0.9</f>
        <v>5238</v>
      </c>
      <c r="L223" s="228" t="s">
        <v>651</v>
      </c>
      <c r="N223" s="225">
        <v>30</v>
      </c>
    </row>
    <row ht="18.75" r="224" spans="1:15" s="223" customFormat="1">
      <c r="A224" s="246">
        <v>259</v>
      </c>
      <c r="B224" s="228"/>
      <c r="C224" s="228" t="s">
        <v>817</v>
      </c>
      <c r="D224" s="228" t="s">
        <v>807</v>
      </c>
      <c r="E224" s="229">
        <v>152</v>
      </c>
      <c r="F224" s="227">
        <f>N224</f>
        <v>30</v>
      </c>
      <c r="G224" s="228">
        <f>E224*F224</f>
        <v>4560</v>
      </c>
      <c r="H224" s="228">
        <v>570</v>
      </c>
      <c r="I224" s="229">
        <f>G224+H224</f>
        <v>5130</v>
      </c>
      <c r="J224" s="229">
        <f>I224*0.1</f>
        <v>513</v>
      </c>
      <c r="K224" s="227">
        <f>I224*0.9</f>
        <v>4617</v>
      </c>
      <c r="L224" s="228" t="s">
        <v>651</v>
      </c>
      <c r="N224" s="225">
        <v>30</v>
      </c>
    </row>
    <row ht="18.75" r="225" spans="1:14" s="223" customFormat="1">
      <c r="A225" s="246">
        <v>260</v>
      </c>
      <c r="B225" s="228"/>
      <c r="C225" s="228" t="s">
        <v>1157</v>
      </c>
      <c r="D225" s="228" t="s">
        <v>807</v>
      </c>
      <c r="E225" s="229">
        <v>152</v>
      </c>
      <c r="F225" s="227">
        <f>N225</f>
        <v>30</v>
      </c>
      <c r="G225" s="228">
        <f>E225*F225</f>
        <v>4560</v>
      </c>
      <c r="H225" s="228">
        <v>570</v>
      </c>
      <c r="I225" s="229">
        <f>G225+H225</f>
        <v>5130</v>
      </c>
      <c r="J225" s="229">
        <f>I225*0.1</f>
        <v>513</v>
      </c>
      <c r="K225" s="227">
        <f>I225*0.9</f>
        <v>4617</v>
      </c>
      <c r="L225" s="228" t="s">
        <v>651</v>
      </c>
      <c r="N225" s="225">
        <v>30</v>
      </c>
    </row>
    <row ht="18.75" r="226" spans="1:14" s="223" customFormat="1">
      <c r="A226" s="246">
        <v>261</v>
      </c>
      <c r="B226" s="228"/>
      <c r="C226" s="228" t="s">
        <v>810</v>
      </c>
      <c r="D226" s="228" t="s">
        <v>807</v>
      </c>
      <c r="E226" s="229">
        <v>152</v>
      </c>
      <c r="F226" s="227">
        <f>N226</f>
        <v>30</v>
      </c>
      <c r="G226" s="228">
        <f>E226*F226</f>
        <v>4560</v>
      </c>
      <c r="H226" s="228">
        <v>570</v>
      </c>
      <c r="I226" s="229">
        <f>G226+H226</f>
        <v>5130</v>
      </c>
      <c r="J226" s="229">
        <f>I226*0.1</f>
        <v>513</v>
      </c>
      <c r="K226" s="227">
        <f>I226*0.9</f>
        <v>4617</v>
      </c>
      <c r="L226" s="228" t="s">
        <v>651</v>
      </c>
      <c r="N226" s="225">
        <v>30</v>
      </c>
    </row>
    <row ht="18.75" r="227" spans="1:14" s="223" customFormat="1">
      <c r="A227" s="246">
        <v>262</v>
      </c>
      <c r="B227" s="228"/>
      <c r="C227" s="228" t="s">
        <v>1165</v>
      </c>
      <c r="D227" s="228" t="s">
        <v>807</v>
      </c>
      <c r="E227" s="229">
        <v>152</v>
      </c>
      <c r="F227" s="227">
        <f>N227</f>
        <v>30</v>
      </c>
      <c r="G227" s="228">
        <f>E227*F227</f>
        <v>4560</v>
      </c>
      <c r="H227" s="228">
        <v>570</v>
      </c>
      <c r="I227" s="229">
        <f>G227+H227</f>
        <v>5130</v>
      </c>
      <c r="J227" s="229">
        <f>I227*0.1</f>
        <v>513</v>
      </c>
      <c r="K227" s="227">
        <f>I227*0.9</f>
        <v>4617</v>
      </c>
      <c r="L227" s="228" t="s">
        <v>651</v>
      </c>
      <c r="N227" s="225">
        <v>30</v>
      </c>
    </row>
    <row ht="18.75" r="228" spans="1:14" s="223" customFormat="1">
      <c r="A228" s="246">
        <v>263</v>
      </c>
      <c r="B228" s="228"/>
      <c r="C228" s="228" t="s">
        <v>815</v>
      </c>
      <c r="D228" s="228" t="s">
        <v>807</v>
      </c>
      <c r="E228" s="229">
        <v>200</v>
      </c>
      <c r="F228" s="227">
        <f>N228</f>
        <v>30</v>
      </c>
      <c r="G228" s="228">
        <f>E228*F228</f>
        <v>6000</v>
      </c>
      <c r="H228" s="228">
        <v>570</v>
      </c>
      <c r="I228" s="229">
        <f>G228+H228</f>
        <v>6570</v>
      </c>
      <c r="J228" s="229">
        <f>I228*0.1</f>
        <v>657</v>
      </c>
      <c r="K228" s="227">
        <f>I228*0.9</f>
        <v>5913</v>
      </c>
      <c r="L228" s="228" t="s">
        <v>651</v>
      </c>
      <c r="N228" s="225">
        <v>30</v>
      </c>
    </row>
    <row ht="18.75" r="229" spans="1:14" s="223" customFormat="1">
      <c r="A229" s="246">
        <v>264</v>
      </c>
      <c r="B229" s="228"/>
      <c r="C229" s="228" t="s">
        <v>814</v>
      </c>
      <c r="D229" s="228" t="s">
        <v>807</v>
      </c>
      <c r="E229" s="229">
        <v>152</v>
      </c>
      <c r="F229" s="227">
        <f>N229</f>
        <v>30</v>
      </c>
      <c r="G229" s="228">
        <f>E229*F229</f>
        <v>4560</v>
      </c>
      <c r="H229" s="228">
        <v>570</v>
      </c>
      <c r="I229" s="229">
        <f>G229+H229</f>
        <v>5130</v>
      </c>
      <c r="J229" s="229">
        <f>I229*0.1</f>
        <v>513</v>
      </c>
      <c r="K229" s="227">
        <f>I229*0.9</f>
        <v>4617</v>
      </c>
      <c r="L229" s="228" t="s">
        <v>651</v>
      </c>
      <c r="N229" s="225">
        <v>30</v>
      </c>
    </row>
    <row ht="18.75" r="230" spans="1:14" s="223" customFormat="1">
      <c r="A230" s="246">
        <v>265</v>
      </c>
      <c r="B230" s="228"/>
      <c r="C230" s="228" t="s">
        <v>813</v>
      </c>
      <c r="D230" s="228" t="s">
        <v>807</v>
      </c>
      <c r="E230" s="229">
        <v>201</v>
      </c>
      <c r="F230" s="227">
        <f>N230</f>
        <v>30</v>
      </c>
      <c r="G230" s="228">
        <f>E230*F230</f>
        <v>6030</v>
      </c>
      <c r="H230" s="228">
        <v>570</v>
      </c>
      <c r="I230" s="229">
        <f>G230+H230</f>
        <v>6600</v>
      </c>
      <c r="J230" s="229">
        <f>I230*0.1</f>
        <v>660</v>
      </c>
      <c r="K230" s="227">
        <f>I230*0.9</f>
        <v>5940</v>
      </c>
      <c r="L230" s="228" t="s">
        <v>651</v>
      </c>
      <c r="N230" s="225">
        <v>30</v>
      </c>
    </row>
    <row ht="18.75" r="231" spans="1:14" s="223" customFormat="1">
      <c r="A231" s="246">
        <v>266</v>
      </c>
      <c r="B231" s="228"/>
      <c r="C231" s="228" t="s">
        <v>808</v>
      </c>
      <c r="D231" s="228" t="s">
        <v>807</v>
      </c>
      <c r="E231" s="229">
        <v>152</v>
      </c>
      <c r="F231" s="227">
        <f>N231</f>
        <v>30</v>
      </c>
      <c r="G231" s="228">
        <f>E231*F231</f>
        <v>4560</v>
      </c>
      <c r="H231" s="228">
        <v>570</v>
      </c>
      <c r="I231" s="229">
        <f>G231+H231</f>
        <v>5130</v>
      </c>
      <c r="J231" s="229">
        <f>I231*0.1</f>
        <v>513</v>
      </c>
      <c r="K231" s="227">
        <f>I231*0.9</f>
        <v>4617</v>
      </c>
      <c r="L231" s="228" t="s">
        <v>651</v>
      </c>
      <c r="N231" s="225">
        <v>30</v>
      </c>
    </row>
    <row ht="18.75" r="232" spans="1:14" s="223" customFormat="1">
      <c r="A232" s="246">
        <v>267</v>
      </c>
      <c r="B232" s="228"/>
      <c r="C232" s="228" t="s">
        <v>1159</v>
      </c>
      <c r="D232" s="228" t="s">
        <v>807</v>
      </c>
      <c r="E232" s="229">
        <v>152</v>
      </c>
      <c r="F232" s="227">
        <v>30</v>
      </c>
      <c r="G232" s="228">
        <f>E232*F232</f>
        <v>4560</v>
      </c>
      <c r="H232" s="228">
        <v>570</v>
      </c>
      <c r="I232" s="229">
        <f>G232+H232</f>
        <v>5130</v>
      </c>
      <c r="J232" s="229">
        <f>I232*0.1</f>
        <v>513</v>
      </c>
      <c r="K232" s="227">
        <f>I232*0.9</f>
        <v>4617</v>
      </c>
      <c r="L232" s="228" t="s">
        <v>651</v>
      </c>
      <c r="N232" s="225">
        <v>30</v>
      </c>
    </row>
    <row ht="18.75" r="233" spans="1:14" s="223" customFormat="1">
      <c r="A233" s="246">
        <v>268</v>
      </c>
      <c r="B233" s="228"/>
      <c r="C233" s="228" t="s">
        <v>812</v>
      </c>
      <c r="D233" s="228" t="s">
        <v>807</v>
      </c>
      <c r="E233" s="229">
        <v>153</v>
      </c>
      <c r="F233" s="227">
        <f>N233</f>
        <v>30</v>
      </c>
      <c r="G233" s="228">
        <f>E233*F233</f>
        <v>4590</v>
      </c>
      <c r="H233" s="228">
        <v>570</v>
      </c>
      <c r="I233" s="229">
        <f>G233+H233</f>
        <v>5160</v>
      </c>
      <c r="J233" s="229">
        <f>I233*0.1</f>
        <v>516</v>
      </c>
      <c r="K233" s="227">
        <f>I233*0.9</f>
        <v>4644</v>
      </c>
      <c r="L233" s="228" t="s">
        <v>651</v>
      </c>
      <c r="N233" s="225">
        <v>30</v>
      </c>
    </row>
    <row ht="18.75" r="234" spans="1:14" s="223" customFormat="1">
      <c r="A234" s="246">
        <v>269</v>
      </c>
      <c r="B234" s="228"/>
      <c r="C234" s="228" t="s">
        <v>1163</v>
      </c>
      <c r="D234" s="228" t="s">
        <v>807</v>
      </c>
      <c r="E234" s="229">
        <v>153</v>
      </c>
      <c r="F234" s="227">
        <f>N234</f>
        <v>30</v>
      </c>
      <c r="G234" s="228">
        <f>E234*F234</f>
        <v>4590</v>
      </c>
      <c r="H234" s="228">
        <v>570</v>
      </c>
      <c r="I234" s="229">
        <f>G234+H234</f>
        <v>5160</v>
      </c>
      <c r="J234" s="229">
        <f>I234*0.1</f>
        <v>516</v>
      </c>
      <c r="K234" s="227">
        <f>I234*0.9</f>
        <v>4644</v>
      </c>
      <c r="L234" s="228" t="s">
        <v>651</v>
      </c>
      <c r="N234" s="225">
        <v>30</v>
      </c>
    </row>
    <row ht="18.75" r="235" spans="1:14" s="223" customFormat="1">
      <c r="A235" s="246">
        <v>270</v>
      </c>
      <c r="B235" s="228"/>
      <c r="C235" s="228" t="s">
        <v>1158</v>
      </c>
      <c r="D235" s="228" t="s">
        <v>807</v>
      </c>
      <c r="E235" s="229">
        <v>152</v>
      </c>
      <c r="F235" s="227">
        <v>30</v>
      </c>
      <c r="G235" s="228">
        <f>E235*F235</f>
        <v>4560</v>
      </c>
      <c r="H235" s="228">
        <v>570</v>
      </c>
      <c r="I235" s="229">
        <f>G235+H235</f>
        <v>5130</v>
      </c>
      <c r="J235" s="229">
        <f>I235*0.1</f>
        <v>513</v>
      </c>
      <c r="K235" s="227">
        <f>I235*0.9</f>
        <v>4617</v>
      </c>
      <c r="L235" s="228" t="s">
        <v>651</v>
      </c>
      <c r="N235" s="225">
        <v>30</v>
      </c>
    </row>
    <row ht="18.75" r="236" spans="1:14" s="223" customFormat="1">
      <c r="A236" s="246">
        <v>271</v>
      </c>
      <c r="B236" s="228"/>
      <c r="C236" s="228" t="s">
        <v>811</v>
      </c>
      <c r="D236" s="228" t="s">
        <v>807</v>
      </c>
      <c r="E236" s="229">
        <v>152</v>
      </c>
      <c r="F236" s="227">
        <f>N236</f>
        <v>30</v>
      </c>
      <c r="G236" s="228">
        <f>E236*F236</f>
        <v>4560</v>
      </c>
      <c r="H236" s="228">
        <v>570</v>
      </c>
      <c r="I236" s="229">
        <f>G236+H236</f>
        <v>5130</v>
      </c>
      <c r="J236" s="229">
        <f>I236*0.1</f>
        <v>513</v>
      </c>
      <c r="K236" s="227">
        <f>I236*0.9</f>
        <v>4617</v>
      </c>
      <c r="L236" s="228" t="s">
        <v>651</v>
      </c>
      <c r="N236" s="225">
        <v>30</v>
      </c>
    </row>
    <row ht="18.75" r="237" spans="1:14" s="223" customFormat="1">
      <c r="A237" s="246">
        <v>272</v>
      </c>
      <c r="B237" s="228"/>
      <c r="C237" s="228" t="s">
        <v>808</v>
      </c>
      <c r="D237" s="228" t="s">
        <v>807</v>
      </c>
      <c r="E237" s="229">
        <v>152</v>
      </c>
      <c r="F237" s="227">
        <f>N237</f>
        <v>30</v>
      </c>
      <c r="G237" s="228">
        <f>E237*F237</f>
        <v>4560</v>
      </c>
      <c r="H237" s="228">
        <v>570</v>
      </c>
      <c r="I237" s="229">
        <f>G237+H237</f>
        <v>5130</v>
      </c>
      <c r="J237" s="229">
        <f>I237*0.1</f>
        <v>513</v>
      </c>
      <c r="K237" s="227">
        <f>I237*0.9</f>
        <v>4617</v>
      </c>
      <c r="L237" s="228" t="s">
        <v>651</v>
      </c>
      <c r="N237" s="225">
        <v>30</v>
      </c>
    </row>
    <row ht="18.75" r="238" spans="1:14" s="223" customFormat="1">
      <c r="A238" s="246">
        <v>273</v>
      </c>
      <c r="B238" s="228"/>
      <c r="C238" s="228" t="s">
        <v>809</v>
      </c>
      <c r="D238" s="228" t="s">
        <v>807</v>
      </c>
      <c r="E238" s="229">
        <v>200</v>
      </c>
      <c r="F238" s="227">
        <f>N238</f>
        <v>30</v>
      </c>
      <c r="G238" s="228">
        <f>E238*F238</f>
        <v>6000</v>
      </c>
      <c r="H238" s="228">
        <v>570</v>
      </c>
      <c r="I238" s="229">
        <f>G238+H238</f>
        <v>6570</v>
      </c>
      <c r="J238" s="229">
        <f>I238*0.1</f>
        <v>657</v>
      </c>
      <c r="K238" s="227">
        <f>I238*0.9</f>
        <v>5913</v>
      </c>
      <c r="L238" s="228" t="s">
        <v>651</v>
      </c>
      <c r="N238" s="225">
        <v>30</v>
      </c>
    </row>
    <row ht="18.75" r="239" spans="1:14" s="223" customFormat="1">
      <c r="A239" s="246">
        <v>274</v>
      </c>
      <c r="B239" s="228"/>
      <c r="C239" s="228" t="s">
        <v>1162</v>
      </c>
      <c r="D239" s="228" t="s">
        <v>807</v>
      </c>
      <c r="E239" s="229">
        <v>143</v>
      </c>
      <c r="F239" s="227">
        <v>30</v>
      </c>
      <c r="G239" s="228">
        <f>E239*F239</f>
        <v>4290</v>
      </c>
      <c r="H239" s="228">
        <v>570</v>
      </c>
      <c r="I239" s="229">
        <f>G239+H239</f>
        <v>4860</v>
      </c>
      <c r="J239" s="229">
        <f>I239*0.1</f>
        <v>486</v>
      </c>
      <c r="K239" s="227">
        <f>I239*0.9</f>
        <v>4374</v>
      </c>
      <c r="L239" s="228" t="s">
        <v>651</v>
      </c>
      <c r="N239" s="225">
        <v>30</v>
      </c>
    </row>
    <row ht="18.75" r="240" spans="1:14" s="223" customFormat="1">
      <c r="A240" s="246">
        <v>275</v>
      </c>
      <c r="B240" s="228"/>
      <c r="C240" s="228" t="s">
        <v>1167</v>
      </c>
      <c r="D240" s="228" t="s">
        <v>807</v>
      </c>
      <c r="E240" s="229">
        <v>152</v>
      </c>
      <c r="F240" s="227">
        <f>N240</f>
        <v>30</v>
      </c>
      <c r="G240" s="228">
        <f>E240*F240</f>
        <v>4560</v>
      </c>
      <c r="H240" s="228">
        <v>570</v>
      </c>
      <c r="I240" s="229">
        <f>G240+H240</f>
        <v>5130</v>
      </c>
      <c r="J240" s="229">
        <f>I240*0.1</f>
        <v>513</v>
      </c>
      <c r="K240" s="227">
        <f>I240*0.9</f>
        <v>4617</v>
      </c>
      <c r="L240" s="228" t="s">
        <v>651</v>
      </c>
      <c r="N240" s="225">
        <v>30</v>
      </c>
    </row>
    <row ht="18.75" r="241" spans="1:22" s="223" customFormat="1">
      <c r="A241" s="246">
        <v>276</v>
      </c>
      <c r="B241" s="228"/>
      <c r="C241" s="228" t="s">
        <v>1160</v>
      </c>
      <c r="D241" s="228" t="s">
        <v>807</v>
      </c>
      <c r="E241" s="229">
        <v>152</v>
      </c>
      <c r="F241" s="227">
        <v>30</v>
      </c>
      <c r="G241" s="228">
        <f>E241*F241</f>
        <v>4560</v>
      </c>
      <c r="H241" s="228">
        <v>570</v>
      </c>
      <c r="I241" s="229">
        <f>G241+H241</f>
        <v>5130</v>
      </c>
      <c r="J241" s="229">
        <f>I241*0.1</f>
        <v>513</v>
      </c>
      <c r="K241" s="227">
        <f>I241*0.9</f>
        <v>4617</v>
      </c>
      <c r="L241" s="228" t="s">
        <v>651</v>
      </c>
      <c r="N241" s="225">
        <v>30</v>
      </c>
    </row>
    <row ht="18.75" r="242" spans="1:22" s="223" customFormat="1">
      <c r="A242" s="246">
        <v>277</v>
      </c>
      <c r="B242" s="228"/>
      <c r="C242" s="228" t="s">
        <v>816</v>
      </c>
      <c r="D242" s="228" t="s">
        <v>807</v>
      </c>
      <c r="E242" s="229">
        <v>152</v>
      </c>
      <c r="F242" s="227">
        <f>N242</f>
        <v>30</v>
      </c>
      <c r="G242" s="228">
        <f>E242*F242</f>
        <v>4560</v>
      </c>
      <c r="H242" s="228">
        <v>570</v>
      </c>
      <c r="I242" s="229">
        <f>G242+H242</f>
        <v>5130</v>
      </c>
      <c r="J242" s="229">
        <f>I242*0.1</f>
        <v>513</v>
      </c>
      <c r="K242" s="227">
        <f>I242*0.9</f>
        <v>4617</v>
      </c>
      <c r="L242" s="228" t="s">
        <v>651</v>
      </c>
      <c r="N242" s="225">
        <v>30</v>
      </c>
    </row>
    <row ht="18.75" r="243" spans="1:22" s="223" customFormat="1">
      <c r="A243" s="246">
        <v>278</v>
      </c>
      <c r="B243" s="228"/>
      <c r="C243" s="228" t="s">
        <v>1161</v>
      </c>
      <c r="D243" s="228" t="s">
        <v>807</v>
      </c>
      <c r="E243" s="229">
        <v>152</v>
      </c>
      <c r="F243" s="227">
        <f>N243</f>
        <v>30</v>
      </c>
      <c r="G243" s="228">
        <f>E243*F243</f>
        <v>4560</v>
      </c>
      <c r="H243" s="228">
        <v>570</v>
      </c>
      <c r="I243" s="229">
        <f>G243+H243</f>
        <v>5130</v>
      </c>
      <c r="J243" s="229">
        <f>I243*0.1</f>
        <v>513</v>
      </c>
      <c r="K243" s="227">
        <f>I243*0.9</f>
        <v>4617</v>
      </c>
      <c r="L243" s="228" t="s">
        <v>651</v>
      </c>
      <c r="N243" s="225">
        <v>30</v>
      </c>
    </row>
    <row ht="18.75" r="244" spans="1:22" s="223" customFormat="1">
      <c r="A244" s="246">
        <v>279</v>
      </c>
      <c r="B244" s="228"/>
      <c r="C244" s="228" t="s">
        <v>1168</v>
      </c>
      <c r="D244" s="228" t="s">
        <v>807</v>
      </c>
      <c r="E244" s="229">
        <v>152</v>
      </c>
      <c r="F244" s="227">
        <f>N244</f>
        <v>30</v>
      </c>
      <c r="G244" s="228">
        <f>E244*F244</f>
        <v>4560</v>
      </c>
      <c r="H244" s="228">
        <v>570</v>
      </c>
      <c r="I244" s="229">
        <f>G244+H244</f>
        <v>5130</v>
      </c>
      <c r="J244" s="229">
        <f>I244*0.1</f>
        <v>513</v>
      </c>
      <c r="K244" s="227">
        <f>I244*0.9</f>
        <v>4617</v>
      </c>
      <c r="L244" s="228" t="s">
        <v>651</v>
      </c>
      <c r="N244" s="225">
        <v>30</v>
      </c>
    </row>
    <row ht="18.75" r="245" spans="1:22" s="223" customFormat="1">
      <c r="A245" s="246">
        <v>280</v>
      </c>
      <c r="B245" s="228"/>
      <c r="C245" s="228" t="s">
        <v>1164</v>
      </c>
      <c r="D245" s="228" t="s">
        <v>807</v>
      </c>
      <c r="E245" s="229">
        <v>152</v>
      </c>
      <c r="F245" s="227">
        <f>N245</f>
        <v>30</v>
      </c>
      <c r="G245" s="228">
        <f>E245*F245</f>
        <v>4560</v>
      </c>
      <c r="H245" s="228">
        <v>570</v>
      </c>
      <c r="I245" s="229">
        <f>G245+H245</f>
        <v>5130</v>
      </c>
      <c r="J245" s="229">
        <f>I245*0.1</f>
        <v>513</v>
      </c>
      <c r="K245" s="227">
        <f>I245*0.9</f>
        <v>4617</v>
      </c>
      <c r="L245" s="228" t="s">
        <v>651</v>
      </c>
      <c r="N245" s="225">
        <v>30</v>
      </c>
    </row>
    <row ht="18.75" r="246" spans="1:22" s="223" customFormat="1">
      <c r="A246" s="246">
        <v>281</v>
      </c>
      <c r="B246" s="228"/>
      <c r="C246" s="228" t="s">
        <v>1169</v>
      </c>
      <c r="D246" s="228" t="s">
        <v>807</v>
      </c>
      <c r="E246" s="229">
        <v>143</v>
      </c>
      <c r="F246" s="227">
        <f>N246</f>
        <v>30</v>
      </c>
      <c r="G246" s="228">
        <f>E246*F246</f>
        <v>4290</v>
      </c>
      <c r="H246" s="228">
        <v>570</v>
      </c>
      <c r="I246" s="229">
        <f>G246+H246</f>
        <v>4860</v>
      </c>
      <c r="J246" s="229">
        <f>I246*0.1</f>
        <v>486</v>
      </c>
      <c r="K246" s="227">
        <f>I246*0.9</f>
        <v>4374</v>
      </c>
      <c r="L246" s="228" t="s">
        <v>651</v>
      </c>
      <c r="N246" s="225">
        <v>30</v>
      </c>
    </row>
    <row ht="18.75" r="247" spans="1:22" s="223" customFormat="1">
      <c r="A247" s="246">
        <v>282</v>
      </c>
      <c r="B247" s="228"/>
      <c r="C247" s="228" t="s">
        <v>1166</v>
      </c>
      <c r="D247" s="228" t="s">
        <v>807</v>
      </c>
      <c r="E247" s="229">
        <v>153</v>
      </c>
      <c r="F247" s="227">
        <f>N247</f>
        <v>30</v>
      </c>
      <c r="G247" s="228">
        <f>E247*F247</f>
        <v>4590</v>
      </c>
      <c r="H247" s="228">
        <v>570</v>
      </c>
      <c r="I247" s="229">
        <f>G247+H247</f>
        <v>5160</v>
      </c>
      <c r="J247" s="229">
        <f>I247*0.1</f>
        <v>516</v>
      </c>
      <c r="K247" s="227">
        <f>I247*0.9</f>
        <v>4644</v>
      </c>
      <c r="L247" s="228" t="s">
        <v>651</v>
      </c>
      <c r="N247" s="225">
        <v>30</v>
      </c>
    </row>
    <row ht="18.75" r="248" spans="1:22" s="223" customFormat="1">
      <c r="A248" s="246">
        <v>283</v>
      </c>
      <c r="B248" s="228"/>
      <c r="C248" s="228" t="s">
        <v>1201</v>
      </c>
      <c r="D248" s="228" t="s">
        <v>1202</v>
      </c>
      <c r="E248" s="229">
        <v>140</v>
      </c>
      <c r="F248" s="227">
        <v>30</v>
      </c>
      <c r="G248" s="228">
        <f>E248*F248</f>
        <v>4200</v>
      </c>
      <c r="H248" s="228">
        <v>500</v>
      </c>
      <c r="I248" s="229">
        <f>G248+H248</f>
        <v>4700</v>
      </c>
      <c r="J248" s="229">
        <f>I248*0.1</f>
        <v>470</v>
      </c>
      <c r="K248" s="227">
        <f>I248*0.9</f>
        <v>4230</v>
      </c>
      <c r="L248" s="228" t="s">
        <v>651</v>
      </c>
      <c r="M248" s="202"/>
      <c r="N248" s="225">
        <v>30</v>
      </c>
      <c r="O248" s="202"/>
      <c r="P248" s="202"/>
      <c r="Q248" s="202"/>
      <c r="R248" s="202"/>
      <c r="S248" s="202"/>
      <c r="T248" s="205"/>
      <c r="U248" s="205"/>
      <c r="V248" s="205"/>
    </row>
    <row ht="18.75" r="249" spans="1:22" s="223" customFormat="1">
      <c r="A249" s="246">
        <v>286</v>
      </c>
      <c r="B249" s="228"/>
      <c r="C249" s="228" t="s">
        <v>1325</v>
      </c>
      <c r="D249" s="228" t="s">
        <v>1326</v>
      </c>
      <c r="E249" s="229">
        <v>90</v>
      </c>
      <c r="F249" s="227">
        <v>30</v>
      </c>
      <c r="G249" s="228">
        <f>E249*F249</f>
        <v>2700</v>
      </c>
      <c r="H249" s="228">
        <v>300</v>
      </c>
      <c r="I249" s="229">
        <f>G249+H249</f>
        <v>3000</v>
      </c>
      <c r="J249" s="229">
        <f>I249*0.1</f>
        <v>300</v>
      </c>
      <c r="K249" s="227">
        <f>I249*0.9</f>
        <v>2700</v>
      </c>
      <c r="L249" s="228" t="s">
        <v>651</v>
      </c>
      <c r="M249" s="202"/>
      <c r="N249" s="225"/>
      <c r="O249" s="202"/>
      <c r="P249" s="202"/>
      <c r="Q249" s="202"/>
      <c r="R249" s="202"/>
      <c r="S249" s="202"/>
      <c r="T249" s="205"/>
      <c r="U249" s="205"/>
      <c r="V249" s="205"/>
    </row>
    <row ht="18.75" r="250" spans="1:22" s="223" customFormat="1">
      <c r="A250" s="246">
        <v>287</v>
      </c>
      <c r="B250" s="228"/>
      <c r="C250" s="228" t="s">
        <v>1183</v>
      </c>
      <c r="D250" s="228" t="s">
        <v>1184</v>
      </c>
      <c r="E250" s="229">
        <v>90</v>
      </c>
      <c r="F250" s="227">
        <v>30</v>
      </c>
      <c r="G250" s="228">
        <f>E250*F250</f>
        <v>2700</v>
      </c>
      <c r="H250" s="228">
        <v>300</v>
      </c>
      <c r="I250" s="229">
        <f>G250+H250</f>
        <v>3000</v>
      </c>
      <c r="J250" s="229">
        <f>I250*0.1</f>
        <v>300</v>
      </c>
      <c r="K250" s="227">
        <f>I250*0.9</f>
        <v>2700</v>
      </c>
      <c r="L250" s="228" t="s">
        <v>651</v>
      </c>
      <c r="M250" s="202"/>
      <c r="N250" s="225">
        <v>30</v>
      </c>
      <c r="O250" s="202"/>
      <c r="P250" s="202"/>
      <c r="Q250" s="202"/>
      <c r="R250" s="202"/>
      <c r="S250" s="202"/>
      <c r="T250" s="205"/>
      <c r="U250" s="205"/>
      <c r="V250" s="205"/>
    </row>
    <row ht="18.75" r="251" spans="1:22" s="223" customFormat="1">
      <c r="A251" s="246">
        <v>288</v>
      </c>
      <c r="B251" s="228"/>
      <c r="C251" s="228" t="s">
        <v>1185</v>
      </c>
      <c r="D251" s="228" t="s">
        <v>1184</v>
      </c>
      <c r="E251" s="229">
        <v>90</v>
      </c>
      <c r="F251" s="227">
        <v>30</v>
      </c>
      <c r="G251" s="228">
        <f>E251*F251</f>
        <v>2700</v>
      </c>
      <c r="H251" s="228">
        <v>300</v>
      </c>
      <c r="I251" s="229">
        <f>G251+H251</f>
        <v>3000</v>
      </c>
      <c r="J251" s="229">
        <f>I251*0.1</f>
        <v>300</v>
      </c>
      <c r="K251" s="227">
        <f>I251*0.9</f>
        <v>2700</v>
      </c>
      <c r="L251" s="228" t="s">
        <v>651</v>
      </c>
      <c r="M251" s="202"/>
      <c r="N251" s="225">
        <v>30</v>
      </c>
      <c r="O251" s="202"/>
      <c r="P251" s="202"/>
      <c r="Q251" s="202"/>
      <c r="R251" s="202"/>
      <c r="S251" s="202"/>
      <c r="T251" s="205"/>
      <c r="U251" s="205"/>
      <c r="V251" s="205"/>
    </row>
    <row ht="18.75" r="252" spans="1:22" s="223" customFormat="1">
      <c r="A252" s="246">
        <v>289</v>
      </c>
      <c r="B252" s="228"/>
      <c r="C252" s="228" t="s">
        <v>1231</v>
      </c>
      <c r="D252" s="228" t="s">
        <v>1187</v>
      </c>
      <c r="E252" s="229">
        <v>60</v>
      </c>
      <c r="F252" s="227">
        <v>30</v>
      </c>
      <c r="G252" s="228">
        <f>E252*F252</f>
        <v>1800</v>
      </c>
      <c r="H252" s="228">
        <v>200</v>
      </c>
      <c r="I252" s="229">
        <f>G252+H252</f>
        <v>2000</v>
      </c>
      <c r="J252" s="229">
        <f>I252*0.1</f>
        <v>200</v>
      </c>
      <c r="K252" s="227">
        <f>I252*0.9</f>
        <v>1800</v>
      </c>
      <c r="L252" s="228" t="s">
        <v>651</v>
      </c>
      <c r="M252" s="205"/>
      <c r="N252" s="225">
        <v>30</v>
      </c>
      <c r="O252" s="206"/>
      <c r="P252" s="205"/>
      <c r="Q252" s="205"/>
      <c r="R252" s="205"/>
      <c r="S252" s="202"/>
      <c r="T252" s="205"/>
      <c r="U252" s="205"/>
      <c r="V252" s="230"/>
    </row>
    <row ht="18.75" r="253" spans="1:22" s="223" customFormat="1">
      <c r="A253" s="246">
        <v>290</v>
      </c>
      <c r="B253" s="228"/>
      <c r="C253" s="228" t="s">
        <v>1236</v>
      </c>
      <c r="D253" s="228" t="s">
        <v>1187</v>
      </c>
      <c r="E253" s="229">
        <v>60</v>
      </c>
      <c r="F253" s="227">
        <v>30</v>
      </c>
      <c r="G253" s="228">
        <f>E253*F253</f>
        <v>1800</v>
      </c>
      <c r="H253" s="228">
        <v>200</v>
      </c>
      <c r="I253" s="229">
        <f>G253+H253</f>
        <v>2000</v>
      </c>
      <c r="J253" s="229">
        <f>I253*0.1</f>
        <v>200</v>
      </c>
      <c r="K253" s="227">
        <f>I253*0.9</f>
        <v>1800</v>
      </c>
      <c r="L253" s="228" t="s">
        <v>651</v>
      </c>
      <c r="M253" s="205"/>
      <c r="N253" s="225">
        <v>30</v>
      </c>
      <c r="O253" s="206"/>
      <c r="P253" s="205"/>
      <c r="Q253" s="205"/>
      <c r="R253" s="205"/>
      <c r="S253" s="202"/>
      <c r="T253" s="205"/>
      <c r="U253" s="205"/>
      <c r="V253" s="230"/>
    </row>
    <row ht="18.75" r="254" spans="1:22" s="223" customFormat="1">
      <c r="A254" s="246">
        <v>291</v>
      </c>
      <c r="B254" s="228"/>
      <c r="C254" s="228" t="s">
        <v>1238</v>
      </c>
      <c r="D254" s="228" t="s">
        <v>1187</v>
      </c>
      <c r="E254" s="229">
        <v>60</v>
      </c>
      <c r="F254" s="227">
        <v>30</v>
      </c>
      <c r="G254" s="228">
        <f>E254*F254</f>
        <v>1800</v>
      </c>
      <c r="H254" s="228">
        <v>200</v>
      </c>
      <c r="I254" s="229">
        <f>G254+H254</f>
        <v>2000</v>
      </c>
      <c r="J254" s="229">
        <f>I254*0.1</f>
        <v>200</v>
      </c>
      <c r="K254" s="227">
        <f>I254*0.9</f>
        <v>1800</v>
      </c>
      <c r="L254" s="228" t="s">
        <v>651</v>
      </c>
      <c r="M254" s="202"/>
      <c r="N254" s="225">
        <v>30</v>
      </c>
      <c r="O254" s="206"/>
      <c r="P254" s="205"/>
      <c r="Q254" s="205"/>
      <c r="R254" s="205"/>
      <c r="S254" s="202"/>
      <c r="T254" s="205"/>
      <c r="U254" s="205"/>
      <c r="V254" s="230"/>
    </row>
    <row ht="18.75" r="255" spans="1:22" s="223" customFormat="1">
      <c r="A255" s="246">
        <v>292</v>
      </c>
      <c r="B255" s="228"/>
      <c r="C255" s="228" t="s">
        <v>1234</v>
      </c>
      <c r="D255" s="228" t="s">
        <v>1187</v>
      </c>
      <c r="E255" s="229">
        <v>60</v>
      </c>
      <c r="F255" s="227">
        <v>30</v>
      </c>
      <c r="G255" s="228">
        <f>E255*F255</f>
        <v>1800</v>
      </c>
      <c r="H255" s="228">
        <v>200</v>
      </c>
      <c r="I255" s="229">
        <f>G255+H255</f>
        <v>2000</v>
      </c>
      <c r="J255" s="229">
        <f>I255*0.1</f>
        <v>200</v>
      </c>
      <c r="K255" s="227">
        <f>I255*0.9</f>
        <v>1800</v>
      </c>
      <c r="L255" s="228" t="s">
        <v>651</v>
      </c>
      <c r="M255" s="202"/>
      <c r="N255" s="225">
        <v>30</v>
      </c>
      <c r="O255" s="206"/>
      <c r="P255" s="205"/>
      <c r="Q255" s="205"/>
      <c r="R255" s="205"/>
      <c r="S255" s="202"/>
      <c r="T255" s="205"/>
      <c r="U255" s="205"/>
      <c r="V255" s="230"/>
    </row>
    <row ht="18.75" r="256" spans="1:22" s="223" customFormat="1">
      <c r="A256" s="246">
        <v>293</v>
      </c>
      <c r="B256" s="228"/>
      <c r="C256" s="228" t="s">
        <v>1225</v>
      </c>
      <c r="D256" s="228" t="s">
        <v>1187</v>
      </c>
      <c r="E256" s="229">
        <v>60</v>
      </c>
      <c r="F256" s="227">
        <v>30</v>
      </c>
      <c r="G256" s="228">
        <f>E256*F256</f>
        <v>1800</v>
      </c>
      <c r="H256" s="228">
        <v>200</v>
      </c>
      <c r="I256" s="229">
        <f>G256+H256</f>
        <v>2000</v>
      </c>
      <c r="J256" s="229">
        <f>I256*0.1</f>
        <v>200</v>
      </c>
      <c r="K256" s="227">
        <f>I256*0.9</f>
        <v>1800</v>
      </c>
      <c r="L256" s="228" t="s">
        <v>651</v>
      </c>
      <c r="M256" s="202"/>
      <c r="N256" s="225">
        <v>30</v>
      </c>
      <c r="O256" s="206"/>
      <c r="P256" s="205"/>
      <c r="Q256" s="205"/>
      <c r="R256" s="205"/>
      <c r="S256" s="202"/>
      <c r="T256" s="205"/>
      <c r="U256" s="205"/>
      <c r="V256" s="230"/>
    </row>
    <row ht="18.75" r="257" spans="1:22" s="223" customFormat="1">
      <c r="A257" s="246">
        <v>294</v>
      </c>
      <c r="B257" s="228"/>
      <c r="C257" s="228" t="s">
        <v>1220</v>
      </c>
      <c r="D257" s="228" t="s">
        <v>1187</v>
      </c>
      <c r="E257" s="229">
        <v>60</v>
      </c>
      <c r="F257" s="227">
        <v>30</v>
      </c>
      <c r="G257" s="228">
        <f>E257*F257</f>
        <v>1800</v>
      </c>
      <c r="H257" s="228">
        <v>200</v>
      </c>
      <c r="I257" s="229">
        <f>G257+H257</f>
        <v>2000</v>
      </c>
      <c r="J257" s="229">
        <f>I257*0.1</f>
        <v>200</v>
      </c>
      <c r="K257" s="227">
        <f>I257*0.9</f>
        <v>1800</v>
      </c>
      <c r="L257" s="228" t="s">
        <v>651</v>
      </c>
      <c r="M257" s="202"/>
      <c r="N257" s="225">
        <v>30</v>
      </c>
      <c r="O257" s="206"/>
      <c r="P257" s="205"/>
      <c r="Q257" s="205"/>
      <c r="R257" s="205"/>
      <c r="S257" s="202"/>
      <c r="T257" s="205"/>
      <c r="U257" s="205"/>
      <c r="V257" s="230"/>
    </row>
    <row ht="18.75" r="258" spans="1:22" s="223" customFormat="1">
      <c r="A258" s="246">
        <v>295</v>
      </c>
      <c r="B258" s="228"/>
      <c r="C258" s="228" t="s">
        <v>1209</v>
      </c>
      <c r="D258" s="228" t="s">
        <v>1187</v>
      </c>
      <c r="E258" s="229">
        <v>60</v>
      </c>
      <c r="F258" s="227">
        <v>30</v>
      </c>
      <c r="G258" s="228">
        <f>E258*F258</f>
        <v>1800</v>
      </c>
      <c r="H258" s="228">
        <v>200</v>
      </c>
      <c r="I258" s="229">
        <f>G258+H258</f>
        <v>2000</v>
      </c>
      <c r="J258" s="229">
        <f>I258*0.1</f>
        <v>200</v>
      </c>
      <c r="K258" s="227">
        <f>I258*0.9</f>
        <v>1800</v>
      </c>
      <c r="L258" s="228" t="s">
        <v>651</v>
      </c>
      <c r="M258" s="202"/>
      <c r="N258" s="225">
        <v>30</v>
      </c>
      <c r="O258" s="206"/>
      <c r="P258" s="205"/>
      <c r="Q258" s="205"/>
      <c r="R258" s="205"/>
      <c r="S258" s="202"/>
      <c r="T258" s="205"/>
      <c r="U258" s="205"/>
      <c r="V258" s="230"/>
    </row>
    <row ht="18.75" r="259" spans="1:22" s="223" customFormat="1">
      <c r="A259" s="246">
        <v>296</v>
      </c>
      <c r="B259" s="228"/>
      <c r="C259" s="228" t="s">
        <v>1239</v>
      </c>
      <c r="D259" s="228" t="s">
        <v>1187</v>
      </c>
      <c r="E259" s="229">
        <v>60</v>
      </c>
      <c r="F259" s="227">
        <v>30</v>
      </c>
      <c r="G259" s="228">
        <f>E259*F259</f>
        <v>1800</v>
      </c>
      <c r="H259" s="228">
        <v>200</v>
      </c>
      <c r="I259" s="229">
        <f>G259+H259</f>
        <v>2000</v>
      </c>
      <c r="J259" s="229">
        <f>I259*0.1</f>
        <v>200</v>
      </c>
      <c r="K259" s="227">
        <f>I259*0.9</f>
        <v>1800</v>
      </c>
      <c r="L259" s="228" t="s">
        <v>651</v>
      </c>
      <c r="M259" s="202"/>
      <c r="N259" s="225">
        <v>30</v>
      </c>
      <c r="O259" s="206"/>
      <c r="P259" s="205"/>
      <c r="Q259" s="205"/>
      <c r="R259" s="205"/>
      <c r="S259" s="202"/>
      <c r="T259" s="205"/>
      <c r="U259" s="205"/>
      <c r="V259" s="230"/>
    </row>
    <row ht="18.75" r="260" spans="1:22" s="223" customFormat="1">
      <c r="A260" s="246">
        <v>297</v>
      </c>
      <c r="B260" s="228"/>
      <c r="C260" s="228" t="s">
        <v>1205</v>
      </c>
      <c r="D260" s="228" t="s">
        <v>1187</v>
      </c>
      <c r="E260" s="229">
        <v>60</v>
      </c>
      <c r="F260" s="227">
        <v>30</v>
      </c>
      <c r="G260" s="228">
        <f>E260*F260</f>
        <v>1800</v>
      </c>
      <c r="H260" s="228">
        <v>200</v>
      </c>
      <c r="I260" s="229">
        <f>G260+H260</f>
        <v>2000</v>
      </c>
      <c r="J260" s="229">
        <f>I260*0.1</f>
        <v>200</v>
      </c>
      <c r="K260" s="227">
        <f>I260*0.9</f>
        <v>1800</v>
      </c>
      <c r="L260" s="228" t="s">
        <v>651</v>
      </c>
      <c r="M260" s="202"/>
      <c r="N260" s="225">
        <v>30</v>
      </c>
      <c r="O260" s="206"/>
      <c r="P260" s="205"/>
      <c r="Q260" s="205"/>
      <c r="R260" s="205"/>
      <c r="S260" s="202"/>
      <c r="T260" s="205"/>
      <c r="U260" s="205"/>
      <c r="V260" s="230"/>
    </row>
    <row ht="18.75" r="261" spans="1:22" s="223" customFormat="1">
      <c r="A261" s="246">
        <v>298</v>
      </c>
      <c r="B261" s="228"/>
      <c r="C261" s="228" t="s">
        <v>1221</v>
      </c>
      <c r="D261" s="228" t="s">
        <v>1187</v>
      </c>
      <c r="E261" s="229">
        <v>60</v>
      </c>
      <c r="F261" s="227">
        <v>30</v>
      </c>
      <c r="G261" s="228">
        <f>E261*F261</f>
        <v>1800</v>
      </c>
      <c r="H261" s="228">
        <v>200</v>
      </c>
      <c r="I261" s="229">
        <f>G261+H261</f>
        <v>2000</v>
      </c>
      <c r="J261" s="229">
        <f>I261*0.1</f>
        <v>200</v>
      </c>
      <c r="K261" s="227">
        <f>I261*0.9</f>
        <v>1800</v>
      </c>
      <c r="L261" s="228" t="s">
        <v>651</v>
      </c>
      <c r="M261" s="202"/>
      <c r="N261" s="225">
        <v>30</v>
      </c>
      <c r="O261" s="206"/>
      <c r="P261" s="205"/>
      <c r="Q261" s="205"/>
      <c r="R261" s="205"/>
      <c r="S261" s="202"/>
      <c r="T261" s="205"/>
      <c r="U261" s="205"/>
      <c r="V261" s="230"/>
    </row>
    <row ht="18.75" r="262" spans="1:22" s="223" customFormat="1">
      <c r="A262" s="246">
        <v>299</v>
      </c>
      <c r="B262" s="228"/>
      <c r="C262" s="228" t="s">
        <v>1195</v>
      </c>
      <c r="D262" s="228" t="s">
        <v>1187</v>
      </c>
      <c r="E262" s="229">
        <v>60</v>
      </c>
      <c r="F262" s="227">
        <v>30</v>
      </c>
      <c r="G262" s="228">
        <f>E262*F262</f>
        <v>1800</v>
      </c>
      <c r="H262" s="228">
        <v>200</v>
      </c>
      <c r="I262" s="229">
        <f>G262+H262</f>
        <v>2000</v>
      </c>
      <c r="J262" s="229">
        <f>I262*0.1</f>
        <v>200</v>
      </c>
      <c r="K262" s="227">
        <f>I262*0.9</f>
        <v>1800</v>
      </c>
      <c r="L262" s="228" t="s">
        <v>651</v>
      </c>
      <c r="M262" s="202"/>
      <c r="N262" s="225">
        <v>30</v>
      </c>
      <c r="O262" s="206"/>
      <c r="P262" s="205"/>
      <c r="Q262" s="205"/>
      <c r="R262" s="205"/>
      <c r="S262" s="202"/>
      <c r="T262" s="205"/>
      <c r="U262" s="205"/>
      <c r="V262" s="230"/>
    </row>
    <row ht="18.75" r="263" spans="1:22" s="223" customFormat="1">
      <c r="A263" s="246">
        <v>300</v>
      </c>
      <c r="B263" s="228"/>
      <c r="C263" s="228" t="s">
        <v>1206</v>
      </c>
      <c r="D263" s="228" t="s">
        <v>1187</v>
      </c>
      <c r="E263" s="229">
        <v>60</v>
      </c>
      <c r="F263" s="227">
        <v>30</v>
      </c>
      <c r="G263" s="228">
        <f>E263*F263</f>
        <v>1800</v>
      </c>
      <c r="H263" s="228">
        <v>200</v>
      </c>
      <c r="I263" s="229">
        <f>G263+H263</f>
        <v>2000</v>
      </c>
      <c r="J263" s="229">
        <f>I263*0.1</f>
        <v>200</v>
      </c>
      <c r="K263" s="227">
        <f>I263*0.9</f>
        <v>1800</v>
      </c>
      <c r="L263" s="228" t="s">
        <v>651</v>
      </c>
      <c r="M263" s="202"/>
      <c r="N263" s="225">
        <v>30</v>
      </c>
      <c r="O263" s="206"/>
      <c r="P263" s="205"/>
      <c r="Q263" s="205"/>
      <c r="R263" s="205"/>
      <c r="S263" s="202"/>
      <c r="T263" s="205"/>
      <c r="U263" s="205"/>
      <c r="V263" s="230"/>
    </row>
    <row ht="18.75" r="264" spans="1:22" s="223" customFormat="1">
      <c r="A264" s="246">
        <v>301</v>
      </c>
      <c r="B264" s="228"/>
      <c r="C264" s="228" t="s">
        <v>1207</v>
      </c>
      <c r="D264" s="228" t="s">
        <v>1187</v>
      </c>
      <c r="E264" s="229">
        <v>60</v>
      </c>
      <c r="F264" s="227">
        <v>30</v>
      </c>
      <c r="G264" s="228">
        <f>E264*F264</f>
        <v>1800</v>
      </c>
      <c r="H264" s="228">
        <v>200</v>
      </c>
      <c r="I264" s="229">
        <f>G264+H264</f>
        <v>2000</v>
      </c>
      <c r="J264" s="229">
        <f>I264*0.1</f>
        <v>200</v>
      </c>
      <c r="K264" s="227">
        <f>I264*0.9</f>
        <v>1800</v>
      </c>
      <c r="L264" s="228" t="s">
        <v>651</v>
      </c>
      <c r="M264" s="202"/>
      <c r="N264" s="225">
        <v>30</v>
      </c>
      <c r="O264" s="206"/>
      <c r="P264" s="205"/>
      <c r="Q264" s="205"/>
      <c r="R264" s="205"/>
      <c r="S264" s="202"/>
      <c r="T264" s="205"/>
      <c r="U264" s="205"/>
      <c r="V264" s="230"/>
    </row>
    <row ht="18.75" r="265" spans="1:22" s="223" customFormat="1">
      <c r="A265" s="246">
        <v>302</v>
      </c>
      <c r="B265" s="228"/>
      <c r="C265" s="228" t="s">
        <v>1200</v>
      </c>
      <c r="D265" s="228" t="s">
        <v>1187</v>
      </c>
      <c r="E265" s="229">
        <v>65</v>
      </c>
      <c r="F265" s="227">
        <v>30</v>
      </c>
      <c r="G265" s="228">
        <f>E265*F265</f>
        <v>1950</v>
      </c>
      <c r="H265" s="228">
        <v>200</v>
      </c>
      <c r="I265" s="229">
        <f>G265+H265</f>
        <v>2150</v>
      </c>
      <c r="J265" s="229">
        <f>I265*0.1</f>
        <v>215</v>
      </c>
      <c r="K265" s="227">
        <f>I265*0.9</f>
        <v>1935</v>
      </c>
      <c r="L265" s="228" t="s">
        <v>651</v>
      </c>
      <c r="M265" s="202"/>
      <c r="N265" s="225">
        <v>30</v>
      </c>
      <c r="O265" s="206"/>
      <c r="P265" s="205"/>
      <c r="Q265" s="205"/>
      <c r="R265" s="205"/>
      <c r="S265" s="202"/>
      <c r="T265" s="205"/>
      <c r="U265" s="205"/>
      <c r="V265" s="230"/>
    </row>
    <row ht="18.75" r="266" spans="1:22" s="223" customFormat="1">
      <c r="A266" s="246">
        <v>303</v>
      </c>
      <c r="B266" s="228"/>
      <c r="C266" s="228" t="s">
        <v>1186</v>
      </c>
      <c r="D266" s="228" t="s">
        <v>1187</v>
      </c>
      <c r="E266" s="229">
        <v>60</v>
      </c>
      <c r="F266" s="227">
        <v>30</v>
      </c>
      <c r="G266" s="228">
        <f>E266*F266</f>
        <v>1800</v>
      </c>
      <c r="H266" s="228">
        <v>200</v>
      </c>
      <c r="I266" s="229">
        <f>G266+H266</f>
        <v>2000</v>
      </c>
      <c r="J266" s="229">
        <f>I266*0.1</f>
        <v>200</v>
      </c>
      <c r="K266" s="227">
        <f>I266*0.9</f>
        <v>1800</v>
      </c>
      <c r="L266" s="228" t="s">
        <v>651</v>
      </c>
      <c r="M266" s="202"/>
      <c r="N266" s="225">
        <v>30</v>
      </c>
      <c r="O266" s="206"/>
      <c r="P266" s="205"/>
      <c r="Q266" s="205"/>
      <c r="R266" s="205"/>
      <c r="S266" s="202"/>
      <c r="T266" s="205"/>
      <c r="U266" s="205"/>
      <c r="V266" s="230"/>
    </row>
    <row ht="18.75" r="267" spans="1:22" s="223" customFormat="1">
      <c r="A267" s="246">
        <v>304</v>
      </c>
      <c r="B267" s="228"/>
      <c r="C267" s="228" t="s">
        <v>1208</v>
      </c>
      <c r="D267" s="228" t="s">
        <v>1187</v>
      </c>
      <c r="E267" s="229">
        <v>60</v>
      </c>
      <c r="F267" s="227">
        <v>30</v>
      </c>
      <c r="G267" s="228">
        <f>E267*F267</f>
        <v>1800</v>
      </c>
      <c r="H267" s="228">
        <v>200</v>
      </c>
      <c r="I267" s="229">
        <f>G267+H267</f>
        <v>2000</v>
      </c>
      <c r="J267" s="229">
        <f>I267*0.1</f>
        <v>200</v>
      </c>
      <c r="K267" s="227">
        <f>I267*0.9</f>
        <v>1800</v>
      </c>
      <c r="L267" s="228" t="s">
        <v>651</v>
      </c>
      <c r="M267" s="202"/>
      <c r="N267" s="225">
        <v>30</v>
      </c>
      <c r="O267" s="206"/>
      <c r="P267" s="205"/>
      <c r="Q267" s="205"/>
      <c r="R267" s="205"/>
      <c r="S267" s="202"/>
      <c r="T267" s="205"/>
      <c r="U267" s="205"/>
      <c r="V267" s="230"/>
    </row>
    <row ht="18.75" r="268" spans="1:22" s="223" customFormat="1">
      <c r="A268" s="246">
        <v>305</v>
      </c>
      <c r="B268" s="228"/>
      <c r="C268" s="228" t="s">
        <v>1209</v>
      </c>
      <c r="D268" s="228" t="s">
        <v>1187</v>
      </c>
      <c r="E268" s="229">
        <v>65</v>
      </c>
      <c r="F268" s="227">
        <v>30</v>
      </c>
      <c r="G268" s="228">
        <f>E268*F268</f>
        <v>1950</v>
      </c>
      <c r="H268" s="228">
        <v>200</v>
      </c>
      <c r="I268" s="229">
        <f>G268+H268</f>
        <v>2150</v>
      </c>
      <c r="J268" s="229">
        <f>I268*0.1</f>
        <v>215</v>
      </c>
      <c r="K268" s="227">
        <f>I268*0.9</f>
        <v>1935</v>
      </c>
      <c r="L268" s="228" t="s">
        <v>651</v>
      </c>
      <c r="M268" s="202"/>
      <c r="N268" s="225">
        <v>30</v>
      </c>
      <c r="O268" s="206"/>
      <c r="P268" s="205"/>
      <c r="Q268" s="205"/>
      <c r="R268" s="205"/>
      <c r="S268" s="202"/>
      <c r="T268" s="205"/>
      <c r="U268" s="205"/>
      <c r="V268" s="230"/>
    </row>
    <row ht="18.75" r="269" spans="1:22" s="223" customFormat="1">
      <c r="A269" s="246">
        <v>306</v>
      </c>
      <c r="B269" s="228"/>
      <c r="C269" s="228" t="s">
        <v>1188</v>
      </c>
      <c r="D269" s="228" t="s">
        <v>1187</v>
      </c>
      <c r="E269" s="229">
        <v>60</v>
      </c>
      <c r="F269" s="227">
        <v>30</v>
      </c>
      <c r="G269" s="228">
        <f>E269*F269</f>
        <v>1800</v>
      </c>
      <c r="H269" s="228">
        <v>200</v>
      </c>
      <c r="I269" s="229">
        <f>G269+H269</f>
        <v>2000</v>
      </c>
      <c r="J269" s="229">
        <f>I269*0.1</f>
        <v>200</v>
      </c>
      <c r="K269" s="227">
        <f>I269*0.9</f>
        <v>1800</v>
      </c>
      <c r="L269" s="228" t="s">
        <v>651</v>
      </c>
      <c r="M269" s="202"/>
      <c r="N269" s="225">
        <v>30</v>
      </c>
      <c r="O269" s="206"/>
      <c r="P269" s="205"/>
      <c r="Q269" s="205"/>
      <c r="R269" s="205"/>
      <c r="S269" s="202"/>
      <c r="T269" s="205"/>
      <c r="U269" s="205"/>
      <c r="V269" s="230"/>
    </row>
    <row ht="18.75" r="270" spans="1:22" s="223" customFormat="1">
      <c r="A270" s="246">
        <v>307</v>
      </c>
      <c r="B270" s="228"/>
      <c r="C270" s="228" t="s">
        <v>1210</v>
      </c>
      <c r="D270" s="228" t="s">
        <v>1187</v>
      </c>
      <c r="E270" s="229">
        <v>60</v>
      </c>
      <c r="F270" s="227">
        <v>30</v>
      </c>
      <c r="G270" s="228">
        <f>E270*F270</f>
        <v>1800</v>
      </c>
      <c r="H270" s="228">
        <v>200</v>
      </c>
      <c r="I270" s="229">
        <f>G270+H270</f>
        <v>2000</v>
      </c>
      <c r="J270" s="229">
        <f>I270*0.1</f>
        <v>200</v>
      </c>
      <c r="K270" s="227">
        <f>I270*0.9</f>
        <v>1800</v>
      </c>
      <c r="L270" s="228" t="s">
        <v>651</v>
      </c>
      <c r="M270" s="202"/>
      <c r="N270" s="225">
        <v>30</v>
      </c>
      <c r="O270" s="206"/>
      <c r="P270" s="205"/>
      <c r="Q270" s="205"/>
      <c r="R270" s="205"/>
      <c r="S270" s="202"/>
      <c r="T270" s="205"/>
      <c r="U270" s="205"/>
      <c r="V270" s="230"/>
    </row>
    <row ht="18.75" r="271" spans="1:22" s="223" customFormat="1">
      <c r="A271" s="246">
        <v>308</v>
      </c>
      <c r="B271" s="228"/>
      <c r="C271" s="228" t="s">
        <v>1211</v>
      </c>
      <c r="D271" s="228" t="s">
        <v>1187</v>
      </c>
      <c r="E271" s="229">
        <v>60</v>
      </c>
      <c r="F271" s="227">
        <v>30</v>
      </c>
      <c r="G271" s="228">
        <f>E271*F271</f>
        <v>1800</v>
      </c>
      <c r="H271" s="228">
        <v>200</v>
      </c>
      <c r="I271" s="229">
        <f>G271+H271</f>
        <v>2000</v>
      </c>
      <c r="J271" s="229">
        <f>I271*0.1</f>
        <v>200</v>
      </c>
      <c r="K271" s="227">
        <f>I271*0.9</f>
        <v>1800</v>
      </c>
      <c r="L271" s="228" t="s">
        <v>651</v>
      </c>
      <c r="M271" s="202"/>
      <c r="N271" s="225">
        <v>30</v>
      </c>
      <c r="O271" s="206"/>
      <c r="P271" s="205"/>
      <c r="Q271" s="205"/>
      <c r="R271" s="205"/>
      <c r="S271" s="202"/>
      <c r="T271" s="205"/>
      <c r="U271" s="205"/>
      <c r="V271" s="230"/>
    </row>
    <row ht="18.75" r="272" spans="1:22" s="223" customFormat="1">
      <c r="A272" s="246">
        <v>309</v>
      </c>
      <c r="B272" s="228"/>
      <c r="C272" s="228" t="s">
        <v>1212</v>
      </c>
      <c r="D272" s="228" t="s">
        <v>1187</v>
      </c>
      <c r="E272" s="229">
        <v>60</v>
      </c>
      <c r="F272" s="227">
        <v>30</v>
      </c>
      <c r="G272" s="228">
        <f>E272*F272</f>
        <v>1800</v>
      </c>
      <c r="H272" s="228">
        <v>200</v>
      </c>
      <c r="I272" s="229">
        <f>G272+H272</f>
        <v>2000</v>
      </c>
      <c r="J272" s="229">
        <f>I272*0.1</f>
        <v>200</v>
      </c>
      <c r="K272" s="227">
        <f>I272*0.9</f>
        <v>1800</v>
      </c>
      <c r="L272" s="228" t="s">
        <v>651</v>
      </c>
      <c r="M272" s="202"/>
      <c r="N272" s="225">
        <v>30</v>
      </c>
      <c r="O272" s="206"/>
      <c r="P272" s="205"/>
      <c r="Q272" s="205"/>
      <c r="R272" s="205"/>
      <c r="S272" s="202"/>
      <c r="T272" s="205"/>
      <c r="U272" s="205"/>
      <c r="V272" s="230"/>
    </row>
    <row ht="18.75" r="273" spans="1:22" s="223" customFormat="1">
      <c r="A273" s="246">
        <v>310</v>
      </c>
      <c r="B273" s="228"/>
      <c r="C273" s="228" t="s">
        <v>1191</v>
      </c>
      <c r="D273" s="228" t="s">
        <v>1187</v>
      </c>
      <c r="E273" s="229">
        <v>60</v>
      </c>
      <c r="F273" s="227">
        <v>30</v>
      </c>
      <c r="G273" s="228">
        <f>E273*F273</f>
        <v>1800</v>
      </c>
      <c r="H273" s="228">
        <v>200</v>
      </c>
      <c r="I273" s="229">
        <f>G273+H273</f>
        <v>2000</v>
      </c>
      <c r="J273" s="229">
        <f>I273*0.1</f>
        <v>200</v>
      </c>
      <c r="K273" s="227">
        <f>I273*0.9</f>
        <v>1800</v>
      </c>
      <c r="L273" s="228" t="s">
        <v>651</v>
      </c>
      <c r="M273" s="202"/>
      <c r="N273" s="225">
        <v>30</v>
      </c>
      <c r="O273" s="206"/>
      <c r="P273" s="205"/>
      <c r="Q273" s="205"/>
      <c r="R273" s="205"/>
      <c r="S273" s="202"/>
      <c r="T273" s="205"/>
      <c r="U273" s="205"/>
      <c r="V273" s="230"/>
    </row>
    <row ht="18.75" r="274" spans="1:22" s="223" customFormat="1">
      <c r="A274" s="246">
        <v>311</v>
      </c>
      <c r="B274" s="228"/>
      <c r="C274" s="228" t="s">
        <v>1213</v>
      </c>
      <c r="D274" s="228" t="s">
        <v>1187</v>
      </c>
      <c r="E274" s="229">
        <v>60</v>
      </c>
      <c r="F274" s="227">
        <v>30</v>
      </c>
      <c r="G274" s="228">
        <f>E274*F274</f>
        <v>1800</v>
      </c>
      <c r="H274" s="228">
        <v>200</v>
      </c>
      <c r="I274" s="229">
        <f>G274+H274</f>
        <v>2000</v>
      </c>
      <c r="J274" s="229">
        <f>I274*0.1</f>
        <v>200</v>
      </c>
      <c r="K274" s="227">
        <f>I274*0.9</f>
        <v>1800</v>
      </c>
      <c r="L274" s="228" t="s">
        <v>651</v>
      </c>
      <c r="M274" s="202"/>
      <c r="N274" s="225">
        <v>30</v>
      </c>
      <c r="O274" s="206"/>
      <c r="P274" s="205"/>
      <c r="Q274" s="205"/>
      <c r="R274" s="205"/>
      <c r="S274" s="202"/>
      <c r="T274" s="205"/>
      <c r="U274" s="205"/>
      <c r="V274" s="230"/>
    </row>
    <row ht="18.75" r="275" spans="1:22" s="223" customFormat="1">
      <c r="A275" s="246">
        <v>312</v>
      </c>
      <c r="B275" s="228"/>
      <c r="C275" s="228" t="s">
        <v>1189</v>
      </c>
      <c r="D275" s="228" t="s">
        <v>1187</v>
      </c>
      <c r="E275" s="229">
        <v>60</v>
      </c>
      <c r="F275" s="227">
        <v>30</v>
      </c>
      <c r="G275" s="228">
        <f>E275*F275</f>
        <v>1800</v>
      </c>
      <c r="H275" s="228">
        <v>200</v>
      </c>
      <c r="I275" s="229">
        <f>G275+H275</f>
        <v>2000</v>
      </c>
      <c r="J275" s="229">
        <f>I275*0.1</f>
        <v>200</v>
      </c>
      <c r="K275" s="227">
        <f>I275*0.9</f>
        <v>1800</v>
      </c>
      <c r="L275" s="228" t="s">
        <v>651</v>
      </c>
      <c r="M275" s="202"/>
      <c r="N275" s="225">
        <v>30</v>
      </c>
      <c r="O275" s="206"/>
      <c r="P275" s="205"/>
      <c r="Q275" s="205"/>
      <c r="R275" s="205"/>
      <c r="S275" s="202"/>
      <c r="T275" s="205"/>
      <c r="U275" s="205"/>
      <c r="V275" s="230"/>
    </row>
    <row ht="18.75" r="276" spans="1:22" s="223" customFormat="1">
      <c r="A276" s="246">
        <v>313</v>
      </c>
      <c r="B276" s="228"/>
      <c r="C276" s="228" t="s">
        <v>1214</v>
      </c>
      <c r="D276" s="228" t="s">
        <v>1187</v>
      </c>
      <c r="E276" s="229">
        <v>60</v>
      </c>
      <c r="F276" s="227">
        <v>30</v>
      </c>
      <c r="G276" s="228">
        <f>E276*F276</f>
        <v>1800</v>
      </c>
      <c r="H276" s="228">
        <v>200</v>
      </c>
      <c r="I276" s="229">
        <f>G276+H276</f>
        <v>2000</v>
      </c>
      <c r="J276" s="229">
        <f>I276*0.1</f>
        <v>200</v>
      </c>
      <c r="K276" s="227">
        <f>I276*0.9</f>
        <v>1800</v>
      </c>
      <c r="L276" s="228" t="s">
        <v>651</v>
      </c>
      <c r="M276" s="202"/>
      <c r="N276" s="225">
        <v>30</v>
      </c>
      <c r="O276" s="206"/>
      <c r="P276" s="205"/>
      <c r="Q276" s="205"/>
      <c r="R276" s="205"/>
      <c r="S276" s="202"/>
      <c r="T276" s="205"/>
      <c r="U276" s="205"/>
      <c r="V276" s="230"/>
    </row>
    <row ht="18.75" r="277" spans="1:22" s="223" customFormat="1">
      <c r="A277" s="246">
        <v>314</v>
      </c>
      <c r="B277" s="228"/>
      <c r="C277" s="228" t="s">
        <v>1193</v>
      </c>
      <c r="D277" s="228" t="s">
        <v>1187</v>
      </c>
      <c r="E277" s="229">
        <v>60</v>
      </c>
      <c r="F277" s="227">
        <v>30</v>
      </c>
      <c r="G277" s="228">
        <f>E277*F277</f>
        <v>1800</v>
      </c>
      <c r="H277" s="228">
        <v>200</v>
      </c>
      <c r="I277" s="229">
        <f>G277+H277</f>
        <v>2000</v>
      </c>
      <c r="J277" s="229">
        <f>I277*0.1</f>
        <v>200</v>
      </c>
      <c r="K277" s="227">
        <f>I277*0.9</f>
        <v>1800</v>
      </c>
      <c r="L277" s="228" t="s">
        <v>651</v>
      </c>
      <c r="M277" s="202"/>
      <c r="N277" s="225">
        <v>30</v>
      </c>
      <c r="O277" s="202"/>
      <c r="P277" s="202"/>
      <c r="Q277" s="202"/>
      <c r="R277" s="202"/>
      <c r="S277" s="202"/>
      <c r="T277" s="205"/>
      <c r="U277" s="205"/>
      <c r="V277" s="230"/>
    </row>
    <row ht="18.75" r="278" spans="1:22" s="223" customFormat="1">
      <c r="A278" s="246">
        <v>315</v>
      </c>
      <c r="B278" s="228"/>
      <c r="C278" s="228" t="s">
        <v>1190</v>
      </c>
      <c r="D278" s="228" t="s">
        <v>1187</v>
      </c>
      <c r="E278" s="229">
        <v>60</v>
      </c>
      <c r="F278" s="227">
        <v>30</v>
      </c>
      <c r="G278" s="228">
        <f>E278*F278</f>
        <v>1800</v>
      </c>
      <c r="H278" s="228">
        <v>200</v>
      </c>
      <c r="I278" s="229">
        <f>G278+H278</f>
        <v>2000</v>
      </c>
      <c r="J278" s="229">
        <f>I278*0.1</f>
        <v>200</v>
      </c>
      <c r="K278" s="227">
        <f>I278*0.9</f>
        <v>1800</v>
      </c>
      <c r="L278" s="228" t="s">
        <v>651</v>
      </c>
      <c r="M278" s="202"/>
      <c r="N278" s="225">
        <v>30</v>
      </c>
      <c r="O278" s="202"/>
      <c r="P278" s="202"/>
      <c r="Q278" s="202"/>
      <c r="R278" s="202"/>
      <c r="S278" s="202"/>
      <c r="T278" s="205"/>
      <c r="U278" s="205"/>
      <c r="V278" s="205"/>
    </row>
    <row ht="18.75" r="279" spans="1:22" s="223" customFormat="1">
      <c r="A279" s="246">
        <v>316</v>
      </c>
      <c r="B279" s="228"/>
      <c r="C279" s="228" t="s">
        <v>1191</v>
      </c>
      <c r="D279" s="228" t="s">
        <v>1187</v>
      </c>
      <c r="E279" s="229">
        <v>60</v>
      </c>
      <c r="F279" s="227">
        <v>30</v>
      </c>
      <c r="G279" s="228">
        <f>E279*F279</f>
        <v>1800</v>
      </c>
      <c r="H279" s="228">
        <v>200</v>
      </c>
      <c r="I279" s="229">
        <f>G279+H279</f>
        <v>2000</v>
      </c>
      <c r="J279" s="229">
        <f>I279*0.1</f>
        <v>200</v>
      </c>
      <c r="K279" s="227">
        <f>I279*0.9</f>
        <v>1800</v>
      </c>
      <c r="L279" s="228" t="s">
        <v>651</v>
      </c>
      <c r="M279" s="202"/>
      <c r="N279" s="225">
        <v>30</v>
      </c>
      <c r="O279" s="202"/>
      <c r="P279" s="202"/>
      <c r="Q279" s="202"/>
      <c r="R279" s="202"/>
      <c r="S279" s="202"/>
      <c r="T279" s="205"/>
      <c r="U279" s="205"/>
      <c r="V279" s="205"/>
    </row>
    <row ht="18.75" r="280" spans="1:22" s="223" customFormat="1">
      <c r="A280" s="246">
        <v>317</v>
      </c>
      <c r="B280" s="228"/>
      <c r="C280" s="228" t="s">
        <v>1192</v>
      </c>
      <c r="D280" s="228" t="s">
        <v>1187</v>
      </c>
      <c r="E280" s="229">
        <v>60</v>
      </c>
      <c r="F280" s="227">
        <v>30</v>
      </c>
      <c r="G280" s="228">
        <f>E280*F280</f>
        <v>1800</v>
      </c>
      <c r="H280" s="228">
        <v>200</v>
      </c>
      <c r="I280" s="229">
        <f>G280+H280</f>
        <v>2000</v>
      </c>
      <c r="J280" s="229">
        <f>I280*0.1</f>
        <v>200</v>
      </c>
      <c r="K280" s="227">
        <f>I280*0.9</f>
        <v>1800</v>
      </c>
      <c r="L280" s="228" t="s">
        <v>651</v>
      </c>
      <c r="M280" s="205"/>
      <c r="N280" s="225">
        <v>30</v>
      </c>
      <c r="O280" s="206"/>
      <c r="P280" s="205"/>
      <c r="Q280" s="205"/>
      <c r="R280" s="205"/>
      <c r="S280" s="202"/>
      <c r="T280" s="205"/>
      <c r="U280" s="205"/>
      <c r="V280" s="205"/>
    </row>
    <row ht="18.75" r="281" spans="1:22" s="223" customFormat="1">
      <c r="A281" s="246">
        <v>318</v>
      </c>
      <c r="B281" s="228"/>
      <c r="C281" s="228" t="s">
        <v>1235</v>
      </c>
      <c r="D281" s="228" t="s">
        <v>1187</v>
      </c>
      <c r="E281" s="229">
        <v>60</v>
      </c>
      <c r="F281" s="227">
        <v>30</v>
      </c>
      <c r="G281" s="228">
        <f>E281*F281</f>
        <v>1800</v>
      </c>
      <c r="H281" s="228">
        <v>200</v>
      </c>
      <c r="I281" s="229">
        <f>G281+H281</f>
        <v>2000</v>
      </c>
      <c r="J281" s="229">
        <f>I281*0.1</f>
        <v>200</v>
      </c>
      <c r="K281" s="227">
        <f>I281*0.9</f>
        <v>1800</v>
      </c>
      <c r="L281" s="228" t="s">
        <v>651</v>
      </c>
      <c r="M281" s="205"/>
      <c r="N281" s="225">
        <v>30</v>
      </c>
      <c r="O281" s="206"/>
      <c r="P281" s="205"/>
      <c r="Q281" s="205"/>
      <c r="R281" s="205"/>
      <c r="S281" s="202"/>
      <c r="U281" s="226"/>
    </row>
    <row ht="18.75" r="282" spans="1:22" s="223" customFormat="1">
      <c r="A282" s="246">
        <v>319</v>
      </c>
      <c r="B282" s="228"/>
      <c r="C282" s="228" t="s">
        <v>1216</v>
      </c>
      <c r="D282" s="228" t="s">
        <v>1187</v>
      </c>
      <c r="E282" s="229">
        <v>60</v>
      </c>
      <c r="F282" s="227">
        <v>30</v>
      </c>
      <c r="G282" s="228">
        <f>E282*F282</f>
        <v>1800</v>
      </c>
      <c r="H282" s="228">
        <v>200</v>
      </c>
      <c r="I282" s="229">
        <f>G282+H282</f>
        <v>2000</v>
      </c>
      <c r="J282" s="229">
        <f>I282*0.1</f>
        <v>200</v>
      </c>
      <c r="K282" s="227">
        <f>I282*0.9</f>
        <v>1800</v>
      </c>
      <c r="L282" s="228" t="s">
        <v>651</v>
      </c>
      <c r="M282" s="205"/>
      <c r="N282" s="225">
        <v>30</v>
      </c>
      <c r="O282" s="206"/>
      <c r="P282" s="205"/>
      <c r="Q282" s="205"/>
      <c r="R282" s="205"/>
      <c r="S282" s="202"/>
      <c r="U282" s="226"/>
    </row>
    <row ht="18.75" r="283" spans="1:22" s="223" customFormat="1">
      <c r="A283" s="246">
        <v>320</v>
      </c>
      <c r="B283" s="228"/>
      <c r="C283" s="228" t="s">
        <v>1217</v>
      </c>
      <c r="D283" s="228" t="s">
        <v>1187</v>
      </c>
      <c r="E283" s="229">
        <v>60</v>
      </c>
      <c r="F283" s="227">
        <v>30</v>
      </c>
      <c r="G283" s="228">
        <f>E283*F283</f>
        <v>1800</v>
      </c>
      <c r="H283" s="228">
        <v>200</v>
      </c>
      <c r="I283" s="229">
        <f>G283+H283</f>
        <v>2000</v>
      </c>
      <c r="J283" s="229">
        <f>I283*0.1</f>
        <v>200</v>
      </c>
      <c r="K283" s="227">
        <f>I283*0.9</f>
        <v>1800</v>
      </c>
      <c r="L283" s="228" t="s">
        <v>651</v>
      </c>
      <c r="M283" s="205"/>
      <c r="N283" s="225">
        <v>30</v>
      </c>
      <c r="O283" s="206"/>
      <c r="P283" s="205"/>
      <c r="Q283" s="205"/>
      <c r="R283" s="205"/>
      <c r="S283" s="202"/>
      <c r="U283" s="226"/>
    </row>
    <row ht="18.75" r="284" spans="1:22" s="223" customFormat="1">
      <c r="A284" s="246">
        <v>321</v>
      </c>
      <c r="B284" s="228"/>
      <c r="C284" s="228" t="s">
        <v>1237</v>
      </c>
      <c r="D284" s="228" t="s">
        <v>1187</v>
      </c>
      <c r="E284" s="229">
        <v>60</v>
      </c>
      <c r="F284" s="227">
        <v>30</v>
      </c>
      <c r="G284" s="228">
        <f>E284*F284</f>
        <v>1800</v>
      </c>
      <c r="H284" s="228">
        <v>200</v>
      </c>
      <c r="I284" s="229">
        <f>G284+H284</f>
        <v>2000</v>
      </c>
      <c r="J284" s="229">
        <f>I284*0.1</f>
        <v>200</v>
      </c>
      <c r="K284" s="227">
        <f>I284*0.9</f>
        <v>1800</v>
      </c>
      <c r="L284" s="228" t="s">
        <v>651</v>
      </c>
      <c r="N284" s="225">
        <v>30</v>
      </c>
      <c r="O284" s="224"/>
      <c r="U284" s="226"/>
    </row>
    <row ht="18.75" r="285" spans="1:22" s="223" customFormat="1">
      <c r="A285" s="246">
        <v>322</v>
      </c>
      <c r="B285" s="228"/>
      <c r="C285" s="228" t="s">
        <v>1218</v>
      </c>
      <c r="D285" s="228" t="s">
        <v>1187</v>
      </c>
      <c r="E285" s="229">
        <v>60</v>
      </c>
      <c r="F285" s="227">
        <v>30</v>
      </c>
      <c r="G285" s="228">
        <f>E285*F285</f>
        <v>1800</v>
      </c>
      <c r="H285" s="228">
        <v>200</v>
      </c>
      <c r="I285" s="229">
        <f>G285+H285</f>
        <v>2000</v>
      </c>
      <c r="J285" s="229">
        <f>I285*0.1</f>
        <v>200</v>
      </c>
      <c r="K285" s="227">
        <f>I285*0.9</f>
        <v>1800</v>
      </c>
      <c r="L285" s="228" t="s">
        <v>651</v>
      </c>
      <c r="N285" s="225">
        <v>30</v>
      </c>
      <c r="O285" s="224"/>
      <c r="U285" s="226"/>
    </row>
    <row ht="18.75" r="286" spans="1:22" s="223" customFormat="1">
      <c r="A286" s="246">
        <v>323</v>
      </c>
      <c r="B286" s="228"/>
      <c r="C286" s="228" t="s">
        <v>1219</v>
      </c>
      <c r="D286" s="228" t="s">
        <v>1187</v>
      </c>
      <c r="E286" s="229">
        <v>60</v>
      </c>
      <c r="F286" s="227">
        <v>30</v>
      </c>
      <c r="G286" s="228">
        <f>E286*F286</f>
        <v>1800</v>
      </c>
      <c r="H286" s="228">
        <v>200</v>
      </c>
      <c r="I286" s="229">
        <f>G286+H286</f>
        <v>2000</v>
      </c>
      <c r="J286" s="229">
        <f>I286*0.1</f>
        <v>200</v>
      </c>
      <c r="K286" s="227">
        <f>I286*0.9</f>
        <v>1800</v>
      </c>
      <c r="L286" s="228" t="s">
        <v>651</v>
      </c>
      <c r="N286" s="225">
        <v>30</v>
      </c>
      <c r="O286" s="224"/>
      <c r="U286" s="226"/>
    </row>
    <row ht="18.75" r="287" spans="1:22" s="223" customFormat="1">
      <c r="A287" s="246">
        <v>324</v>
      </c>
      <c r="B287" s="228"/>
      <c r="C287" s="228" t="s">
        <v>1198</v>
      </c>
      <c r="D287" s="228" t="s">
        <v>1187</v>
      </c>
      <c r="E287" s="229">
        <v>60</v>
      </c>
      <c r="F287" s="227">
        <v>30</v>
      </c>
      <c r="G287" s="228">
        <f>E287*F287</f>
        <v>1800</v>
      </c>
      <c r="H287" s="228">
        <v>200</v>
      </c>
      <c r="I287" s="229">
        <f>G287+H287</f>
        <v>2000</v>
      </c>
      <c r="J287" s="229">
        <f>I287*0.1</f>
        <v>200</v>
      </c>
      <c r="K287" s="227">
        <f>I287*0.9</f>
        <v>1800</v>
      </c>
      <c r="L287" s="228" t="s">
        <v>651</v>
      </c>
      <c r="N287" s="225">
        <v>30</v>
      </c>
      <c r="O287" s="224"/>
      <c r="U287" s="226"/>
    </row>
    <row ht="18.75" r="288" spans="1:22" s="223" customFormat="1">
      <c r="A288" s="246">
        <v>325</v>
      </c>
      <c r="B288" s="228"/>
      <c r="C288" s="228" t="s">
        <v>716</v>
      </c>
      <c r="D288" s="228" t="s">
        <v>1187</v>
      </c>
      <c r="E288" s="229">
        <v>60</v>
      </c>
      <c r="F288" s="227">
        <v>30</v>
      </c>
      <c r="G288" s="228">
        <f>E288*F288</f>
        <v>1800</v>
      </c>
      <c r="H288" s="228">
        <v>200</v>
      </c>
      <c r="I288" s="229">
        <f>G288+H288</f>
        <v>2000</v>
      </c>
      <c r="J288" s="229">
        <f>I288*0.1</f>
        <v>200</v>
      </c>
      <c r="K288" s="227">
        <f>I288*0.9</f>
        <v>1800</v>
      </c>
      <c r="L288" s="228" t="s">
        <v>651</v>
      </c>
      <c r="N288" s="225">
        <v>30</v>
      </c>
      <c r="O288" s="224"/>
      <c r="U288" s="226"/>
    </row>
    <row ht="18.75" r="289" spans="1:21" s="223" customFormat="1">
      <c r="A289" s="246">
        <v>326</v>
      </c>
      <c r="B289" s="228"/>
      <c r="C289" s="228" t="s">
        <v>1204</v>
      </c>
      <c r="D289" s="228" t="s">
        <v>1187</v>
      </c>
      <c r="E289" s="229">
        <v>60</v>
      </c>
      <c r="F289" s="227">
        <v>30</v>
      </c>
      <c r="G289" s="228">
        <f>E289*F289</f>
        <v>1800</v>
      </c>
      <c r="H289" s="228">
        <v>200</v>
      </c>
      <c r="I289" s="229">
        <f>G289+H289</f>
        <v>2000</v>
      </c>
      <c r="J289" s="229">
        <f>I289*0.1</f>
        <v>200</v>
      </c>
      <c r="K289" s="227">
        <f>I289*0.9</f>
        <v>1800</v>
      </c>
      <c r="L289" s="228" t="s">
        <v>651</v>
      </c>
      <c r="M289" s="231"/>
      <c r="N289" s="225">
        <v>30</v>
      </c>
      <c r="O289" s="232"/>
      <c r="P289" s="233"/>
      <c r="Q289" s="233"/>
      <c r="R289" s="233"/>
      <c r="S289" s="202"/>
      <c r="U289" s="226"/>
    </row>
    <row ht="18.75" r="290" spans="1:21" s="223" customFormat="1">
      <c r="A290" s="246">
        <v>327</v>
      </c>
      <c r="B290" s="228"/>
      <c r="C290" s="228" t="s">
        <v>1222</v>
      </c>
      <c r="D290" s="228" t="s">
        <v>1187</v>
      </c>
      <c r="E290" s="229">
        <v>60</v>
      </c>
      <c r="F290" s="227">
        <v>30</v>
      </c>
      <c r="G290" s="228">
        <f>E290*F290</f>
        <v>1800</v>
      </c>
      <c r="H290" s="228">
        <v>200</v>
      </c>
      <c r="I290" s="229">
        <f>G290+H290</f>
        <v>2000</v>
      </c>
      <c r="J290" s="229">
        <f>I290*0.1</f>
        <v>200</v>
      </c>
      <c r="K290" s="227">
        <f>I290*0.9</f>
        <v>1800</v>
      </c>
      <c r="L290" s="228" t="s">
        <v>651</v>
      </c>
      <c r="M290" s="202"/>
      <c r="N290" s="225">
        <v>30</v>
      </c>
      <c r="O290" s="206"/>
      <c r="P290" s="205"/>
      <c r="Q290" s="205"/>
      <c r="R290" s="205"/>
      <c r="S290" s="202"/>
      <c r="U290" s="226"/>
    </row>
    <row ht="18.75" r="291" spans="1:21" s="223" customFormat="1">
      <c r="A291" s="246">
        <v>328</v>
      </c>
      <c r="B291" s="228"/>
      <c r="C291" s="228" t="s">
        <v>1194</v>
      </c>
      <c r="D291" s="228" t="s">
        <v>1187</v>
      </c>
      <c r="E291" s="229">
        <v>60</v>
      </c>
      <c r="F291" s="227">
        <v>30</v>
      </c>
      <c r="G291" s="228">
        <f>E291*F291</f>
        <v>1800</v>
      </c>
      <c r="H291" s="228">
        <v>200</v>
      </c>
      <c r="I291" s="229">
        <f>G291+H291</f>
        <v>2000</v>
      </c>
      <c r="J291" s="229">
        <f>I291*0.1</f>
        <v>200</v>
      </c>
      <c r="K291" s="227">
        <f>I291*0.9</f>
        <v>1800</v>
      </c>
      <c r="L291" s="228" t="s">
        <v>651</v>
      </c>
      <c r="M291" s="202"/>
      <c r="N291" s="225">
        <v>30</v>
      </c>
      <c r="O291" s="206"/>
      <c r="P291" s="205"/>
      <c r="Q291" s="205"/>
      <c r="R291" s="205"/>
      <c r="S291" s="202"/>
      <c r="U291" s="226"/>
    </row>
    <row ht="18.75" r="292" spans="1:21" s="223" customFormat="1">
      <c r="A292" s="246">
        <v>329</v>
      </c>
      <c r="B292" s="228"/>
      <c r="C292" s="228" t="s">
        <v>1196</v>
      </c>
      <c r="D292" s="228" t="s">
        <v>1187</v>
      </c>
      <c r="E292" s="229">
        <v>60</v>
      </c>
      <c r="F292" s="227">
        <v>30</v>
      </c>
      <c r="G292" s="228">
        <f>E292*F292</f>
        <v>1800</v>
      </c>
      <c r="H292" s="228">
        <v>200</v>
      </c>
      <c r="I292" s="229">
        <f>G292+H292</f>
        <v>2000</v>
      </c>
      <c r="J292" s="229">
        <f>I292*0.1</f>
        <v>200</v>
      </c>
      <c r="K292" s="227">
        <f>I292*0.9</f>
        <v>1800</v>
      </c>
      <c r="L292" s="228" t="s">
        <v>651</v>
      </c>
      <c r="M292" s="202"/>
      <c r="N292" s="225">
        <v>30</v>
      </c>
      <c r="O292" s="206"/>
      <c r="P292" s="205"/>
      <c r="Q292" s="205"/>
      <c r="R292" s="205"/>
      <c r="S292" s="208"/>
      <c r="U292" s="226"/>
    </row>
    <row ht="18.75" r="293" spans="1:21" s="223" customFormat="1">
      <c r="A293" s="246">
        <v>330</v>
      </c>
      <c r="B293" s="228"/>
      <c r="C293" s="228" t="s">
        <v>1197</v>
      </c>
      <c r="D293" s="228" t="s">
        <v>1187</v>
      </c>
      <c r="E293" s="229">
        <v>60</v>
      </c>
      <c r="F293" s="227">
        <v>30</v>
      </c>
      <c r="G293" s="228">
        <f>E293*F293</f>
        <v>1800</v>
      </c>
      <c r="H293" s="228">
        <v>200</v>
      </c>
      <c r="I293" s="229">
        <f>G293+H293</f>
        <v>2000</v>
      </c>
      <c r="J293" s="229">
        <f>I293*0.1</f>
        <v>200</v>
      </c>
      <c r="K293" s="227">
        <f>I293*0.9</f>
        <v>1800</v>
      </c>
      <c r="L293" s="228" t="s">
        <v>651</v>
      </c>
      <c r="M293" s="202"/>
      <c r="N293" s="225">
        <v>30</v>
      </c>
      <c r="O293" s="206"/>
      <c r="P293" s="205"/>
      <c r="Q293" s="205"/>
      <c r="R293" s="205"/>
      <c r="S293" s="202"/>
      <c r="U293" s="226"/>
    </row>
    <row ht="18.75" r="294" spans="1:21" s="223" customFormat="1">
      <c r="A294" s="246">
        <v>331</v>
      </c>
      <c r="B294" s="228"/>
      <c r="C294" s="228" t="s">
        <v>1223</v>
      </c>
      <c r="D294" s="228" t="s">
        <v>1187</v>
      </c>
      <c r="E294" s="229">
        <v>60</v>
      </c>
      <c r="F294" s="227">
        <v>30</v>
      </c>
      <c r="G294" s="228">
        <f>E294*F294</f>
        <v>1800</v>
      </c>
      <c r="H294" s="228">
        <v>200</v>
      </c>
      <c r="I294" s="229">
        <f>G294+H294</f>
        <v>2000</v>
      </c>
      <c r="J294" s="229">
        <f>I294*0.1</f>
        <v>200</v>
      </c>
      <c r="K294" s="227">
        <f>I294*0.9</f>
        <v>1800</v>
      </c>
      <c r="L294" s="228" t="s">
        <v>651</v>
      </c>
      <c r="M294" s="202"/>
      <c r="N294" s="225">
        <v>30</v>
      </c>
      <c r="O294" s="206"/>
      <c r="P294" s="205"/>
      <c r="Q294" s="205"/>
      <c r="R294" s="205"/>
      <c r="S294" s="202"/>
      <c r="U294" s="226"/>
    </row>
    <row ht="18.75" r="295" spans="1:21" s="223" customFormat="1">
      <c r="A295" s="246">
        <v>332</v>
      </c>
      <c r="B295" s="228"/>
      <c r="C295" s="228" t="s">
        <v>1224</v>
      </c>
      <c r="D295" s="228" t="s">
        <v>1187</v>
      </c>
      <c r="E295" s="229">
        <v>70</v>
      </c>
      <c r="F295" s="227">
        <v>30</v>
      </c>
      <c r="G295" s="228">
        <f>E295*F295</f>
        <v>2100</v>
      </c>
      <c r="H295" s="228">
        <v>200</v>
      </c>
      <c r="I295" s="229">
        <f>G295+H295</f>
        <v>2300</v>
      </c>
      <c r="J295" s="229">
        <f>I295*0.1</f>
        <v>230</v>
      </c>
      <c r="K295" s="227">
        <f>I295*0.9</f>
        <v>2070</v>
      </c>
      <c r="L295" s="228" t="s">
        <v>651</v>
      </c>
      <c r="M295" s="202"/>
      <c r="N295" s="225">
        <v>30</v>
      </c>
      <c r="O295" s="206"/>
      <c r="P295" s="205"/>
      <c r="Q295" s="205"/>
      <c r="R295" s="205"/>
      <c r="S295" s="202"/>
      <c r="U295" s="226"/>
    </row>
    <row ht="18.75" r="296" spans="1:21" s="223" customFormat="1">
      <c r="A296" s="246">
        <v>333</v>
      </c>
      <c r="B296" s="228"/>
      <c r="C296" s="228" t="s">
        <v>1215</v>
      </c>
      <c r="D296" s="228" t="s">
        <v>1187</v>
      </c>
      <c r="E296" s="229">
        <v>60</v>
      </c>
      <c r="F296" s="227">
        <v>30</v>
      </c>
      <c r="G296" s="228">
        <f>E296*F296</f>
        <v>1800</v>
      </c>
      <c r="H296" s="228">
        <v>200</v>
      </c>
      <c r="I296" s="229">
        <f>G296+H296</f>
        <v>2000</v>
      </c>
      <c r="J296" s="229">
        <f>I296*0.1</f>
        <v>200</v>
      </c>
      <c r="K296" s="227">
        <f>I296*0.9</f>
        <v>1800</v>
      </c>
      <c r="L296" s="228" t="s">
        <v>651</v>
      </c>
      <c r="M296" s="202"/>
      <c r="N296" s="225">
        <v>30</v>
      </c>
      <c r="O296" s="206"/>
      <c r="P296" s="205"/>
      <c r="Q296" s="205"/>
      <c r="R296" s="205"/>
      <c r="S296" s="202"/>
      <c r="U296" s="226"/>
    </row>
    <row ht="18.75" r="297" spans="1:21" s="223" customFormat="1">
      <c r="A297" s="246">
        <v>334</v>
      </c>
      <c r="B297" s="228"/>
      <c r="C297" s="228" t="s">
        <v>1198</v>
      </c>
      <c r="D297" s="228" t="s">
        <v>1187</v>
      </c>
      <c r="E297" s="229">
        <v>60</v>
      </c>
      <c r="F297" s="227">
        <v>30</v>
      </c>
      <c r="G297" s="228">
        <f>E297*F297</f>
        <v>1800</v>
      </c>
      <c r="H297" s="228">
        <v>200</v>
      </c>
      <c r="I297" s="229">
        <f>G297+H297</f>
        <v>2000</v>
      </c>
      <c r="J297" s="229">
        <f>I297*0.1</f>
        <v>200</v>
      </c>
      <c r="K297" s="227">
        <f>I297*0.9</f>
        <v>1800</v>
      </c>
      <c r="L297" s="228" t="s">
        <v>651</v>
      </c>
      <c r="M297" s="202"/>
      <c r="N297" s="225">
        <v>30</v>
      </c>
      <c r="O297" s="206"/>
      <c r="P297" s="205"/>
      <c r="Q297" s="205"/>
      <c r="R297" s="205"/>
      <c r="S297" s="202"/>
      <c r="U297" s="226"/>
    </row>
    <row ht="18.75" r="298" spans="1:21" s="223" customFormat="1">
      <c r="A298" s="246">
        <v>335</v>
      </c>
      <c r="B298" s="228"/>
      <c r="C298" s="228" t="s">
        <v>1225</v>
      </c>
      <c r="D298" s="228" t="s">
        <v>1187</v>
      </c>
      <c r="E298" s="229">
        <v>60</v>
      </c>
      <c r="F298" s="227">
        <v>30</v>
      </c>
      <c r="G298" s="228">
        <f>E298*F298</f>
        <v>1800</v>
      </c>
      <c r="H298" s="228">
        <v>200</v>
      </c>
      <c r="I298" s="229">
        <f>G298+H298</f>
        <v>2000</v>
      </c>
      <c r="J298" s="229">
        <f>I298*0.1</f>
        <v>200</v>
      </c>
      <c r="K298" s="227">
        <f>I298*0.9</f>
        <v>1800</v>
      </c>
      <c r="L298" s="228" t="s">
        <v>651</v>
      </c>
      <c r="M298" s="202"/>
      <c r="N298" s="225">
        <v>30</v>
      </c>
      <c r="O298" s="206"/>
      <c r="P298" s="205"/>
      <c r="Q298" s="205"/>
      <c r="R298" s="205"/>
      <c r="S298" s="202"/>
      <c r="U298" s="226"/>
    </row>
    <row ht="15.75" customHeight="1" r="299" spans="1:21" s="223" customFormat="1">
      <c r="A299" s="246">
        <v>336</v>
      </c>
      <c r="B299" s="228"/>
      <c r="C299" s="228" t="s">
        <v>1199</v>
      </c>
      <c r="D299" s="228" t="s">
        <v>1187</v>
      </c>
      <c r="E299" s="229">
        <v>60</v>
      </c>
      <c r="F299" s="227">
        <v>30</v>
      </c>
      <c r="G299" s="228">
        <f>E299*F299</f>
        <v>1800</v>
      </c>
      <c r="H299" s="228">
        <v>200</v>
      </c>
      <c r="I299" s="229">
        <f>G299+H299</f>
        <v>2000</v>
      </c>
      <c r="J299" s="229">
        <f>I299*0.1</f>
        <v>200</v>
      </c>
      <c r="K299" s="227">
        <f>I299*0.9</f>
        <v>1800</v>
      </c>
      <c r="L299" s="228" t="s">
        <v>651</v>
      </c>
      <c r="M299" s="202"/>
      <c r="N299" s="225">
        <v>30</v>
      </c>
      <c r="O299" s="206"/>
      <c r="P299" s="205"/>
      <c r="Q299" s="205"/>
      <c r="R299" s="205"/>
      <c r="S299" s="202"/>
      <c r="U299" s="226"/>
    </row>
    <row ht="18.75" r="300" spans="1:21" s="223" customFormat="1">
      <c r="A300" s="246">
        <v>337</v>
      </c>
      <c r="B300" s="228"/>
      <c r="C300" s="228" t="s">
        <v>1226</v>
      </c>
      <c r="D300" s="228" t="s">
        <v>1187</v>
      </c>
      <c r="E300" s="229">
        <v>60</v>
      </c>
      <c r="F300" s="227">
        <v>30</v>
      </c>
      <c r="G300" s="228">
        <f>E300*F300</f>
        <v>1800</v>
      </c>
      <c r="H300" s="228">
        <v>200</v>
      </c>
      <c r="I300" s="229">
        <f>G300+H300</f>
        <v>2000</v>
      </c>
      <c r="J300" s="229">
        <f>I300*0.1</f>
        <v>200</v>
      </c>
      <c r="K300" s="227">
        <f>I300*0.9</f>
        <v>1800</v>
      </c>
      <c r="L300" s="228" t="s">
        <v>651</v>
      </c>
      <c r="M300" s="202"/>
      <c r="N300" s="225">
        <v>30</v>
      </c>
      <c r="O300" s="206"/>
      <c r="P300" s="205"/>
      <c r="Q300" s="205"/>
      <c r="R300" s="205"/>
      <c r="S300" s="202"/>
      <c r="U300" s="226"/>
    </row>
    <row ht="18.75" r="301" spans="1:21" s="223" customFormat="1">
      <c r="A301" s="246">
        <v>338</v>
      </c>
      <c r="B301" s="228"/>
      <c r="C301" s="228" t="s">
        <v>1227</v>
      </c>
      <c r="D301" s="228" t="s">
        <v>1187</v>
      </c>
      <c r="E301" s="229">
        <v>60</v>
      </c>
      <c r="F301" s="227">
        <v>30</v>
      </c>
      <c r="G301" s="228">
        <f>E301*F301</f>
        <v>1800</v>
      </c>
      <c r="H301" s="228">
        <v>200</v>
      </c>
      <c r="I301" s="229">
        <f>G301+H301</f>
        <v>2000</v>
      </c>
      <c r="J301" s="229">
        <f>I301*0.1</f>
        <v>200</v>
      </c>
      <c r="K301" s="227">
        <f>I301*0.9</f>
        <v>1800</v>
      </c>
      <c r="L301" s="228" t="s">
        <v>651</v>
      </c>
      <c r="M301" s="202"/>
      <c r="N301" s="225">
        <v>30</v>
      </c>
      <c r="O301" s="206"/>
      <c r="P301" s="205"/>
      <c r="Q301" s="205"/>
      <c r="R301" s="205"/>
      <c r="S301" s="202"/>
      <c r="U301" s="226"/>
    </row>
    <row ht="18.75" r="302" spans="1:21" s="223" customFormat="1">
      <c r="A302" s="246">
        <v>339</v>
      </c>
      <c r="B302" s="228"/>
      <c r="C302" s="228" t="s">
        <v>1228</v>
      </c>
      <c r="D302" s="228" t="s">
        <v>1187</v>
      </c>
      <c r="E302" s="229">
        <v>60</v>
      </c>
      <c r="F302" s="227">
        <v>30</v>
      </c>
      <c r="G302" s="228">
        <f>E302*F302</f>
        <v>1800</v>
      </c>
      <c r="H302" s="228">
        <v>200</v>
      </c>
      <c r="I302" s="229">
        <f>G302+H302</f>
        <v>2000</v>
      </c>
      <c r="J302" s="229">
        <f>I302*0.1</f>
        <v>200</v>
      </c>
      <c r="K302" s="227">
        <f>I302*0.9</f>
        <v>1800</v>
      </c>
      <c r="L302" s="228" t="s">
        <v>651</v>
      </c>
      <c r="M302" s="202"/>
      <c r="N302" s="225">
        <v>30</v>
      </c>
      <c r="O302" s="206"/>
      <c r="P302" s="205"/>
      <c r="Q302" s="205"/>
      <c r="R302" s="205"/>
      <c r="S302" s="202"/>
      <c r="U302" s="226"/>
    </row>
    <row ht="18.75" r="303" spans="1:21" s="223" customFormat="1">
      <c r="A303" s="246">
        <v>340</v>
      </c>
      <c r="B303" s="228"/>
      <c r="C303" s="228" t="s">
        <v>1229</v>
      </c>
      <c r="D303" s="228" t="s">
        <v>1187</v>
      </c>
      <c r="E303" s="229">
        <v>60</v>
      </c>
      <c r="F303" s="227">
        <v>30</v>
      </c>
      <c r="G303" s="228">
        <f>E303*F303</f>
        <v>1800</v>
      </c>
      <c r="H303" s="228">
        <v>200</v>
      </c>
      <c r="I303" s="229">
        <f>G303+H303</f>
        <v>2000</v>
      </c>
      <c r="J303" s="229">
        <f>I303*0.1</f>
        <v>200</v>
      </c>
      <c r="K303" s="227">
        <f>I303*0.9</f>
        <v>1800</v>
      </c>
      <c r="L303" s="228" t="s">
        <v>651</v>
      </c>
      <c r="M303" s="202"/>
      <c r="N303" s="225">
        <v>30</v>
      </c>
      <c r="O303" s="206"/>
      <c r="P303" s="205"/>
      <c r="Q303" s="205"/>
      <c r="R303" s="205"/>
      <c r="S303" s="202"/>
      <c r="U303" s="226"/>
    </row>
    <row ht="18.75" r="304" spans="1:21" s="223" customFormat="1">
      <c r="A304" s="246">
        <v>341</v>
      </c>
      <c r="B304" s="228"/>
      <c r="C304" s="228" t="s">
        <v>1230</v>
      </c>
      <c r="D304" s="228" t="s">
        <v>1187</v>
      </c>
      <c r="E304" s="229">
        <v>60</v>
      </c>
      <c r="F304" s="227">
        <v>30</v>
      </c>
      <c r="G304" s="228">
        <f>E304*F304</f>
        <v>1800</v>
      </c>
      <c r="H304" s="228">
        <v>200</v>
      </c>
      <c r="I304" s="229">
        <f>G304+H304</f>
        <v>2000</v>
      </c>
      <c r="J304" s="229">
        <f>I304*0.1</f>
        <v>200</v>
      </c>
      <c r="K304" s="227">
        <f>I304*0.9</f>
        <v>1800</v>
      </c>
      <c r="L304" s="228" t="s">
        <v>651</v>
      </c>
      <c r="M304" s="202"/>
      <c r="N304" s="225">
        <v>30</v>
      </c>
      <c r="O304" s="206"/>
      <c r="P304" s="205"/>
      <c r="Q304" s="205"/>
      <c r="R304" s="205"/>
      <c r="S304" s="202"/>
      <c r="U304" s="226"/>
    </row>
    <row ht="18.75" r="305" spans="1:21" s="223" customFormat="1">
      <c r="A305" s="246">
        <v>342</v>
      </c>
      <c r="B305" s="228"/>
      <c r="C305" s="228" t="s">
        <v>1220</v>
      </c>
      <c r="D305" s="228" t="s">
        <v>1187</v>
      </c>
      <c r="E305" s="229">
        <v>60</v>
      </c>
      <c r="F305" s="227">
        <v>30</v>
      </c>
      <c r="G305" s="228">
        <f>E305*F305</f>
        <v>1800</v>
      </c>
      <c r="H305" s="228">
        <v>200</v>
      </c>
      <c r="I305" s="229">
        <f>G305+H305</f>
        <v>2000</v>
      </c>
      <c r="J305" s="229">
        <f>I305*0.1</f>
        <v>200</v>
      </c>
      <c r="K305" s="227">
        <f>I305*0.9</f>
        <v>1800</v>
      </c>
      <c r="L305" s="228" t="s">
        <v>651</v>
      </c>
      <c r="M305" s="202"/>
      <c r="N305" s="225">
        <v>30</v>
      </c>
      <c r="O305" s="206"/>
      <c r="P305" s="205"/>
      <c r="Q305" s="205"/>
      <c r="R305" s="205"/>
      <c r="S305" s="202"/>
      <c r="U305" s="226"/>
    </row>
    <row ht="18.75" r="306" spans="1:21" s="223" customFormat="1">
      <c r="A306" s="246">
        <v>343</v>
      </c>
      <c r="B306" s="228"/>
      <c r="C306" s="228" t="s">
        <v>1232</v>
      </c>
      <c r="D306" s="228" t="s">
        <v>1187</v>
      </c>
      <c r="E306" s="229">
        <v>60</v>
      </c>
      <c r="F306" s="227">
        <v>30</v>
      </c>
      <c r="G306" s="228">
        <f>E306*F306</f>
        <v>1800</v>
      </c>
      <c r="H306" s="228">
        <v>200</v>
      </c>
      <c r="I306" s="229">
        <f>G306+H306</f>
        <v>2000</v>
      </c>
      <c r="J306" s="229">
        <f>I306*0.1</f>
        <v>200</v>
      </c>
      <c r="K306" s="227">
        <f>I306*0.9</f>
        <v>1800</v>
      </c>
      <c r="L306" s="228" t="s">
        <v>651</v>
      </c>
      <c r="M306" s="202"/>
      <c r="N306" s="225">
        <v>30</v>
      </c>
      <c r="O306" s="202"/>
      <c r="P306" s="202"/>
      <c r="Q306" s="202"/>
      <c r="R306" s="202"/>
      <c r="S306" s="202"/>
      <c r="U306" s="226"/>
    </row>
    <row ht="18.75" r="307" spans="1:21" s="223" customFormat="1">
      <c r="A307" s="246">
        <v>344</v>
      </c>
      <c r="B307" s="228"/>
      <c r="C307" s="228" t="s">
        <v>1233</v>
      </c>
      <c r="D307" s="228" t="s">
        <v>1187</v>
      </c>
      <c r="E307" s="229">
        <v>60</v>
      </c>
      <c r="F307" s="227">
        <v>30</v>
      </c>
      <c r="G307" s="228">
        <f>E307*F307</f>
        <v>1800</v>
      </c>
      <c r="H307" s="228">
        <v>200</v>
      </c>
      <c r="I307" s="229">
        <f>G307+H307</f>
        <v>2000</v>
      </c>
      <c r="J307" s="229">
        <f>I307*0.1</f>
        <v>200</v>
      </c>
      <c r="K307" s="227">
        <f>I307*0.9</f>
        <v>1800</v>
      </c>
      <c r="L307" s="228" t="s">
        <v>651</v>
      </c>
      <c r="M307" s="202"/>
      <c r="N307" s="225">
        <v>30</v>
      </c>
      <c r="O307" s="206"/>
      <c r="P307" s="205"/>
      <c r="Q307" s="205"/>
      <c r="R307" s="205"/>
      <c r="S307" s="202"/>
      <c r="U307" s="226"/>
    </row>
    <row ht="15.75" r="308" spans="1:21" s="228" customFormat="1">
      <c r="A308" s="246">
        <v>441</v>
      </c>
      <c r="C308" s="228" t="s">
        <v>1374</v>
      </c>
      <c r="D308" s="228" t="s">
        <v>1372</v>
      </c>
      <c r="E308" s="228">
        <v>15</v>
      </c>
      <c r="F308" s="227">
        <f>N308</f>
        <v>30</v>
      </c>
      <c r="G308" s="228">
        <f>E308*F308</f>
        <v>450</v>
      </c>
      <c r="H308" s="228">
        <v>225</v>
      </c>
      <c r="I308" s="229">
        <f>G308+H308</f>
        <v>675</v>
      </c>
      <c r="J308" s="229">
        <f>I308*0.1</f>
        <v>67.5</v>
      </c>
      <c r="K308" s="227">
        <f>I308*0.9</f>
        <v>607.5</v>
      </c>
      <c r="L308" s="228" t="s">
        <v>651</v>
      </c>
      <c r="N308" s="227">
        <v>30</v>
      </c>
      <c r="U308" s="229"/>
    </row>
    <row ht="15.75" r="309" spans="1:21" s="228" customFormat="1">
      <c r="A309" s="246">
        <v>442</v>
      </c>
      <c r="C309" s="228" t="s">
        <v>1373</v>
      </c>
      <c r="D309" s="228" t="s">
        <v>1372</v>
      </c>
      <c r="E309" s="228">
        <v>15</v>
      </c>
      <c r="F309" s="227">
        <f>N309</f>
        <v>30</v>
      </c>
      <c r="G309" s="228">
        <f>E309*F309</f>
        <v>450</v>
      </c>
      <c r="H309" s="228">
        <v>225</v>
      </c>
      <c r="I309" s="229">
        <f>G309+H309</f>
        <v>675</v>
      </c>
      <c r="J309" s="229">
        <f>I309*0.1</f>
        <v>67.5</v>
      </c>
      <c r="K309" s="227">
        <f>I309*0.9</f>
        <v>607.5</v>
      </c>
      <c r="L309" s="228" t="s">
        <v>651</v>
      </c>
      <c r="N309" s="227">
        <v>30</v>
      </c>
      <c r="U309" s="229"/>
    </row>
    <row ht="15.75" r="310" spans="1:21" s="228" customFormat="1">
      <c r="A310" s="246">
        <v>443</v>
      </c>
      <c r="C310" s="228" t="s">
        <v>1371</v>
      </c>
      <c r="D310" s="228" t="s">
        <v>1372</v>
      </c>
      <c r="E310" s="228">
        <v>15</v>
      </c>
      <c r="F310" s="227">
        <f>N310</f>
        <v>30</v>
      </c>
      <c r="G310" s="228">
        <f>E310*F310</f>
        <v>450</v>
      </c>
      <c r="H310" s="228">
        <v>225</v>
      </c>
      <c r="I310" s="229">
        <f>G310+H310</f>
        <v>675</v>
      </c>
      <c r="J310" s="229">
        <f>I310*0.1</f>
        <v>67.5</v>
      </c>
      <c r="K310" s="227">
        <f>I310*0.9</f>
        <v>607.5</v>
      </c>
      <c r="L310" s="228" t="s">
        <v>651</v>
      </c>
      <c r="N310" s="227">
        <v>30</v>
      </c>
      <c r="U310" s="229"/>
    </row>
    <row ht="15.75" r="311" spans="1:21" s="278" customFormat="1">
      <c r="A311" s="246">
        <v>409</v>
      </c>
      <c r="C311" s="278" t="s">
        <v>1379</v>
      </c>
      <c r="D311" s="278" t="s">
        <v>806</v>
      </c>
      <c r="E311" s="278">
        <v>18</v>
      </c>
      <c r="F311" s="278">
        <v>30</v>
      </c>
      <c r="G311" s="278">
        <v>540</v>
      </c>
      <c r="H311" s="278">
        <v>90</v>
      </c>
      <c r="I311" s="278">
        <v>630</v>
      </c>
      <c r="J311" s="279">
        <f>I311*0.1</f>
        <v>63</v>
      </c>
      <c r="K311" s="280">
        <f>I311*0.9</f>
        <v>567</v>
      </c>
      <c r="L311" s="278" t="s">
        <v>651</v>
      </c>
      <c r="N311" s="280">
        <v>30</v>
      </c>
    </row>
    <row ht="15.75" r="312" spans="1:21" s="278" customFormat="1">
      <c r="A312" s="246">
        <v>410</v>
      </c>
      <c r="C312" s="278" t="s">
        <v>1380</v>
      </c>
      <c r="D312" s="278" t="s">
        <v>806</v>
      </c>
      <c r="E312" s="278">
        <v>18</v>
      </c>
      <c r="F312" s="278">
        <v>30</v>
      </c>
      <c r="G312" s="278">
        <v>540</v>
      </c>
      <c r="H312" s="278">
        <v>90</v>
      </c>
      <c r="I312" s="278">
        <v>630</v>
      </c>
      <c r="J312" s="279">
        <f>I312*0.1</f>
        <v>63</v>
      </c>
      <c r="K312" s="280">
        <f>I312*0.9</f>
        <v>567</v>
      </c>
      <c r="L312" s="278" t="s">
        <v>651</v>
      </c>
      <c r="N312" s="280">
        <v>30</v>
      </c>
    </row>
    <row ht="15.75" r="313" spans="1:21" s="278" customFormat="1">
      <c r="A313" s="246">
        <v>411</v>
      </c>
      <c r="C313" s="278" t="s">
        <v>1381</v>
      </c>
      <c r="D313" s="278" t="s">
        <v>806</v>
      </c>
      <c r="E313" s="278">
        <v>18</v>
      </c>
      <c r="F313" s="278">
        <v>30</v>
      </c>
      <c r="G313" s="278">
        <v>540</v>
      </c>
      <c r="H313" s="278">
        <v>90</v>
      </c>
      <c r="I313" s="278">
        <v>630</v>
      </c>
      <c r="J313" s="279">
        <f>I313*0.1</f>
        <v>63</v>
      </c>
      <c r="K313" s="280">
        <f>I313*0.9</f>
        <v>567</v>
      </c>
      <c r="L313" s="278" t="s">
        <v>651</v>
      </c>
      <c r="N313" s="280">
        <v>30</v>
      </c>
    </row>
    <row ht="15.75" r="314" spans="1:21" s="278" customFormat="1">
      <c r="A314" s="246">
        <v>346</v>
      </c>
      <c r="C314" s="278" t="s">
        <v>1346</v>
      </c>
      <c r="D314" s="278" t="s">
        <v>806</v>
      </c>
      <c r="E314" s="278">
        <v>3</v>
      </c>
      <c r="F314" s="278">
        <v>30</v>
      </c>
      <c r="G314" s="278">
        <v>90</v>
      </c>
      <c r="H314" s="278">
        <v>15</v>
      </c>
      <c r="I314" s="278">
        <v>105</v>
      </c>
      <c r="J314" s="279">
        <f>I314*0.1</f>
        <v>10.5</v>
      </c>
      <c r="K314" s="280">
        <f>I314*0.9</f>
        <v>94.5</v>
      </c>
      <c r="L314" s="278" t="s">
        <v>651</v>
      </c>
      <c r="N314" s="280">
        <v>30</v>
      </c>
      <c r="U314" s="279"/>
    </row>
    <row ht="15.75" r="315" spans="1:21" s="278" customFormat="1">
      <c r="A315" s="246">
        <v>347</v>
      </c>
      <c r="C315" s="278" t="s">
        <v>1087</v>
      </c>
      <c r="D315" s="278" t="s">
        <v>806</v>
      </c>
      <c r="E315" s="278">
        <v>69</v>
      </c>
      <c r="F315" s="278">
        <v>30</v>
      </c>
      <c r="G315" s="278">
        <v>2070</v>
      </c>
      <c r="H315" s="278">
        <v>345</v>
      </c>
      <c r="I315" s="278">
        <v>2415</v>
      </c>
      <c r="J315" s="279">
        <f>I315*0.1</f>
        <v>241.5</v>
      </c>
      <c r="K315" s="280">
        <f>I315*0.9</f>
        <v>2173.5</v>
      </c>
      <c r="L315" s="278" t="s">
        <v>651</v>
      </c>
      <c r="N315" s="280">
        <v>30</v>
      </c>
      <c r="U315" s="279"/>
    </row>
    <row ht="15.75" r="316" spans="1:21" s="239" customFormat="1">
      <c r="A316" s="246">
        <v>495</v>
      </c>
      <c r="C316" s="239" t="s">
        <v>1288</v>
      </c>
      <c r="D316" s="239" t="s">
        <v>1289</v>
      </c>
      <c r="E316" s="241">
        <v>90</v>
      </c>
      <c r="F316" s="239">
        <v>60</v>
      </c>
      <c r="G316" s="239">
        <f>E316*F316</f>
        <v>5400</v>
      </c>
      <c r="H316" s="239">
        <v>600</v>
      </c>
      <c r="I316" s="241">
        <f>G316+H316</f>
        <v>6000</v>
      </c>
      <c r="J316" s="241">
        <f>I316*0.1</f>
        <v>600</v>
      </c>
      <c r="K316" s="240">
        <f>I316*0.9</f>
        <v>5400</v>
      </c>
      <c r="L316" s="239" t="s">
        <v>651</v>
      </c>
      <c r="N316" s="240">
        <v>60</v>
      </c>
      <c r="U316" s="241"/>
    </row>
    <row ht="15.75" r="317" spans="1:21" s="239" customFormat="1">
      <c r="A317" s="246">
        <v>531</v>
      </c>
      <c r="C317" s="239" t="s">
        <v>741</v>
      </c>
      <c r="D317" s="239" t="s">
        <v>620</v>
      </c>
      <c r="E317" s="239">
        <v>57</v>
      </c>
      <c r="F317" s="239">
        <v>60</v>
      </c>
      <c r="G317" s="239">
        <f>E317*F317</f>
        <v>3420</v>
      </c>
      <c r="H317" s="239">
        <f>E317*20/3</f>
        <v>380</v>
      </c>
      <c r="I317" s="239">
        <f>G317+H317</f>
        <v>3800</v>
      </c>
      <c r="J317" s="241">
        <f>I317*0.1</f>
        <v>380</v>
      </c>
      <c r="K317" s="240">
        <f>I317*0.9</f>
        <v>3420</v>
      </c>
      <c r="L317" s="239" t="s">
        <v>651</v>
      </c>
      <c r="N317" s="240"/>
    </row>
    <row ht="15.75" r="318" spans="1:21" s="239" customFormat="1">
      <c r="A318" s="246">
        <v>532</v>
      </c>
      <c r="C318" s="239" t="s">
        <v>1339</v>
      </c>
      <c r="D318" s="239" t="s">
        <v>620</v>
      </c>
      <c r="E318" s="239">
        <v>3</v>
      </c>
      <c r="F318" s="239">
        <v>60</v>
      </c>
      <c r="G318" s="239">
        <f>E318*F318</f>
        <v>180</v>
      </c>
      <c r="H318" s="239">
        <f>E318*20/3</f>
        <v>20</v>
      </c>
      <c r="I318" s="239">
        <f>G318+H318</f>
        <v>200</v>
      </c>
      <c r="J318" s="241">
        <f>I318*0.1</f>
        <v>20</v>
      </c>
      <c r="K318" s="240">
        <f>I318*0.9</f>
        <v>180</v>
      </c>
      <c r="L318" s="239" t="s">
        <v>651</v>
      </c>
      <c r="N318" s="240"/>
    </row>
    <row ht="15.75" r="319" spans="1:21" s="239" customFormat="1">
      <c r="A319" s="246">
        <v>587</v>
      </c>
      <c r="C319" s="239" t="s">
        <v>529</v>
      </c>
      <c r="D319" s="239" t="s">
        <v>620</v>
      </c>
      <c r="E319" s="239">
        <v>33</v>
      </c>
      <c r="F319" s="239">
        <v>60</v>
      </c>
      <c r="G319" s="239">
        <f>E319*F319</f>
        <v>1980</v>
      </c>
      <c r="H319" s="239">
        <f>E319*20/3</f>
        <v>220</v>
      </c>
      <c r="I319" s="239">
        <f>G319+H319</f>
        <v>2200</v>
      </c>
      <c r="J319" s="241">
        <f>I319*0.1</f>
        <v>220</v>
      </c>
      <c r="K319" s="240">
        <f>I319*0.9</f>
        <v>1980</v>
      </c>
      <c r="L319" s="239" t="s">
        <v>651</v>
      </c>
      <c r="N319" s="240"/>
      <c r="O319" s="281"/>
    </row>
    <row ht="15.75" r="320" spans="1:21" s="239" customFormat="1">
      <c r="A320" s="246">
        <v>588</v>
      </c>
      <c r="C320" s="239" t="s">
        <v>1145</v>
      </c>
      <c r="D320" s="239" t="s">
        <v>620</v>
      </c>
      <c r="E320" s="239">
        <v>39</v>
      </c>
      <c r="F320" s="239">
        <v>60</v>
      </c>
      <c r="G320" s="239">
        <f>E320*F320</f>
        <v>2340</v>
      </c>
      <c r="H320" s="239">
        <f>E320*20/3</f>
        <v>260</v>
      </c>
      <c r="I320" s="239">
        <f>G320+H320</f>
        <v>2600</v>
      </c>
      <c r="J320" s="241">
        <f>I320*0.1</f>
        <v>260</v>
      </c>
      <c r="K320" s="240">
        <f>I320*0.9</f>
        <v>2340</v>
      </c>
      <c r="L320" s="239" t="s">
        <v>651</v>
      </c>
      <c r="N320" s="240"/>
      <c r="O320" s="281"/>
    </row>
    <row ht="15.75" r="321" spans="1:21" s="239" customFormat="1">
      <c r="A321" s="246">
        <v>529</v>
      </c>
      <c r="C321" s="239" t="s">
        <v>549</v>
      </c>
      <c r="D321" s="239" t="s">
        <v>620</v>
      </c>
      <c r="E321" s="239">
        <v>51</v>
      </c>
      <c r="F321" s="239">
        <v>60</v>
      </c>
      <c r="G321" s="239">
        <f>E321*F321</f>
        <v>3060</v>
      </c>
      <c r="H321" s="239">
        <f>E321*20/3</f>
        <v>340</v>
      </c>
      <c r="I321" s="239">
        <f>G321+H321</f>
        <v>3400</v>
      </c>
      <c r="J321" s="241">
        <f>I321*0.1</f>
        <v>340</v>
      </c>
      <c r="K321" s="240">
        <f>I321*0.9</f>
        <v>3060</v>
      </c>
      <c r="L321" s="239" t="s">
        <v>651</v>
      </c>
      <c r="N321" s="240"/>
    </row>
    <row ht="15.75" r="322" spans="1:21" s="239" customFormat="1">
      <c r="A322" s="246">
        <v>580</v>
      </c>
      <c r="C322" s="239" t="s">
        <v>552</v>
      </c>
      <c r="D322" s="239" t="s">
        <v>620</v>
      </c>
      <c r="E322" s="239">
        <v>21</v>
      </c>
      <c r="F322" s="239">
        <v>60</v>
      </c>
      <c r="G322" s="239">
        <f>E322*F322</f>
        <v>1260</v>
      </c>
      <c r="H322" s="239">
        <f>E322*20/3</f>
        <v>140</v>
      </c>
      <c r="I322" s="239">
        <f>G322+H322</f>
        <v>1400</v>
      </c>
      <c r="J322" s="241">
        <f>I322*0.1</f>
        <v>140</v>
      </c>
      <c r="K322" s="240">
        <f>I322*0.9</f>
        <v>1260</v>
      </c>
      <c r="L322" s="239" t="s">
        <v>651</v>
      </c>
      <c r="N322" s="240"/>
      <c r="O322" s="281"/>
    </row>
    <row ht="15.75" r="323" spans="1:21" s="239" customFormat="1">
      <c r="A323" s="246">
        <v>582</v>
      </c>
      <c r="C323" s="239" t="s">
        <v>1340</v>
      </c>
      <c r="D323" s="239" t="s">
        <v>620</v>
      </c>
      <c r="E323" s="239">
        <v>6</v>
      </c>
      <c r="F323" s="239">
        <v>60</v>
      </c>
      <c r="G323" s="239">
        <f>E323*F323</f>
        <v>360</v>
      </c>
      <c r="H323" s="239">
        <f>E323*20/3</f>
        <v>40</v>
      </c>
      <c r="I323" s="239">
        <f>G323+H323</f>
        <v>400</v>
      </c>
      <c r="J323" s="241">
        <f>I323*0.1</f>
        <v>40</v>
      </c>
      <c r="K323" s="240">
        <f>I323*0.9</f>
        <v>360</v>
      </c>
      <c r="L323" s="239" t="s">
        <v>651</v>
      </c>
      <c r="N323" s="240"/>
      <c r="O323" s="281"/>
    </row>
    <row ht="15.75" r="324" spans="1:21" s="239" customFormat="1">
      <c r="A324" s="246">
        <v>585</v>
      </c>
      <c r="C324" s="239" t="s">
        <v>1341</v>
      </c>
      <c r="D324" s="239" t="s">
        <v>620</v>
      </c>
      <c r="E324" s="239">
        <v>3</v>
      </c>
      <c r="F324" s="239">
        <v>60</v>
      </c>
      <c r="G324" s="239">
        <f>E324*F324</f>
        <v>180</v>
      </c>
      <c r="H324" s="239">
        <f>E324*20/3</f>
        <v>20</v>
      </c>
      <c r="I324" s="239">
        <f>G324+H324</f>
        <v>200</v>
      </c>
      <c r="J324" s="241">
        <f>I324*0.1</f>
        <v>20</v>
      </c>
      <c r="K324" s="240">
        <f>I324*0.9</f>
        <v>180</v>
      </c>
      <c r="L324" s="239" t="s">
        <v>651</v>
      </c>
      <c r="N324" s="240"/>
      <c r="O324" s="281"/>
    </row>
    <row ht="15.75" r="325" spans="1:21" s="239" customFormat="1">
      <c r="A325" s="246">
        <v>596</v>
      </c>
      <c r="C325" s="239" t="s">
        <v>550</v>
      </c>
      <c r="D325" s="239" t="s">
        <v>620</v>
      </c>
      <c r="E325" s="239">
        <v>6</v>
      </c>
      <c r="F325" s="239">
        <v>60</v>
      </c>
      <c r="G325" s="239">
        <f>E325*F325</f>
        <v>360</v>
      </c>
      <c r="H325" s="239">
        <f>E325*20/3</f>
        <v>40</v>
      </c>
      <c r="I325" s="240">
        <f>G325+H325</f>
        <v>400</v>
      </c>
      <c r="J325" s="241">
        <f>I325*0.1</f>
        <v>40</v>
      </c>
      <c r="K325" s="240">
        <f>I325*0.9</f>
        <v>360</v>
      </c>
      <c r="L325" s="239" t="s">
        <v>651</v>
      </c>
      <c r="N325" s="240"/>
      <c r="O325" s="281"/>
    </row>
    <row ht="15.75" r="326" spans="1:21" s="239" customFormat="1">
      <c r="A326" s="246">
        <v>576</v>
      </c>
      <c r="C326" s="239" t="s">
        <v>1142</v>
      </c>
      <c r="D326" s="239" t="s">
        <v>620</v>
      </c>
      <c r="E326" s="239">
        <v>45</v>
      </c>
      <c r="F326" s="239">
        <v>60</v>
      </c>
      <c r="G326" s="239">
        <f>E326*F326</f>
        <v>2700</v>
      </c>
      <c r="H326" s="239">
        <f>E326*20/3</f>
        <v>300</v>
      </c>
      <c r="I326" s="239">
        <f>G326+H326</f>
        <v>3000</v>
      </c>
      <c r="J326" s="241">
        <f>I326*0.1</f>
        <v>300</v>
      </c>
      <c r="K326" s="240">
        <f>I326*0.9</f>
        <v>2700</v>
      </c>
      <c r="L326" s="239" t="s">
        <v>651</v>
      </c>
      <c r="N326" s="240"/>
      <c r="O326" s="281"/>
    </row>
    <row ht="15.75" r="327" spans="1:21" s="239" customFormat="1">
      <c r="A327" s="246">
        <v>556</v>
      </c>
      <c r="C327" s="239" t="s">
        <v>535</v>
      </c>
      <c r="D327" s="239" t="s">
        <v>620</v>
      </c>
      <c r="E327" s="239">
        <v>33</v>
      </c>
      <c r="F327" s="239">
        <v>60</v>
      </c>
      <c r="G327" s="239">
        <f>E327*F327</f>
        <v>1980</v>
      </c>
      <c r="H327" s="239">
        <f>E327*20/3</f>
        <v>220</v>
      </c>
      <c r="I327" s="239">
        <f>G327+H327</f>
        <v>2200</v>
      </c>
      <c r="J327" s="241">
        <f>I327*0.1</f>
        <v>220</v>
      </c>
      <c r="K327" s="240">
        <f>I327*0.9</f>
        <v>1980</v>
      </c>
      <c r="L327" s="239" t="s">
        <v>651</v>
      </c>
      <c r="N327" s="240"/>
      <c r="O327" s="281"/>
    </row>
    <row ht="15.75" r="328" spans="1:21" s="239" customFormat="1">
      <c r="A328" s="246">
        <v>548</v>
      </c>
      <c r="C328" s="239" t="s">
        <v>534</v>
      </c>
      <c r="D328" s="239" t="s">
        <v>620</v>
      </c>
      <c r="E328" s="239">
        <v>45</v>
      </c>
      <c r="F328" s="239">
        <v>60</v>
      </c>
      <c r="G328" s="239">
        <f>E328*F328</f>
        <v>2700</v>
      </c>
      <c r="H328" s="239">
        <f>E328*20/3</f>
        <v>300</v>
      </c>
      <c r="I328" s="239">
        <f>G328+H328</f>
        <v>3000</v>
      </c>
      <c r="J328" s="241">
        <f>I328*0.1</f>
        <v>300</v>
      </c>
      <c r="K328" s="240">
        <f>I328*0.9</f>
        <v>2700</v>
      </c>
      <c r="L328" s="239" t="s">
        <v>651</v>
      </c>
      <c r="N328" s="240"/>
      <c r="O328" s="281"/>
    </row>
    <row ht="18.75" r="329" spans="1:21" s="275" customFormat="1">
      <c r="A329" s="246">
        <v>228</v>
      </c>
      <c r="B329" s="272"/>
      <c r="C329" s="272" t="s">
        <v>1304</v>
      </c>
      <c r="D329" s="272" t="s">
        <v>843</v>
      </c>
      <c r="E329" s="273">
        <v>100</v>
      </c>
      <c r="F329" s="274">
        <f>N329</f>
        <v>30</v>
      </c>
      <c r="G329" s="272">
        <f>E329*F329</f>
        <v>3000</v>
      </c>
      <c r="H329" s="272">
        <v>500</v>
      </c>
      <c r="I329" s="273">
        <f>G329+H329</f>
        <v>3500</v>
      </c>
      <c r="J329" s="273">
        <f>I329*0.1</f>
        <v>350</v>
      </c>
      <c r="K329" s="274">
        <f>I329*0.9</f>
        <v>3150</v>
      </c>
      <c r="L329" s="272" t="s">
        <v>651</v>
      </c>
      <c r="N329" s="276">
        <v>30</v>
      </c>
      <c r="O329" s="277">
        <v>40</v>
      </c>
    </row>
    <row ht="15.75" r="330" spans="1:21" s="228" customFormat="1">
      <c r="A330" s="246">
        <v>444</v>
      </c>
      <c r="C330" s="228" t="s">
        <v>786</v>
      </c>
      <c r="D330" s="228" t="s">
        <v>769</v>
      </c>
      <c r="E330" s="228">
        <v>18</v>
      </c>
      <c r="F330" s="227">
        <f>N330</f>
        <v>30</v>
      </c>
      <c r="G330" s="228">
        <f>E330*F330</f>
        <v>540</v>
      </c>
      <c r="H330" s="228">
        <v>270</v>
      </c>
      <c r="I330" s="229">
        <f>G330+H330</f>
        <v>810</v>
      </c>
      <c r="J330" s="229">
        <f>I330*0.1</f>
        <v>81</v>
      </c>
      <c r="K330" s="227">
        <f>I330*0.9</f>
        <v>729</v>
      </c>
      <c r="L330" s="272" t="s">
        <v>651</v>
      </c>
      <c r="N330" s="227">
        <v>30</v>
      </c>
      <c r="U330" s="229"/>
    </row>
    <row ht="15.75" r="331" spans="1:21" s="228" customFormat="1">
      <c r="A331" s="246">
        <v>445</v>
      </c>
      <c r="C331" s="228" t="s">
        <v>785</v>
      </c>
      <c r="D331" s="228" t="s">
        <v>769</v>
      </c>
      <c r="E331" s="228">
        <v>18</v>
      </c>
      <c r="F331" s="227">
        <f>N331</f>
        <v>30</v>
      </c>
      <c r="G331" s="228">
        <f>E331*F331</f>
        <v>540</v>
      </c>
      <c r="H331" s="228">
        <v>270</v>
      </c>
      <c r="I331" s="229">
        <f>G331+H331</f>
        <v>810</v>
      </c>
      <c r="J331" s="229">
        <f>I331*0.1</f>
        <v>81</v>
      </c>
      <c r="K331" s="227">
        <f>I331*0.9</f>
        <v>729</v>
      </c>
      <c r="L331" s="272" t="s">
        <v>651</v>
      </c>
      <c r="N331" s="227">
        <v>30</v>
      </c>
      <c r="O331" s="228">
        <v>18</v>
      </c>
      <c r="P331" s="229"/>
      <c r="U331" s="229"/>
    </row>
    <row ht="15.75" r="332" spans="1:21" s="228" customFormat="1">
      <c r="A332" s="246">
        <v>446</v>
      </c>
      <c r="C332" s="228" t="s">
        <v>784</v>
      </c>
      <c r="D332" s="228" t="s">
        <v>769</v>
      </c>
      <c r="E332" s="228">
        <v>15</v>
      </c>
      <c r="F332" s="227">
        <f>N332</f>
        <v>30</v>
      </c>
      <c r="G332" s="228">
        <f>E332*F332</f>
        <v>450</v>
      </c>
      <c r="H332" s="228">
        <v>225</v>
      </c>
      <c r="I332" s="229">
        <f>G332+H332</f>
        <v>675</v>
      </c>
      <c r="J332" s="229">
        <f>I332*0.1</f>
        <v>67.5</v>
      </c>
      <c r="K332" s="227">
        <f>I332*0.9</f>
        <v>607.5</v>
      </c>
      <c r="L332" s="272" t="s">
        <v>651</v>
      </c>
      <c r="N332" s="227">
        <v>30</v>
      </c>
      <c r="O332" s="228">
        <v>14</v>
      </c>
      <c r="P332" s="229"/>
      <c r="U332" s="229"/>
    </row>
    <row ht="15.75" r="333" spans="1:21" s="228" customFormat="1">
      <c r="A333" s="246">
        <v>447</v>
      </c>
      <c r="C333" s="228" t="s">
        <v>783</v>
      </c>
      <c r="D333" s="228" t="s">
        <v>769</v>
      </c>
      <c r="E333" s="228">
        <v>15</v>
      </c>
      <c r="F333" s="227">
        <v>30</v>
      </c>
      <c r="G333" s="228">
        <f>E333*F333</f>
        <v>450</v>
      </c>
      <c r="H333" s="228">
        <v>225</v>
      </c>
      <c r="I333" s="229">
        <f>G333+H333</f>
        <v>675</v>
      </c>
      <c r="J333" s="229">
        <f>I333*0.1</f>
        <v>67.5</v>
      </c>
      <c r="K333" s="227">
        <f>I333*0.9</f>
        <v>607.5</v>
      </c>
      <c r="L333" s="272" t="s">
        <v>651</v>
      </c>
      <c r="N333" s="227"/>
      <c r="P333" s="229"/>
      <c r="U333" s="229"/>
    </row>
    <row ht="15.75" r="334" spans="1:21" s="228" customFormat="1">
      <c r="A334" s="246">
        <v>448</v>
      </c>
      <c r="C334" s="228" t="s">
        <v>782</v>
      </c>
      <c r="D334" s="228" t="s">
        <v>769</v>
      </c>
      <c r="E334" s="228">
        <v>18</v>
      </c>
      <c r="F334" s="227">
        <v>30</v>
      </c>
      <c r="G334" s="228">
        <f>E334*F334</f>
        <v>540</v>
      </c>
      <c r="H334" s="228">
        <v>270</v>
      </c>
      <c r="I334" s="229">
        <f>G334+H334</f>
        <v>810</v>
      </c>
      <c r="J334" s="229">
        <f>I334*0.1</f>
        <v>81</v>
      </c>
      <c r="K334" s="227">
        <f>I334*0.9</f>
        <v>729</v>
      </c>
      <c r="L334" s="272" t="s">
        <v>651</v>
      </c>
      <c r="N334" s="227">
        <v>30</v>
      </c>
      <c r="O334" s="228">
        <v>28</v>
      </c>
      <c r="P334" s="229"/>
      <c r="U334" s="229"/>
    </row>
    <row ht="15.75" r="335" spans="1:21" s="228" customFormat="1">
      <c r="A335" s="246">
        <v>450</v>
      </c>
      <c r="C335" s="228" t="s">
        <v>780</v>
      </c>
      <c r="D335" s="228" t="s">
        <v>769</v>
      </c>
      <c r="E335" s="228">
        <v>13</v>
      </c>
      <c r="F335" s="227">
        <v>30</v>
      </c>
      <c r="G335" s="228">
        <f>E335*F335</f>
        <v>390</v>
      </c>
      <c r="H335" s="228">
        <v>195</v>
      </c>
      <c r="I335" s="229">
        <f>G335+H335</f>
        <v>585</v>
      </c>
      <c r="J335" s="229">
        <f>I335*0.1</f>
        <v>58.5</v>
      </c>
      <c r="K335" s="227">
        <f>I335*0.9</f>
        <v>526.5</v>
      </c>
      <c r="L335" s="272" t="s">
        <v>651</v>
      </c>
      <c r="N335" s="227">
        <v>30</v>
      </c>
      <c r="P335" s="229"/>
    </row>
    <row ht="15.75" r="336" spans="1:21" s="228" customFormat="1">
      <c r="A336" s="246">
        <v>451</v>
      </c>
      <c r="C336" s="228" t="s">
        <v>779</v>
      </c>
      <c r="D336" s="228" t="s">
        <v>769</v>
      </c>
      <c r="E336" s="228">
        <v>15</v>
      </c>
      <c r="F336" s="227">
        <v>30</v>
      </c>
      <c r="G336" s="228">
        <f>E336*F336</f>
        <v>450</v>
      </c>
      <c r="H336" s="228">
        <v>225</v>
      </c>
      <c r="I336" s="229">
        <f>G336+H336</f>
        <v>675</v>
      </c>
      <c r="J336" s="229">
        <f>I336*0.1</f>
        <v>67.5</v>
      </c>
      <c r="K336" s="227">
        <f>I336*0.9</f>
        <v>607.5</v>
      </c>
      <c r="L336" s="272" t="s">
        <v>651</v>
      </c>
      <c r="N336" s="227">
        <v>30</v>
      </c>
      <c r="O336" s="228">
        <v>12</v>
      </c>
      <c r="P336" s="229"/>
    </row>
    <row ht="15.75" r="337" spans="1:21" s="228" customFormat="1">
      <c r="A337" s="246">
        <v>452</v>
      </c>
      <c r="C337" s="228" t="s">
        <v>778</v>
      </c>
      <c r="D337" s="228" t="s">
        <v>769</v>
      </c>
      <c r="E337" s="228">
        <v>15</v>
      </c>
      <c r="F337" s="227">
        <v>30</v>
      </c>
      <c r="G337" s="228">
        <f>E337*F337</f>
        <v>450</v>
      </c>
      <c r="H337" s="228">
        <v>255</v>
      </c>
      <c r="I337" s="229">
        <f>G337+H337</f>
        <v>705</v>
      </c>
      <c r="J337" s="229">
        <f>I337*0.1</f>
        <v>70.5</v>
      </c>
      <c r="K337" s="227">
        <f>I337*0.9</f>
        <v>634.5</v>
      </c>
      <c r="L337" s="272" t="s">
        <v>651</v>
      </c>
      <c r="N337" s="227">
        <v>30</v>
      </c>
      <c r="O337" s="228">
        <v>14</v>
      </c>
      <c r="P337" s="229"/>
    </row>
    <row ht="15.75" r="338" spans="1:21" s="228" customFormat="1">
      <c r="A338" s="246">
        <v>453</v>
      </c>
      <c r="C338" s="228" t="s">
        <v>777</v>
      </c>
      <c r="D338" s="228" t="s">
        <v>769</v>
      </c>
      <c r="E338" s="228">
        <v>10</v>
      </c>
      <c r="F338" s="227">
        <v>30</v>
      </c>
      <c r="G338" s="228">
        <f>E338*F338</f>
        <v>300</v>
      </c>
      <c r="H338" s="228">
        <f>PRODUCT(15*E338)</f>
        <v>150</v>
      </c>
      <c r="I338" s="229">
        <f>G338+H338</f>
        <v>450</v>
      </c>
      <c r="J338" s="229">
        <f>I338*0.1</f>
        <v>45</v>
      </c>
      <c r="K338" s="227">
        <f>I338*0.9</f>
        <v>405</v>
      </c>
      <c r="L338" s="272" t="s">
        <v>651</v>
      </c>
      <c r="N338" s="227">
        <v>30</v>
      </c>
      <c r="O338" s="228">
        <v>16</v>
      </c>
      <c r="P338" s="229"/>
    </row>
    <row ht="15.75" r="339" spans="1:21" s="228" customFormat="1">
      <c r="A339" s="246">
        <v>454</v>
      </c>
      <c r="C339" s="228" t="s">
        <v>776</v>
      </c>
      <c r="D339" s="228" t="s">
        <v>769</v>
      </c>
      <c r="E339" s="228">
        <v>18</v>
      </c>
      <c r="F339" s="227">
        <v>30</v>
      </c>
      <c r="G339" s="228">
        <f>E339*F339</f>
        <v>540</v>
      </c>
      <c r="H339" s="228">
        <f>PRODUCT(15*E339)</f>
        <v>270</v>
      </c>
      <c r="I339" s="229">
        <f>G339+H339</f>
        <v>810</v>
      </c>
      <c r="J339" s="229">
        <f>I339*0.1</f>
        <v>81</v>
      </c>
      <c r="K339" s="227">
        <f>I339*0.9</f>
        <v>729</v>
      </c>
      <c r="L339" s="272" t="s">
        <v>651</v>
      </c>
      <c r="N339" s="227">
        <v>30</v>
      </c>
      <c r="O339" s="228">
        <v>6</v>
      </c>
      <c r="P339" s="229"/>
    </row>
    <row ht="15.75" r="340" spans="1:21" s="228" customFormat="1">
      <c r="A340" s="246">
        <v>455</v>
      </c>
      <c r="C340" s="228" t="s">
        <v>775</v>
      </c>
      <c r="D340" s="228" t="s">
        <v>769</v>
      </c>
      <c r="E340" s="228">
        <v>5</v>
      </c>
      <c r="F340" s="227">
        <v>30</v>
      </c>
      <c r="G340" s="228">
        <f>E340*F340</f>
        <v>150</v>
      </c>
      <c r="H340" s="228">
        <f>PRODUCT(15*E340)</f>
        <v>75</v>
      </c>
      <c r="I340" s="229">
        <f>G340+H340</f>
        <v>225</v>
      </c>
      <c r="J340" s="229">
        <f>I340*0.1</f>
        <v>22.5</v>
      </c>
      <c r="K340" s="227">
        <f>I340*0.9</f>
        <v>202.5</v>
      </c>
      <c r="L340" s="272" t="s">
        <v>651</v>
      </c>
      <c r="N340" s="227">
        <v>30</v>
      </c>
      <c r="P340" s="229"/>
    </row>
    <row ht="15.75" r="341" spans="1:21" s="228" customFormat="1">
      <c r="A341" s="246">
        <v>456</v>
      </c>
      <c r="C341" s="228" t="s">
        <v>774</v>
      </c>
      <c r="D341" s="228" t="s">
        <v>769</v>
      </c>
      <c r="E341" s="228">
        <v>24</v>
      </c>
      <c r="F341" s="227">
        <v>30</v>
      </c>
      <c r="G341" s="228">
        <f>E341*F341</f>
        <v>720</v>
      </c>
      <c r="H341" s="228">
        <f>PRODUCT(15*E341)</f>
        <v>360</v>
      </c>
      <c r="I341" s="229">
        <f>G341+H341</f>
        <v>1080</v>
      </c>
      <c r="J341" s="229">
        <f>I341*0.1</f>
        <v>108</v>
      </c>
      <c r="K341" s="227">
        <f>I341*0.9</f>
        <v>972</v>
      </c>
      <c r="L341" s="272" t="s">
        <v>651</v>
      </c>
      <c r="N341" s="227">
        <v>60</v>
      </c>
      <c r="O341" s="228">
        <v>14</v>
      </c>
    </row>
    <row ht="15.75" r="342" spans="1:21" s="228" customFormat="1">
      <c r="A342" s="246">
        <v>457</v>
      </c>
      <c r="C342" s="228" t="s">
        <v>773</v>
      </c>
      <c r="D342" s="228" t="s">
        <v>769</v>
      </c>
      <c r="E342" s="228">
        <v>18</v>
      </c>
      <c r="F342" s="227">
        <v>30</v>
      </c>
      <c r="G342" s="228">
        <f>E342*F342</f>
        <v>540</v>
      </c>
      <c r="H342" s="228">
        <f>PRODUCT(15*E342)</f>
        <v>270</v>
      </c>
      <c r="I342" s="229">
        <f>G342+H342</f>
        <v>810</v>
      </c>
      <c r="J342" s="229">
        <f>I342*0.1</f>
        <v>81</v>
      </c>
      <c r="K342" s="227">
        <f>I342*0.9</f>
        <v>729</v>
      </c>
      <c r="L342" s="272" t="s">
        <v>651</v>
      </c>
      <c r="N342" s="227"/>
      <c r="P342" s="229"/>
    </row>
    <row ht="15.75" r="343" spans="1:21" s="228" customFormat="1">
      <c r="A343" s="246">
        <v>458</v>
      </c>
      <c r="C343" s="228" t="s">
        <v>772</v>
      </c>
      <c r="D343" s="228" t="s">
        <v>769</v>
      </c>
      <c r="E343" s="228">
        <v>13</v>
      </c>
      <c r="F343" s="227">
        <v>30</v>
      </c>
      <c r="G343" s="228">
        <f>E343*F343</f>
        <v>390</v>
      </c>
      <c r="H343" s="228">
        <f>PRODUCT(15*E343)</f>
        <v>195</v>
      </c>
      <c r="I343" s="229">
        <f>G343+H343</f>
        <v>585</v>
      </c>
      <c r="J343" s="229">
        <f>I343*0.1</f>
        <v>58.5</v>
      </c>
      <c r="K343" s="227">
        <f>I343*0.9</f>
        <v>526.5</v>
      </c>
      <c r="L343" s="272" t="s">
        <v>651</v>
      </c>
      <c r="N343" s="227"/>
      <c r="P343" s="229"/>
    </row>
    <row ht="15.75" r="344" spans="1:21" s="228" customFormat="1">
      <c r="A344" s="246">
        <v>459</v>
      </c>
      <c r="C344" s="228" t="s">
        <v>771</v>
      </c>
      <c r="D344" s="228" t="s">
        <v>769</v>
      </c>
      <c r="E344" s="228">
        <v>15</v>
      </c>
      <c r="F344" s="227">
        <v>30</v>
      </c>
      <c r="G344" s="228">
        <f>E344*F344</f>
        <v>450</v>
      </c>
      <c r="H344" s="228">
        <f>PRODUCT(15*E344)</f>
        <v>225</v>
      </c>
      <c r="I344" s="229">
        <f>G344+H344</f>
        <v>675</v>
      </c>
      <c r="J344" s="229">
        <f>I344*0.1</f>
        <v>67.5</v>
      </c>
      <c r="K344" s="227">
        <f>I344*0.9</f>
        <v>607.5</v>
      </c>
      <c r="L344" s="272" t="s">
        <v>651</v>
      </c>
      <c r="N344" s="227"/>
      <c r="P344" s="229"/>
    </row>
    <row ht="15.75" r="345" spans="1:21" s="228" customFormat="1">
      <c r="A345" s="246">
        <v>460</v>
      </c>
      <c r="C345" s="228" t="s">
        <v>770</v>
      </c>
      <c r="D345" s="228" t="s">
        <v>769</v>
      </c>
      <c r="E345" s="228">
        <v>15</v>
      </c>
      <c r="F345" s="227">
        <v>30</v>
      </c>
      <c r="G345" s="228">
        <f>E345*F345</f>
        <v>450</v>
      </c>
      <c r="H345" s="228">
        <f>PRODUCT(15*E345)</f>
        <v>225</v>
      </c>
      <c r="I345" s="229">
        <f>G345+H345</f>
        <v>675</v>
      </c>
      <c r="J345" s="229">
        <f>I345*0.1</f>
        <v>67.5</v>
      </c>
      <c r="K345" s="227">
        <f>I345*0.9</f>
        <v>607.5</v>
      </c>
      <c r="L345" s="272" t="s">
        <v>651</v>
      </c>
      <c r="N345" s="227"/>
      <c r="P345" s="229"/>
    </row>
    <row ht="15.75" r="346" spans="1:21" s="278" customFormat="1">
      <c r="A346" s="246">
        <v>362</v>
      </c>
      <c r="C346" s="278" t="s">
        <v>1382</v>
      </c>
      <c r="D346" s="278" t="s">
        <v>806</v>
      </c>
      <c r="E346" s="278">
        <v>5</v>
      </c>
      <c r="F346" s="278">
        <v>30</v>
      </c>
      <c r="G346" s="278">
        <v>150</v>
      </c>
      <c r="H346" s="278">
        <v>75</v>
      </c>
      <c r="I346" s="278">
        <v>225</v>
      </c>
      <c r="J346" s="279">
        <f>I346*0.1</f>
        <v>22.5</v>
      </c>
      <c r="K346" s="280">
        <f>I346*0.9</f>
        <v>202.5</v>
      </c>
      <c r="L346" s="272" t="s">
        <v>651</v>
      </c>
      <c r="N346" s="280">
        <v>30</v>
      </c>
      <c r="U346" s="279"/>
    </row>
    <row ht="15.75" r="347" spans="1:21" s="278" customFormat="1">
      <c r="A347" s="246">
        <v>363</v>
      </c>
      <c r="C347" s="278" t="s">
        <v>1383</v>
      </c>
      <c r="D347" s="278" t="s">
        <v>806</v>
      </c>
      <c r="E347" s="278">
        <v>35</v>
      </c>
      <c r="F347" s="278">
        <v>30</v>
      </c>
      <c r="G347" s="278">
        <v>1050</v>
      </c>
      <c r="H347" s="278">
        <v>525</v>
      </c>
      <c r="I347" s="278">
        <v>1575</v>
      </c>
      <c r="J347" s="279">
        <f>I347*0.1</f>
        <v>157.5</v>
      </c>
      <c r="K347" s="280">
        <f>I347*0.9</f>
        <v>1417.5</v>
      </c>
      <c r="L347" s="272" t="s">
        <v>651</v>
      </c>
      <c r="N347" s="280">
        <v>30</v>
      </c>
      <c r="U347" s="279"/>
    </row>
    <row ht="15.75" r="348" spans="1:21" s="278" customFormat="1">
      <c r="A348" s="246">
        <v>364</v>
      </c>
      <c r="C348" s="278" t="s">
        <v>712</v>
      </c>
      <c r="D348" s="278" t="s">
        <v>806</v>
      </c>
      <c r="E348" s="278">
        <v>45</v>
      </c>
      <c r="F348" s="278">
        <v>30</v>
      </c>
      <c r="G348" s="278">
        <v>1350</v>
      </c>
      <c r="H348" s="278">
        <v>225</v>
      </c>
      <c r="I348" s="278">
        <v>1575</v>
      </c>
      <c r="J348" s="279">
        <f>I348*0.1</f>
        <v>157.5</v>
      </c>
      <c r="K348" s="280">
        <f>I348*0.9</f>
        <v>1417.5</v>
      </c>
      <c r="L348" s="272" t="s">
        <v>651</v>
      </c>
      <c r="N348" s="280">
        <v>30</v>
      </c>
      <c r="U348" s="279"/>
    </row>
    <row ht="15.75" r="349" spans="1:21" s="278" customFormat="1">
      <c r="A349" s="246">
        <v>406</v>
      </c>
      <c r="C349" s="278" t="s">
        <v>1132</v>
      </c>
      <c r="D349" s="278" t="s">
        <v>806</v>
      </c>
      <c r="E349" s="278">
        <v>84</v>
      </c>
      <c r="F349" s="278">
        <v>30</v>
      </c>
      <c r="G349" s="278">
        <v>2520</v>
      </c>
      <c r="H349" s="278">
        <v>420</v>
      </c>
      <c r="I349" s="278">
        <v>2940</v>
      </c>
      <c r="J349" s="279">
        <f>I349*0.1</f>
        <v>294</v>
      </c>
      <c r="K349" s="280">
        <f>I349*0.9</f>
        <v>2646</v>
      </c>
      <c r="L349" s="272" t="s">
        <v>651</v>
      </c>
      <c r="N349" s="280">
        <v>30</v>
      </c>
    </row>
    <row ht="15.75" r="350" spans="1:21" s="278" customFormat="1">
      <c r="A350" s="246">
        <v>407</v>
      </c>
      <c r="C350" s="278" t="s">
        <v>1133</v>
      </c>
      <c r="D350" s="278" t="s">
        <v>806</v>
      </c>
      <c r="E350" s="278">
        <v>39</v>
      </c>
      <c r="F350" s="278">
        <v>30</v>
      </c>
      <c r="G350" s="278">
        <v>1170</v>
      </c>
      <c r="H350" s="278">
        <v>195</v>
      </c>
      <c r="I350" s="278">
        <v>1365</v>
      </c>
      <c r="J350" s="279">
        <f>I350*0.1</f>
        <v>136.5</v>
      </c>
      <c r="K350" s="280">
        <f>I350*0.9</f>
        <v>1228.5</v>
      </c>
      <c r="L350" s="272" t="s">
        <v>651</v>
      </c>
      <c r="N350" s="280">
        <v>30</v>
      </c>
    </row>
    <row ht="15.75" r="351" spans="1:21" s="278" customFormat="1">
      <c r="A351" s="246">
        <v>412</v>
      </c>
      <c r="C351" s="278" t="s">
        <v>1333</v>
      </c>
      <c r="D351" s="278" t="s">
        <v>787</v>
      </c>
      <c r="E351" s="278">
        <v>3</v>
      </c>
      <c r="F351" s="280">
        <v>60</v>
      </c>
      <c r="G351" s="278">
        <f>E351*F351</f>
        <v>180</v>
      </c>
      <c r="H351" s="278">
        <f>PRODUCT(20*E351)</f>
        <v>60</v>
      </c>
      <c r="I351" s="279">
        <f>G351+H351</f>
        <v>240</v>
      </c>
      <c r="J351" s="279">
        <f>I351*0.1</f>
        <v>24</v>
      </c>
      <c r="K351" s="280">
        <f>I351*0.9</f>
        <v>216</v>
      </c>
      <c r="L351" s="272" t="s">
        <v>651</v>
      </c>
      <c r="N351" s="280">
        <v>30</v>
      </c>
      <c r="O351" s="278">
        <v>14</v>
      </c>
      <c r="P351" s="279"/>
    </row>
    <row ht="15.75" r="352" spans="1:21" s="278" customFormat="1">
      <c r="A352" s="246">
        <v>413</v>
      </c>
      <c r="C352" s="278" t="s">
        <v>805</v>
      </c>
      <c r="D352" s="278" t="s">
        <v>787</v>
      </c>
      <c r="E352" s="278">
        <v>15</v>
      </c>
      <c r="F352" s="280">
        <f>N352</f>
        <v>60</v>
      </c>
      <c r="G352" s="278">
        <f>E352*F352</f>
        <v>900</v>
      </c>
      <c r="H352" s="278">
        <f>PRODUCT(20*E352)</f>
        <v>300</v>
      </c>
      <c r="I352" s="279">
        <f>G352+H352</f>
        <v>1200</v>
      </c>
      <c r="J352" s="279">
        <f>I352*0.1</f>
        <v>120</v>
      </c>
      <c r="K352" s="280">
        <f>I352*0.9</f>
        <v>1080</v>
      </c>
      <c r="L352" s="272" t="s">
        <v>651</v>
      </c>
      <c r="N352" s="280">
        <v>60</v>
      </c>
    </row>
    <row ht="15.75" r="353" spans="1:15" s="278" customFormat="1">
      <c r="A353" s="246">
        <v>414</v>
      </c>
      <c r="C353" s="278" t="s">
        <v>804</v>
      </c>
      <c r="D353" s="278" t="s">
        <v>787</v>
      </c>
      <c r="E353" s="278">
        <v>15</v>
      </c>
      <c r="F353" s="280">
        <v>60</v>
      </c>
      <c r="G353" s="278">
        <f>E353*F353</f>
        <v>900</v>
      </c>
      <c r="H353" s="278">
        <f>PRODUCT(20*E353)</f>
        <v>300</v>
      </c>
      <c r="I353" s="279">
        <f>G353+H353</f>
        <v>1200</v>
      </c>
      <c r="J353" s="279">
        <f>I353*0.1</f>
        <v>120</v>
      </c>
      <c r="K353" s="280">
        <f>I353*0.9</f>
        <v>1080</v>
      </c>
      <c r="L353" s="272" t="s">
        <v>651</v>
      </c>
      <c r="N353" s="280">
        <v>60</v>
      </c>
      <c r="O353" s="278">
        <v>16</v>
      </c>
    </row>
    <row ht="15.75" r="354" spans="1:15" s="278" customFormat="1">
      <c r="A354" s="246">
        <v>415</v>
      </c>
      <c r="C354" s="278" t="s">
        <v>803</v>
      </c>
      <c r="D354" s="278" t="s">
        <v>787</v>
      </c>
      <c r="E354" s="278">
        <v>10</v>
      </c>
      <c r="F354" s="280">
        <v>60</v>
      </c>
      <c r="G354" s="278">
        <f>E354*F354</f>
        <v>600</v>
      </c>
      <c r="H354" s="278">
        <f>PRODUCT(20*E354)</f>
        <v>200</v>
      </c>
      <c r="I354" s="279">
        <f>G354+H354</f>
        <v>800</v>
      </c>
      <c r="J354" s="279">
        <f>I354*0.1</f>
        <v>80</v>
      </c>
      <c r="K354" s="280">
        <f>I354*0.9</f>
        <v>720</v>
      </c>
      <c r="L354" s="272" t="s">
        <v>651</v>
      </c>
      <c r="N354" s="280">
        <v>60</v>
      </c>
      <c r="O354" s="278">
        <v>18</v>
      </c>
    </row>
    <row ht="15.75" r="355" spans="1:15" s="278" customFormat="1">
      <c r="A355" s="246">
        <v>416</v>
      </c>
      <c r="C355" s="278" t="s">
        <v>1332</v>
      </c>
      <c r="D355" s="278" t="s">
        <v>787</v>
      </c>
      <c r="E355" s="278">
        <v>15</v>
      </c>
      <c r="F355" s="280">
        <v>60</v>
      </c>
      <c r="G355" s="278">
        <f>E355*F355</f>
        <v>900</v>
      </c>
      <c r="H355" s="278">
        <f>PRODUCT(20*E355)</f>
        <v>300</v>
      </c>
      <c r="I355" s="279">
        <f>G355+H355</f>
        <v>1200</v>
      </c>
      <c r="J355" s="279">
        <f>I355*0.1</f>
        <v>120</v>
      </c>
      <c r="K355" s="280">
        <f>I355*0.9</f>
        <v>1080</v>
      </c>
      <c r="L355" s="272" t="s">
        <v>651</v>
      </c>
      <c r="N355" s="280">
        <v>30</v>
      </c>
    </row>
    <row ht="15.75" r="356" spans="1:15" s="278" customFormat="1">
      <c r="A356" s="246">
        <v>417</v>
      </c>
      <c r="C356" s="278" t="s">
        <v>802</v>
      </c>
      <c r="D356" s="278" t="s">
        <v>787</v>
      </c>
      <c r="E356" s="278">
        <v>33</v>
      </c>
      <c r="F356" s="280">
        <v>60</v>
      </c>
      <c r="G356" s="278">
        <f>E356*F356</f>
        <v>1980</v>
      </c>
      <c r="H356" s="278">
        <f>PRODUCT(20*E356)</f>
        <v>660</v>
      </c>
      <c r="I356" s="279">
        <f>G356+H356</f>
        <v>2640</v>
      </c>
      <c r="J356" s="279">
        <f>I356*0.1</f>
        <v>264</v>
      </c>
      <c r="K356" s="280">
        <f>I356*0.9</f>
        <v>2376</v>
      </c>
      <c r="L356" s="272" t="s">
        <v>651</v>
      </c>
      <c r="N356" s="280">
        <v>60</v>
      </c>
      <c r="O356" s="278">
        <v>18</v>
      </c>
    </row>
    <row ht="15.75" r="357" spans="1:15" s="278" customFormat="1">
      <c r="A357" s="246">
        <v>418</v>
      </c>
      <c r="C357" s="278" t="s">
        <v>1327</v>
      </c>
      <c r="D357" s="278" t="s">
        <v>787</v>
      </c>
      <c r="E357" s="278">
        <v>13</v>
      </c>
      <c r="F357" s="280">
        <v>60</v>
      </c>
      <c r="G357" s="278">
        <f>E357*F357</f>
        <v>780</v>
      </c>
      <c r="H357" s="278">
        <f>PRODUCT(20*E357)</f>
        <v>260</v>
      </c>
      <c r="I357" s="279">
        <f>G357+H357</f>
        <v>1040</v>
      </c>
      <c r="J357" s="279">
        <f>I357*0.1</f>
        <v>104</v>
      </c>
      <c r="K357" s="280">
        <f>I357*0.9</f>
        <v>936</v>
      </c>
      <c r="L357" s="272" t="s">
        <v>651</v>
      </c>
      <c r="N357" s="280"/>
    </row>
    <row ht="15.75" r="358" spans="1:15" s="278" customFormat="1">
      <c r="A358" s="246">
        <v>419</v>
      </c>
      <c r="C358" s="278" t="s">
        <v>1334</v>
      </c>
      <c r="D358" s="278" t="s">
        <v>787</v>
      </c>
      <c r="E358" s="278">
        <v>8</v>
      </c>
      <c r="F358" s="280">
        <v>60</v>
      </c>
      <c r="G358" s="278">
        <f>E358*F358</f>
        <v>480</v>
      </c>
      <c r="H358" s="278">
        <f>PRODUCT(20*E358)</f>
        <v>160</v>
      </c>
      <c r="I358" s="279">
        <f>G358+H358</f>
        <v>640</v>
      </c>
      <c r="J358" s="279">
        <f>I358*0.1</f>
        <v>64</v>
      </c>
      <c r="K358" s="280">
        <f>I358*0.9</f>
        <v>576</v>
      </c>
      <c r="L358" s="272" t="s">
        <v>651</v>
      </c>
      <c r="N358" s="280"/>
    </row>
    <row ht="15.75" r="359" spans="1:15" s="278" customFormat="1">
      <c r="A359" s="246">
        <v>420</v>
      </c>
      <c r="C359" s="278" t="s">
        <v>1335</v>
      </c>
      <c r="D359" s="278" t="s">
        <v>787</v>
      </c>
      <c r="E359" s="278">
        <v>13</v>
      </c>
      <c r="F359" s="280">
        <v>60</v>
      </c>
      <c r="G359" s="278">
        <f>E359*F359</f>
        <v>780</v>
      </c>
      <c r="H359" s="278">
        <f>PRODUCT(20*E359)</f>
        <v>260</v>
      </c>
      <c r="I359" s="279">
        <f>G359+H359</f>
        <v>1040</v>
      </c>
      <c r="J359" s="279">
        <f>I359*0.1</f>
        <v>104</v>
      </c>
      <c r="K359" s="280">
        <f>I359*0.9</f>
        <v>936</v>
      </c>
      <c r="L359" s="272" t="s">
        <v>651</v>
      </c>
      <c r="N359" s="280"/>
    </row>
    <row ht="15.75" r="360" spans="1:15" s="278" customFormat="1">
      <c r="A360" s="246">
        <v>421</v>
      </c>
      <c r="C360" s="278" t="s">
        <v>799</v>
      </c>
      <c r="D360" s="278" t="s">
        <v>787</v>
      </c>
      <c r="E360" s="278">
        <v>13</v>
      </c>
      <c r="F360" s="280">
        <v>60</v>
      </c>
      <c r="G360" s="278">
        <f>E360*F360</f>
        <v>780</v>
      </c>
      <c r="H360" s="278">
        <f>PRODUCT(20*E360)</f>
        <v>260</v>
      </c>
      <c r="I360" s="279">
        <f>G360+H360</f>
        <v>1040</v>
      </c>
      <c r="J360" s="279">
        <f>I360*0.1</f>
        <v>104</v>
      </c>
      <c r="K360" s="280">
        <f>I360*0.9</f>
        <v>936</v>
      </c>
      <c r="L360" s="272" t="s">
        <v>651</v>
      </c>
      <c r="N360" s="280"/>
    </row>
    <row ht="15.75" r="361" spans="1:15" s="278" customFormat="1">
      <c r="A361" s="246">
        <v>422</v>
      </c>
      <c r="C361" s="278" t="s">
        <v>801</v>
      </c>
      <c r="D361" s="278" t="s">
        <v>787</v>
      </c>
      <c r="E361" s="278">
        <v>8</v>
      </c>
      <c r="F361" s="280">
        <v>60</v>
      </c>
      <c r="G361" s="278">
        <f>E361*F361</f>
        <v>480</v>
      </c>
      <c r="H361" s="278">
        <f>PRODUCT(20*E361)</f>
        <v>160</v>
      </c>
      <c r="I361" s="279">
        <f>G361+H361</f>
        <v>640</v>
      </c>
      <c r="J361" s="279">
        <f>I361*0.1</f>
        <v>64</v>
      </c>
      <c r="K361" s="280">
        <f>I361*0.9</f>
        <v>576</v>
      </c>
      <c r="L361" s="272" t="s">
        <v>651</v>
      </c>
      <c r="N361" s="280"/>
    </row>
    <row ht="15.75" r="362" spans="1:15" s="278" customFormat="1">
      <c r="A362" s="246">
        <v>423</v>
      </c>
      <c r="C362" s="278" t="s">
        <v>1328</v>
      </c>
      <c r="D362" s="278" t="s">
        <v>787</v>
      </c>
      <c r="E362" s="278">
        <v>10</v>
      </c>
      <c r="F362" s="280">
        <v>60</v>
      </c>
      <c r="G362" s="278">
        <f>E362*F362</f>
        <v>600</v>
      </c>
      <c r="H362" s="278">
        <f>PRODUCT(20*E362)</f>
        <v>200</v>
      </c>
      <c r="I362" s="279">
        <f>G362+H362</f>
        <v>800</v>
      </c>
      <c r="J362" s="279">
        <f>I362*0.1</f>
        <v>80</v>
      </c>
      <c r="K362" s="280">
        <f>I362*0.9</f>
        <v>720</v>
      </c>
      <c r="L362" s="272" t="s">
        <v>651</v>
      </c>
      <c r="N362" s="280">
        <v>60</v>
      </c>
    </row>
    <row ht="15.75" r="363" spans="1:15" s="278" customFormat="1">
      <c r="A363" s="246">
        <v>424</v>
      </c>
      <c r="C363" s="278" t="s">
        <v>1331</v>
      </c>
      <c r="D363" s="278" t="s">
        <v>787</v>
      </c>
      <c r="E363" s="278">
        <v>10</v>
      </c>
      <c r="F363" s="280">
        <v>60</v>
      </c>
      <c r="G363" s="278">
        <f>E363*F363</f>
        <v>600</v>
      </c>
      <c r="H363" s="278">
        <f>PRODUCT(20*E363)</f>
        <v>200</v>
      </c>
      <c r="I363" s="279">
        <f>G363+H363</f>
        <v>800</v>
      </c>
      <c r="J363" s="279">
        <f>I363*0.1</f>
        <v>80</v>
      </c>
      <c r="K363" s="280">
        <f>I363*0.9</f>
        <v>720</v>
      </c>
      <c r="L363" s="272" t="s">
        <v>651</v>
      </c>
      <c r="N363" s="280">
        <v>60</v>
      </c>
    </row>
    <row ht="15.75" r="364" spans="1:15" s="278" customFormat="1">
      <c r="A364" s="246">
        <v>425</v>
      </c>
      <c r="C364" s="278" t="s">
        <v>1336</v>
      </c>
      <c r="D364" s="278" t="s">
        <v>787</v>
      </c>
      <c r="E364" s="278">
        <v>15</v>
      </c>
      <c r="F364" s="280">
        <v>60</v>
      </c>
      <c r="G364" s="278">
        <f>E364*F364</f>
        <v>900</v>
      </c>
      <c r="H364" s="278">
        <f>PRODUCT(20*E364)</f>
        <v>300</v>
      </c>
      <c r="I364" s="279">
        <f>G364+H364</f>
        <v>1200</v>
      </c>
      <c r="J364" s="279">
        <f>I364*0.1</f>
        <v>120</v>
      </c>
      <c r="K364" s="280">
        <f>I364*0.9</f>
        <v>1080</v>
      </c>
      <c r="L364" s="272" t="s">
        <v>651</v>
      </c>
      <c r="N364" s="280">
        <v>60</v>
      </c>
    </row>
    <row ht="15.75" r="365" spans="1:15" s="278" customFormat="1">
      <c r="A365" s="246">
        <v>426</v>
      </c>
      <c r="C365" s="278" t="s">
        <v>800</v>
      </c>
      <c r="D365" s="278" t="s">
        <v>787</v>
      </c>
      <c r="E365" s="278">
        <v>10</v>
      </c>
      <c r="F365" s="280">
        <v>60</v>
      </c>
      <c r="G365" s="278">
        <f>E365*F365</f>
        <v>600</v>
      </c>
      <c r="H365" s="278">
        <f>PRODUCT(20*E365)</f>
        <v>200</v>
      </c>
      <c r="I365" s="279">
        <f>G365+H365</f>
        <v>800</v>
      </c>
      <c r="J365" s="279">
        <f>I365*0.1</f>
        <v>80</v>
      </c>
      <c r="K365" s="280">
        <f>I365*0.9</f>
        <v>720</v>
      </c>
      <c r="L365" s="272" t="s">
        <v>651</v>
      </c>
      <c r="N365" s="280">
        <v>60</v>
      </c>
    </row>
    <row ht="15.75" r="366" spans="1:15" s="278" customFormat="1">
      <c r="A366" s="246">
        <v>427</v>
      </c>
      <c r="C366" s="278" t="s">
        <v>1329</v>
      </c>
      <c r="D366" s="278" t="s">
        <v>787</v>
      </c>
      <c r="E366" s="278">
        <v>3</v>
      </c>
      <c r="F366" s="280">
        <v>60</v>
      </c>
      <c r="G366" s="278">
        <f>E366*F366</f>
        <v>180</v>
      </c>
      <c r="H366" s="278">
        <f>PRODUCT(20*E366)</f>
        <v>60</v>
      </c>
      <c r="I366" s="279">
        <f>G366+H366</f>
        <v>240</v>
      </c>
      <c r="J366" s="279">
        <f>I366*0.1</f>
        <v>24</v>
      </c>
      <c r="K366" s="280">
        <f>I366*0.9</f>
        <v>216</v>
      </c>
      <c r="L366" s="272" t="s">
        <v>651</v>
      </c>
      <c r="N366" s="280">
        <v>60</v>
      </c>
      <c r="O366" s="278">
        <v>10</v>
      </c>
    </row>
    <row ht="15.75" r="367" spans="1:15" s="278" customFormat="1">
      <c r="A367" s="246">
        <v>428</v>
      </c>
      <c r="C367" s="278" t="s">
        <v>798</v>
      </c>
      <c r="D367" s="278" t="s">
        <v>787</v>
      </c>
      <c r="E367" s="278">
        <v>5</v>
      </c>
      <c r="F367" s="280">
        <v>60</v>
      </c>
      <c r="G367" s="278">
        <f>E367*F367</f>
        <v>300</v>
      </c>
      <c r="H367" s="278">
        <f>PRODUCT(20*E367)</f>
        <v>100</v>
      </c>
      <c r="I367" s="279">
        <f>G367+H367</f>
        <v>400</v>
      </c>
      <c r="J367" s="279">
        <f>I367*0.1</f>
        <v>40</v>
      </c>
      <c r="K367" s="280">
        <f>I367*0.9</f>
        <v>360</v>
      </c>
      <c r="L367" s="272" t="s">
        <v>651</v>
      </c>
      <c r="N367" s="280">
        <v>60</v>
      </c>
      <c r="O367" s="278">
        <v>14</v>
      </c>
    </row>
    <row ht="15.75" r="368" spans="1:15" s="278" customFormat="1">
      <c r="A368" s="246">
        <v>429</v>
      </c>
      <c r="C368" s="278" t="s">
        <v>797</v>
      </c>
      <c r="D368" s="278" t="s">
        <v>787</v>
      </c>
      <c r="E368" s="278">
        <v>10</v>
      </c>
      <c r="F368" s="280">
        <v>60</v>
      </c>
      <c r="G368" s="278">
        <f>E368*F368</f>
        <v>600</v>
      </c>
      <c r="H368" s="278">
        <f>PRODUCT(20*E368)</f>
        <v>200</v>
      </c>
      <c r="I368" s="279">
        <f>G368+H368</f>
        <v>800</v>
      </c>
      <c r="J368" s="279">
        <f>I368*0.1</f>
        <v>80</v>
      </c>
      <c r="K368" s="280">
        <f>I368*0.9</f>
        <v>720</v>
      </c>
      <c r="L368" s="272" t="s">
        <v>651</v>
      </c>
      <c r="N368" s="280">
        <v>60</v>
      </c>
    </row>
    <row ht="15.75" r="369" spans="1:21" s="278" customFormat="1">
      <c r="A369" s="246">
        <v>430</v>
      </c>
      <c r="C369" s="278" t="s">
        <v>796</v>
      </c>
      <c r="D369" s="278" t="s">
        <v>787</v>
      </c>
      <c r="E369" s="278">
        <v>5</v>
      </c>
      <c r="F369" s="280">
        <v>60</v>
      </c>
      <c r="G369" s="278">
        <f>E369*F369</f>
        <v>300</v>
      </c>
      <c r="H369" s="278">
        <f>PRODUCT(20*E369)</f>
        <v>100</v>
      </c>
      <c r="I369" s="279">
        <f>G369+H369</f>
        <v>400</v>
      </c>
      <c r="J369" s="279">
        <f>I369*0.1</f>
        <v>40</v>
      </c>
      <c r="K369" s="280">
        <f>I369*0.9</f>
        <v>360</v>
      </c>
      <c r="L369" s="272" t="s">
        <v>651</v>
      </c>
      <c r="N369" s="280">
        <v>60</v>
      </c>
      <c r="U369" s="279"/>
    </row>
    <row ht="15.75" r="370" spans="1:21" s="278" customFormat="1">
      <c r="A370" s="246">
        <v>431</v>
      </c>
      <c r="C370" s="278" t="s">
        <v>795</v>
      </c>
      <c r="D370" s="278" t="s">
        <v>787</v>
      </c>
      <c r="E370" s="278">
        <v>8</v>
      </c>
      <c r="F370" s="280">
        <v>60</v>
      </c>
      <c r="G370" s="278">
        <f>E370*F370</f>
        <v>480</v>
      </c>
      <c r="H370" s="278">
        <f>PRODUCT(20*E370)</f>
        <v>160</v>
      </c>
      <c r="I370" s="279">
        <f>G370+H370</f>
        <v>640</v>
      </c>
      <c r="J370" s="279">
        <f>I370*0.1</f>
        <v>64</v>
      </c>
      <c r="K370" s="280">
        <f>I370*0.9</f>
        <v>576</v>
      </c>
      <c r="L370" s="272" t="s">
        <v>651</v>
      </c>
      <c r="N370" s="280">
        <v>60</v>
      </c>
      <c r="U370" s="279"/>
    </row>
    <row ht="15.75" r="371" spans="1:21" s="278" customFormat="1">
      <c r="A371" s="246">
        <v>432</v>
      </c>
      <c r="C371" s="278" t="s">
        <v>794</v>
      </c>
      <c r="D371" s="278" t="s">
        <v>787</v>
      </c>
      <c r="E371" s="278">
        <v>18</v>
      </c>
      <c r="F371" s="280">
        <v>60</v>
      </c>
      <c r="G371" s="278">
        <f>E371*F371</f>
        <v>1080</v>
      </c>
      <c r="H371" s="278">
        <f>PRODUCT(20*E371)</f>
        <v>360</v>
      </c>
      <c r="I371" s="279">
        <f>G371+H371</f>
        <v>1440</v>
      </c>
      <c r="J371" s="279">
        <f>I371*0.1</f>
        <v>144</v>
      </c>
      <c r="K371" s="280">
        <f>I371*0.9</f>
        <v>1296</v>
      </c>
      <c r="L371" s="272" t="s">
        <v>651</v>
      </c>
      <c r="N371" s="280"/>
      <c r="U371" s="279"/>
    </row>
    <row ht="15.75" r="372" spans="1:21" s="278" customFormat="1">
      <c r="A372" s="246">
        <v>433</v>
      </c>
      <c r="C372" s="278" t="s">
        <v>793</v>
      </c>
      <c r="D372" s="278" t="s">
        <v>787</v>
      </c>
      <c r="E372" s="278">
        <v>5</v>
      </c>
      <c r="F372" s="280">
        <v>60</v>
      </c>
      <c r="G372" s="278">
        <f>E372*F372</f>
        <v>300</v>
      </c>
      <c r="H372" s="278">
        <f>PRODUCT(20*E372)</f>
        <v>100</v>
      </c>
      <c r="I372" s="279">
        <f>G372+H372</f>
        <v>400</v>
      </c>
      <c r="J372" s="279">
        <f>I372*0.1</f>
        <v>40</v>
      </c>
      <c r="K372" s="280">
        <f>I372*0.9</f>
        <v>360</v>
      </c>
      <c r="L372" s="272" t="s">
        <v>651</v>
      </c>
      <c r="N372" s="280"/>
      <c r="U372" s="279"/>
    </row>
    <row ht="15.75" r="373" spans="1:21" s="278" customFormat="1">
      <c r="A373" s="246">
        <v>434</v>
      </c>
      <c r="C373" s="278" t="s">
        <v>792</v>
      </c>
      <c r="D373" s="278" t="s">
        <v>787</v>
      </c>
      <c r="E373" s="278">
        <v>10</v>
      </c>
      <c r="F373" s="280">
        <v>60</v>
      </c>
      <c r="G373" s="278">
        <f>E373*F373</f>
        <v>600</v>
      </c>
      <c r="H373" s="278">
        <f>PRODUCT(20*E373)</f>
        <v>200</v>
      </c>
      <c r="I373" s="279">
        <f>G373+H373</f>
        <v>800</v>
      </c>
      <c r="J373" s="279">
        <f>I373*0.1</f>
        <v>80</v>
      </c>
      <c r="K373" s="280">
        <f>I373*0.9</f>
        <v>720</v>
      </c>
      <c r="L373" s="272" t="s">
        <v>651</v>
      </c>
      <c r="N373" s="280"/>
      <c r="U373" s="279"/>
    </row>
    <row ht="15.75" r="374" spans="1:21" s="278" customFormat="1">
      <c r="A374" s="246">
        <v>435</v>
      </c>
      <c r="C374" s="278" t="s">
        <v>791</v>
      </c>
      <c r="D374" s="278" t="s">
        <v>787</v>
      </c>
      <c r="E374" s="278">
        <v>10</v>
      </c>
      <c r="F374" s="280">
        <f>N374</f>
        <v>60</v>
      </c>
      <c r="G374" s="278">
        <f>E374*F374</f>
        <v>600</v>
      </c>
      <c r="H374" s="278">
        <f>PRODUCT(20*E374)</f>
        <v>200</v>
      </c>
      <c r="I374" s="279">
        <f>G374+H374</f>
        <v>800</v>
      </c>
      <c r="J374" s="279">
        <f>I374*0.1</f>
        <v>80</v>
      </c>
      <c r="K374" s="280">
        <f>I374*0.9</f>
        <v>720</v>
      </c>
      <c r="L374" s="272" t="s">
        <v>651</v>
      </c>
      <c r="N374" s="280">
        <v>60</v>
      </c>
      <c r="U374" s="279"/>
    </row>
    <row ht="15.75" r="375" spans="1:21" s="278" customFormat="1">
      <c r="A375" s="246">
        <v>436</v>
      </c>
      <c r="C375" s="278" t="s">
        <v>790</v>
      </c>
      <c r="D375" s="278" t="s">
        <v>787</v>
      </c>
      <c r="E375" s="278">
        <v>8</v>
      </c>
      <c r="F375" s="280">
        <f>N375</f>
        <v>60</v>
      </c>
      <c r="G375" s="278">
        <f>E375*F375</f>
        <v>480</v>
      </c>
      <c r="H375" s="278">
        <f>PRODUCT(20*E375)</f>
        <v>160</v>
      </c>
      <c r="I375" s="279">
        <f>G375+H375</f>
        <v>640</v>
      </c>
      <c r="J375" s="279">
        <f>I375*0.1</f>
        <v>64</v>
      </c>
      <c r="K375" s="280">
        <f>I375*0.9</f>
        <v>576</v>
      </c>
      <c r="L375" s="272" t="s">
        <v>651</v>
      </c>
      <c r="N375" s="280">
        <v>60</v>
      </c>
      <c r="U375" s="279"/>
    </row>
    <row ht="15.75" r="376" spans="1:21" s="278" customFormat="1">
      <c r="A376" s="246">
        <v>437</v>
      </c>
      <c r="C376" s="278" t="s">
        <v>1330</v>
      </c>
      <c r="D376" s="278" t="s">
        <v>787</v>
      </c>
      <c r="E376" s="278">
        <v>3</v>
      </c>
      <c r="F376" s="280">
        <f>N376</f>
        <v>60</v>
      </c>
      <c r="G376" s="278">
        <f>E376*F376</f>
        <v>180</v>
      </c>
      <c r="H376" s="278">
        <f>PRODUCT(20*E376)</f>
        <v>60</v>
      </c>
      <c r="I376" s="279">
        <f>G376+H376</f>
        <v>240</v>
      </c>
      <c r="J376" s="279">
        <f>I376*0.1</f>
        <v>24</v>
      </c>
      <c r="K376" s="280">
        <f>I376*0.9</f>
        <v>216</v>
      </c>
      <c r="L376" s="272" t="s">
        <v>651</v>
      </c>
      <c r="N376" s="280">
        <v>60</v>
      </c>
      <c r="U376" s="279"/>
    </row>
    <row ht="15.75" r="377" spans="1:21" s="278" customFormat="1">
      <c r="A377" s="246">
        <v>438</v>
      </c>
      <c r="C377" s="278" t="s">
        <v>1337</v>
      </c>
      <c r="D377" s="278" t="s">
        <v>787</v>
      </c>
      <c r="E377" s="278">
        <v>3</v>
      </c>
      <c r="F377" s="280">
        <f>N377</f>
        <v>60</v>
      </c>
      <c r="G377" s="278">
        <f>E377*F377</f>
        <v>180</v>
      </c>
      <c r="H377" s="278">
        <f>PRODUCT(20*E377)</f>
        <v>60</v>
      </c>
      <c r="I377" s="279">
        <f>G377+H377</f>
        <v>240</v>
      </c>
      <c r="J377" s="279">
        <f>I377*0.1</f>
        <v>24</v>
      </c>
      <c r="K377" s="280">
        <f>I377*0.9</f>
        <v>216</v>
      </c>
      <c r="L377" s="272" t="s">
        <v>651</v>
      </c>
      <c r="N377" s="280">
        <v>60</v>
      </c>
      <c r="U377" s="279"/>
    </row>
    <row ht="15.75" r="378" spans="1:21" s="278" customFormat="1">
      <c r="A378" s="246">
        <v>439</v>
      </c>
      <c r="C378" s="278" t="s">
        <v>789</v>
      </c>
      <c r="D378" s="278" t="s">
        <v>787</v>
      </c>
      <c r="E378" s="278">
        <v>8</v>
      </c>
      <c r="F378" s="280">
        <f>N378</f>
        <v>60</v>
      </c>
      <c r="G378" s="278">
        <f>E378*F378</f>
        <v>480</v>
      </c>
      <c r="H378" s="278">
        <f>PRODUCT(20*E378)</f>
        <v>160</v>
      </c>
      <c r="I378" s="279">
        <f>G378+H378</f>
        <v>640</v>
      </c>
      <c r="J378" s="279">
        <f>I378*0.1</f>
        <v>64</v>
      </c>
      <c r="K378" s="280">
        <f>I378*0.9</f>
        <v>576</v>
      </c>
      <c r="L378" s="272" t="s">
        <v>651</v>
      </c>
      <c r="N378" s="280">
        <v>60</v>
      </c>
      <c r="U378" s="279"/>
    </row>
    <row ht="15.75" r="379" spans="1:21" s="278" customFormat="1">
      <c r="A379" s="246">
        <v>440</v>
      </c>
      <c r="C379" s="278" t="s">
        <v>788</v>
      </c>
      <c r="D379" s="278" t="s">
        <v>787</v>
      </c>
      <c r="E379" s="278">
        <v>13</v>
      </c>
      <c r="F379" s="280">
        <f>N379</f>
        <v>60</v>
      </c>
      <c r="G379" s="278">
        <f>E379*F379</f>
        <v>780</v>
      </c>
      <c r="H379" s="278">
        <f>PRODUCT(20*E379)</f>
        <v>260</v>
      </c>
      <c r="I379" s="279">
        <f>G379+H379</f>
        <v>1040</v>
      </c>
      <c r="J379" s="279">
        <f>I379*0.1</f>
        <v>104</v>
      </c>
      <c r="K379" s="280">
        <f>I379*0.9</f>
        <v>936</v>
      </c>
      <c r="L379" s="272" t="s">
        <v>651</v>
      </c>
      <c r="N379" s="280">
        <v>60</v>
      </c>
      <c r="U379" s="279"/>
    </row>
    <row ht="15.75" r="380" spans="1:21" s="278" customFormat="1">
      <c r="A380" s="246">
        <v>390</v>
      </c>
      <c r="C380" s="278" t="s">
        <v>1120</v>
      </c>
      <c r="D380" s="278" t="s">
        <v>806</v>
      </c>
      <c r="E380" s="278">
        <v>36</v>
      </c>
      <c r="F380" s="278">
        <v>30</v>
      </c>
      <c r="G380" s="278">
        <v>1080</v>
      </c>
      <c r="H380" s="278">
        <v>180</v>
      </c>
      <c r="I380" s="278">
        <v>1260</v>
      </c>
      <c r="J380" s="279">
        <f>I380*0.1</f>
        <v>126</v>
      </c>
      <c r="K380" s="280">
        <f>I380*0.9</f>
        <v>1134</v>
      </c>
      <c r="L380" s="272" t="s">
        <v>651</v>
      </c>
      <c r="N380" s="280">
        <v>30</v>
      </c>
      <c r="O380" s="278">
        <v>60</v>
      </c>
    </row>
    <row ht="15.75" r="381" spans="1:21" s="278" customFormat="1">
      <c r="A381" s="246">
        <v>391</v>
      </c>
      <c r="C381" s="278" t="s">
        <v>1121</v>
      </c>
      <c r="D381" s="278" t="s">
        <v>806</v>
      </c>
      <c r="E381" s="278">
        <v>42</v>
      </c>
      <c r="F381" s="278">
        <v>30</v>
      </c>
      <c r="G381" s="278">
        <v>1260</v>
      </c>
      <c r="H381" s="278">
        <v>210</v>
      </c>
      <c r="I381" s="278">
        <v>1470</v>
      </c>
      <c r="J381" s="279">
        <f>I381*0.1</f>
        <v>147</v>
      </c>
      <c r="K381" s="280">
        <f>I381*0.9</f>
        <v>1323</v>
      </c>
      <c r="L381" s="272" t="s">
        <v>651</v>
      </c>
      <c r="N381" s="280">
        <v>30</v>
      </c>
      <c r="O381" s="278">
        <v>60</v>
      </c>
    </row>
    <row ht="15.75" r="382" spans="1:21" s="278" customFormat="1">
      <c r="A382" s="246">
        <v>392</v>
      </c>
      <c r="C382" s="278" t="s">
        <v>1122</v>
      </c>
      <c r="D382" s="278" t="s">
        <v>806</v>
      </c>
      <c r="E382" s="278">
        <v>84</v>
      </c>
      <c r="F382" s="278">
        <v>30</v>
      </c>
      <c r="G382" s="278">
        <v>2520</v>
      </c>
      <c r="H382" s="278">
        <v>420</v>
      </c>
      <c r="I382" s="278">
        <v>2940</v>
      </c>
      <c r="J382" s="279">
        <f>I382*0.1</f>
        <v>294</v>
      </c>
      <c r="K382" s="280">
        <f>I382*0.9</f>
        <v>2646</v>
      </c>
      <c r="L382" s="272" t="s">
        <v>651</v>
      </c>
      <c r="N382" s="280">
        <v>30</v>
      </c>
    </row>
    <row ht="15.75" r="383" spans="1:21" s="278" customFormat="1">
      <c r="A383" s="246">
        <v>388</v>
      </c>
      <c r="C383" s="278" t="s">
        <v>1118</v>
      </c>
      <c r="D383" s="278" t="s">
        <v>806</v>
      </c>
      <c r="E383" s="278">
        <v>81</v>
      </c>
      <c r="F383" s="278">
        <v>30</v>
      </c>
      <c r="G383" s="278">
        <v>2430</v>
      </c>
      <c r="H383" s="278">
        <v>405</v>
      </c>
      <c r="I383" s="278">
        <v>2835</v>
      </c>
      <c r="J383" s="279">
        <f>I383*0.1</f>
        <v>283.5</v>
      </c>
      <c r="K383" s="280">
        <f>I383*0.9</f>
        <v>2551.5</v>
      </c>
      <c r="L383" s="272" t="s">
        <v>651</v>
      </c>
      <c r="N383" s="280">
        <v>30</v>
      </c>
      <c r="O383" s="278">
        <v>60</v>
      </c>
    </row>
    <row ht="15.75" r="384" spans="1:21" s="278" customFormat="1">
      <c r="A384" s="246">
        <v>381</v>
      </c>
      <c r="C384" s="278" t="s">
        <v>1111</v>
      </c>
      <c r="D384" s="278" t="s">
        <v>806</v>
      </c>
      <c r="E384" s="278">
        <v>48</v>
      </c>
      <c r="F384" s="278">
        <v>30</v>
      </c>
      <c r="G384" s="278">
        <v>1440</v>
      </c>
      <c r="H384" s="278">
        <v>240</v>
      </c>
      <c r="I384" s="278">
        <v>1680</v>
      </c>
      <c r="J384" s="279">
        <f>I384*0.1</f>
        <v>168</v>
      </c>
      <c r="K384" s="280">
        <f>I384*0.9</f>
        <v>1512</v>
      </c>
      <c r="L384" s="272" t="s">
        <v>651</v>
      </c>
      <c r="N384" s="280">
        <v>30</v>
      </c>
      <c r="U384" s="279"/>
    </row>
    <row ht="15.75" r="385" spans="1:15" s="278" customFormat="1">
      <c r="A385" s="246">
        <v>401</v>
      </c>
      <c r="C385" s="278" t="s">
        <v>1129</v>
      </c>
      <c r="D385" s="278" t="s">
        <v>806</v>
      </c>
      <c r="E385" s="278">
        <v>51</v>
      </c>
      <c r="F385" s="278">
        <v>30</v>
      </c>
      <c r="G385" s="278">
        <v>1530</v>
      </c>
      <c r="H385" s="278">
        <v>255</v>
      </c>
      <c r="I385" s="278">
        <v>1785</v>
      </c>
      <c r="J385" s="279">
        <f>I385*0.1</f>
        <v>178.5</v>
      </c>
      <c r="K385" s="280">
        <f>I385*0.9</f>
        <v>1606.5</v>
      </c>
      <c r="L385" s="272" t="s">
        <v>651</v>
      </c>
      <c r="N385" s="280">
        <v>30</v>
      </c>
    </row>
    <row ht="15.75" r="386" spans="1:15" s="278" customFormat="1">
      <c r="A386" s="246">
        <v>404</v>
      </c>
      <c r="C386" s="278" t="s">
        <v>1345</v>
      </c>
      <c r="D386" s="278" t="s">
        <v>806</v>
      </c>
      <c r="E386" s="278">
        <v>72</v>
      </c>
      <c r="F386" s="278">
        <v>30</v>
      </c>
      <c r="G386" s="278">
        <v>2160</v>
      </c>
      <c r="H386" s="278">
        <v>360</v>
      </c>
      <c r="I386" s="278">
        <v>2520</v>
      </c>
      <c r="J386" s="279">
        <f>I386*0.1</f>
        <v>252</v>
      </c>
      <c r="K386" s="280">
        <f>I386*0.9</f>
        <v>2268</v>
      </c>
      <c r="L386" s="272" t="s">
        <v>651</v>
      </c>
      <c r="N386" s="280">
        <v>30</v>
      </c>
    </row>
    <row ht="18.75" r="387" spans="1:15" s="223" customFormat="1">
      <c r="A387" s="246">
        <v>236</v>
      </c>
      <c r="B387" s="228"/>
      <c r="C387" s="228" t="s">
        <v>842</v>
      </c>
      <c r="D387" s="228" t="s">
        <v>822</v>
      </c>
      <c r="E387" s="229">
        <v>238</v>
      </c>
      <c r="F387" s="227">
        <f>N387</f>
        <v>30</v>
      </c>
      <c r="G387" s="228">
        <f>E387*F387</f>
        <v>7140</v>
      </c>
      <c r="H387" s="228">
        <v>620</v>
      </c>
      <c r="I387" s="229">
        <f>G387+H387</f>
        <v>7760</v>
      </c>
      <c r="J387" s="229">
        <f>I387*0.1</f>
        <v>776</v>
      </c>
      <c r="K387" s="227">
        <f>I387*0.9</f>
        <v>6984</v>
      </c>
      <c r="L387" s="228" t="s">
        <v>619</v>
      </c>
      <c r="N387" s="225">
        <v>30</v>
      </c>
      <c r="O387" s="223">
        <v>0</v>
      </c>
    </row>
    <row ht="18.75" r="388" spans="1:15" s="223" customFormat="1">
      <c r="A388" s="246">
        <v>237</v>
      </c>
      <c r="B388" s="228"/>
      <c r="C388" s="228" t="s">
        <v>841</v>
      </c>
      <c r="D388" s="228" t="s">
        <v>822</v>
      </c>
      <c r="E388" s="229">
        <v>156</v>
      </c>
      <c r="F388" s="227">
        <f>N388</f>
        <v>30</v>
      </c>
      <c r="G388" s="228">
        <f>E388*F388</f>
        <v>4680</v>
      </c>
      <c r="H388" s="228">
        <v>570</v>
      </c>
      <c r="I388" s="229">
        <f>G388+H388</f>
        <v>5250</v>
      </c>
      <c r="J388" s="229">
        <f>I388*0.1</f>
        <v>525</v>
      </c>
      <c r="K388" s="227">
        <f>I388*0.9</f>
        <v>4725</v>
      </c>
      <c r="L388" s="228" t="s">
        <v>619</v>
      </c>
      <c r="N388" s="225">
        <v>30</v>
      </c>
      <c r="O388" s="223">
        <v>35</v>
      </c>
    </row>
    <row ht="18.75" r="389" spans="1:15" s="223" customFormat="1">
      <c r="A389" s="246">
        <v>238</v>
      </c>
      <c r="B389" s="228"/>
      <c r="C389" s="228" t="s">
        <v>840</v>
      </c>
      <c r="D389" s="228" t="s">
        <v>822</v>
      </c>
      <c r="E389" s="229">
        <v>150</v>
      </c>
      <c r="F389" s="227">
        <f>N389</f>
        <v>30</v>
      </c>
      <c r="G389" s="228">
        <f>E389*F389</f>
        <v>4500</v>
      </c>
      <c r="H389" s="228">
        <v>570</v>
      </c>
      <c r="I389" s="229">
        <f>G389+H389</f>
        <v>5070</v>
      </c>
      <c r="J389" s="229">
        <f>I389*0.1</f>
        <v>507</v>
      </c>
      <c r="K389" s="227">
        <f>I389*0.9</f>
        <v>4563</v>
      </c>
      <c r="L389" s="228" t="s">
        <v>619</v>
      </c>
      <c r="N389" s="225">
        <v>30</v>
      </c>
      <c r="O389" s="223">
        <v>70</v>
      </c>
    </row>
    <row ht="18.75" r="390" spans="1:15" s="223" customFormat="1">
      <c r="A390" s="246">
        <v>239</v>
      </c>
      <c r="B390" s="228"/>
      <c r="C390" s="228" t="s">
        <v>839</v>
      </c>
      <c r="D390" s="228" t="s">
        <v>822</v>
      </c>
      <c r="E390" s="229">
        <v>160</v>
      </c>
      <c r="F390" s="227">
        <f>N390</f>
        <v>30</v>
      </c>
      <c r="G390" s="228">
        <f>E390*F390</f>
        <v>4800</v>
      </c>
      <c r="H390" s="228">
        <v>570</v>
      </c>
      <c r="I390" s="229">
        <f>G390+H390</f>
        <v>5370</v>
      </c>
      <c r="J390" s="229">
        <f>I390*0.1</f>
        <v>537</v>
      </c>
      <c r="K390" s="227">
        <f>I390*0.9</f>
        <v>4833</v>
      </c>
      <c r="L390" s="228" t="s">
        <v>619</v>
      </c>
      <c r="N390" s="225">
        <v>30</v>
      </c>
      <c r="O390" s="223">
        <v>70</v>
      </c>
    </row>
    <row ht="18.75" r="391" spans="1:15" s="223" customFormat="1">
      <c r="A391" s="246">
        <v>240</v>
      </c>
      <c r="B391" s="228"/>
      <c r="C391" s="228" t="s">
        <v>838</v>
      </c>
      <c r="D391" s="228" t="s">
        <v>822</v>
      </c>
      <c r="E391" s="229">
        <v>156</v>
      </c>
      <c r="F391" s="227">
        <f>N391</f>
        <v>30</v>
      </c>
      <c r="G391" s="228">
        <f>E391*F391</f>
        <v>4680</v>
      </c>
      <c r="H391" s="228">
        <v>570</v>
      </c>
      <c r="I391" s="229">
        <f>G391+H391</f>
        <v>5250</v>
      </c>
      <c r="J391" s="229">
        <f>I391*0.1</f>
        <v>525</v>
      </c>
      <c r="K391" s="227">
        <f>I391*0.9</f>
        <v>4725</v>
      </c>
      <c r="L391" s="228" t="s">
        <v>619</v>
      </c>
      <c r="N391" s="225">
        <v>30</v>
      </c>
      <c r="O391" s="223">
        <v>70</v>
      </c>
    </row>
    <row ht="18.75" r="392" spans="1:15" s="223" customFormat="1">
      <c r="A392" s="246">
        <v>241</v>
      </c>
      <c r="B392" s="228"/>
      <c r="C392" s="228" t="s">
        <v>837</v>
      </c>
      <c r="D392" s="228" t="s">
        <v>822</v>
      </c>
      <c r="E392" s="229">
        <v>156</v>
      </c>
      <c r="F392" s="227">
        <v>30</v>
      </c>
      <c r="G392" s="228">
        <f>E392*F392</f>
        <v>4680</v>
      </c>
      <c r="H392" s="228">
        <v>570</v>
      </c>
      <c r="I392" s="229">
        <f>G392+H392</f>
        <v>5250</v>
      </c>
      <c r="J392" s="229">
        <f>I392*0.1</f>
        <v>525</v>
      </c>
      <c r="K392" s="227">
        <f>I392*0.9</f>
        <v>4725</v>
      </c>
      <c r="L392" s="228" t="s">
        <v>619</v>
      </c>
      <c r="N392" s="225">
        <v>30</v>
      </c>
    </row>
    <row ht="18.75" r="393" spans="1:15" s="223" customFormat="1">
      <c r="A393" s="246">
        <v>242</v>
      </c>
      <c r="B393" s="228"/>
      <c r="C393" s="228" t="s">
        <v>836</v>
      </c>
      <c r="D393" s="228" t="s">
        <v>822</v>
      </c>
      <c r="E393" s="229">
        <v>156</v>
      </c>
      <c r="F393" s="227">
        <v>30</v>
      </c>
      <c r="G393" s="228">
        <f>E393*F393</f>
        <v>4680</v>
      </c>
      <c r="H393" s="228">
        <v>570</v>
      </c>
      <c r="I393" s="229">
        <f>G393+H393</f>
        <v>5250</v>
      </c>
      <c r="J393" s="229">
        <f>I393*0.1</f>
        <v>525</v>
      </c>
      <c r="K393" s="227">
        <f>I393*0.9</f>
        <v>4725</v>
      </c>
      <c r="L393" s="228" t="s">
        <v>619</v>
      </c>
      <c r="N393" s="225">
        <v>30</v>
      </c>
    </row>
    <row ht="18.75" r="394" spans="1:15" s="223" customFormat="1">
      <c r="A394" s="246">
        <v>243</v>
      </c>
      <c r="B394" s="228"/>
      <c r="C394" s="228" t="s">
        <v>835</v>
      </c>
      <c r="D394" s="228" t="s">
        <v>822</v>
      </c>
      <c r="E394" s="229">
        <v>186</v>
      </c>
      <c r="F394" s="227">
        <v>30</v>
      </c>
      <c r="G394" s="228">
        <f>E394*F394</f>
        <v>5580</v>
      </c>
      <c r="H394" s="228">
        <v>570</v>
      </c>
      <c r="I394" s="229">
        <f>G394+H394</f>
        <v>6150</v>
      </c>
      <c r="J394" s="229">
        <f>I394*0.1</f>
        <v>615</v>
      </c>
      <c r="K394" s="227">
        <f>I394*0.9</f>
        <v>5535</v>
      </c>
      <c r="L394" s="228" t="s">
        <v>619</v>
      </c>
      <c r="N394" s="225">
        <v>30</v>
      </c>
    </row>
    <row ht="18.75" r="395" spans="1:15" s="223" customFormat="1">
      <c r="A395" s="246">
        <v>244</v>
      </c>
      <c r="B395" s="228"/>
      <c r="C395" s="228" t="s">
        <v>834</v>
      </c>
      <c r="D395" s="228" t="s">
        <v>822</v>
      </c>
      <c r="E395" s="229">
        <v>160</v>
      </c>
      <c r="F395" s="227">
        <v>30</v>
      </c>
      <c r="G395" s="228">
        <f>E395*F395</f>
        <v>4800</v>
      </c>
      <c r="H395" s="228">
        <v>570</v>
      </c>
      <c r="I395" s="229">
        <f>G395+H395</f>
        <v>5370</v>
      </c>
      <c r="J395" s="229">
        <f>I395*0.1</f>
        <v>537</v>
      </c>
      <c r="K395" s="227">
        <f>I395*0.9</f>
        <v>4833</v>
      </c>
      <c r="L395" s="228" t="s">
        <v>619</v>
      </c>
      <c r="N395" s="225">
        <v>30</v>
      </c>
    </row>
    <row ht="18.75" r="396" spans="1:15" s="223" customFormat="1">
      <c r="A396" s="246">
        <v>245</v>
      </c>
      <c r="B396" s="228"/>
      <c r="C396" s="228" t="s">
        <v>833</v>
      </c>
      <c r="D396" s="228" t="s">
        <v>822</v>
      </c>
      <c r="E396" s="229">
        <v>156</v>
      </c>
      <c r="F396" s="227">
        <v>30</v>
      </c>
      <c r="G396" s="228">
        <f>E396*F396</f>
        <v>4680</v>
      </c>
      <c r="H396" s="228">
        <v>570</v>
      </c>
      <c r="I396" s="229">
        <f>G396+H396</f>
        <v>5250</v>
      </c>
      <c r="J396" s="229">
        <f>I396*0.1</f>
        <v>525</v>
      </c>
      <c r="K396" s="227">
        <f>I396*0.9</f>
        <v>4725</v>
      </c>
      <c r="L396" s="228" t="s">
        <v>619</v>
      </c>
      <c r="N396" s="225">
        <v>30</v>
      </c>
    </row>
    <row ht="18.75" r="397" spans="1:15" s="223" customFormat="1">
      <c r="A397" s="246">
        <v>246</v>
      </c>
      <c r="B397" s="228"/>
      <c r="C397" s="228" t="s">
        <v>832</v>
      </c>
      <c r="D397" s="228" t="s">
        <v>822</v>
      </c>
      <c r="E397" s="229">
        <v>156</v>
      </c>
      <c r="F397" s="227">
        <v>30</v>
      </c>
      <c r="G397" s="228">
        <f>E397*F397</f>
        <v>4680</v>
      </c>
      <c r="H397" s="228">
        <v>570</v>
      </c>
      <c r="I397" s="229">
        <f>G397+H397</f>
        <v>5250</v>
      </c>
      <c r="J397" s="229">
        <f>I397*0.1</f>
        <v>525</v>
      </c>
      <c r="K397" s="227">
        <f>I397*0.9</f>
        <v>4725</v>
      </c>
      <c r="L397" s="228" t="s">
        <v>619</v>
      </c>
      <c r="N397" s="225">
        <v>30</v>
      </c>
      <c r="O397" s="223">
        <v>70</v>
      </c>
    </row>
    <row ht="18.75" r="398" spans="1:15" s="223" customFormat="1">
      <c r="A398" s="246">
        <v>247</v>
      </c>
      <c r="B398" s="228"/>
      <c r="C398" s="228" t="s">
        <v>831</v>
      </c>
      <c r="D398" s="228" t="s">
        <v>822</v>
      </c>
      <c r="E398" s="229">
        <v>156</v>
      </c>
      <c r="F398" s="227">
        <v>30</v>
      </c>
      <c r="G398" s="228">
        <f>E398*F398</f>
        <v>4680</v>
      </c>
      <c r="H398" s="228">
        <v>570</v>
      </c>
      <c r="I398" s="229">
        <f>G398+H398</f>
        <v>5250</v>
      </c>
      <c r="J398" s="229">
        <f>I398*0.1</f>
        <v>525</v>
      </c>
      <c r="K398" s="227">
        <f>I398*0.9</f>
        <v>4725</v>
      </c>
      <c r="L398" s="228" t="s">
        <v>619</v>
      </c>
      <c r="N398" s="225">
        <v>30</v>
      </c>
    </row>
    <row ht="18.75" r="399" spans="1:15" s="223" customFormat="1">
      <c r="A399" s="246">
        <v>248</v>
      </c>
      <c r="B399" s="228"/>
      <c r="C399" s="228" t="s">
        <v>830</v>
      </c>
      <c r="D399" s="228" t="s">
        <v>822</v>
      </c>
      <c r="E399" s="229">
        <v>164</v>
      </c>
      <c r="F399" s="227">
        <v>30</v>
      </c>
      <c r="G399" s="228">
        <f>E399*F399</f>
        <v>4920</v>
      </c>
      <c r="H399" s="228">
        <v>570</v>
      </c>
      <c r="I399" s="229">
        <f>G399+H399</f>
        <v>5490</v>
      </c>
      <c r="J399" s="229">
        <f>I399*0.1</f>
        <v>549</v>
      </c>
      <c r="K399" s="227">
        <f>I399*0.9</f>
        <v>4941</v>
      </c>
      <c r="L399" s="228" t="s">
        <v>619</v>
      </c>
      <c r="N399" s="225">
        <v>30</v>
      </c>
    </row>
    <row ht="18.75" r="400" spans="1:15" s="223" customFormat="1">
      <c r="A400" s="246">
        <v>249</v>
      </c>
      <c r="B400" s="228"/>
      <c r="C400" s="228" t="s">
        <v>829</v>
      </c>
      <c r="D400" s="228" t="s">
        <v>822</v>
      </c>
      <c r="E400" s="229">
        <v>185</v>
      </c>
      <c r="F400" s="227">
        <v>30</v>
      </c>
      <c r="G400" s="228">
        <f>E400*F400</f>
        <v>5550</v>
      </c>
      <c r="H400" s="228">
        <v>600</v>
      </c>
      <c r="I400" s="229">
        <f>G400+H400</f>
        <v>6150</v>
      </c>
      <c r="J400" s="229">
        <f>I400*0.1</f>
        <v>615</v>
      </c>
      <c r="K400" s="227">
        <f>I400*0.9</f>
        <v>5535</v>
      </c>
      <c r="L400" s="228" t="s">
        <v>619</v>
      </c>
      <c r="N400" s="225">
        <v>30</v>
      </c>
    </row>
    <row ht="18.75" r="401" spans="1:15" s="223" customFormat="1">
      <c r="A401" s="246">
        <v>250</v>
      </c>
      <c r="B401" s="228"/>
      <c r="C401" s="228" t="s">
        <v>828</v>
      </c>
      <c r="D401" s="228" t="s">
        <v>822</v>
      </c>
      <c r="E401" s="229">
        <v>156</v>
      </c>
      <c r="F401" s="227">
        <v>30</v>
      </c>
      <c r="G401" s="228">
        <f>E401*F401</f>
        <v>4680</v>
      </c>
      <c r="H401" s="228">
        <v>570</v>
      </c>
      <c r="I401" s="229">
        <f>G401+H401</f>
        <v>5250</v>
      </c>
      <c r="J401" s="229">
        <f>I401*0.1</f>
        <v>525</v>
      </c>
      <c r="K401" s="227">
        <f>I401*0.9</f>
        <v>4725</v>
      </c>
      <c r="L401" s="228" t="s">
        <v>619</v>
      </c>
      <c r="N401" s="225">
        <v>30</v>
      </c>
    </row>
    <row ht="18.75" r="402" spans="1:15" s="223" customFormat="1">
      <c r="A402" s="246">
        <v>251</v>
      </c>
      <c r="B402" s="228"/>
      <c r="C402" s="228" t="s">
        <v>827</v>
      </c>
      <c r="D402" s="228" t="s">
        <v>822</v>
      </c>
      <c r="E402" s="229">
        <v>230</v>
      </c>
      <c r="F402" s="227">
        <v>30</v>
      </c>
      <c r="G402" s="228">
        <f>E402*F402</f>
        <v>6900</v>
      </c>
      <c r="H402" s="228">
        <v>620</v>
      </c>
      <c r="I402" s="229">
        <f>G402+H402</f>
        <v>7520</v>
      </c>
      <c r="J402" s="229">
        <f>I402*0.1</f>
        <v>752</v>
      </c>
      <c r="K402" s="227">
        <f>I402*0.9</f>
        <v>6768</v>
      </c>
      <c r="L402" s="228" t="s">
        <v>619</v>
      </c>
      <c r="N402" s="225">
        <v>30</v>
      </c>
      <c r="O402" s="223">
        <v>70</v>
      </c>
    </row>
    <row ht="18.75" r="403" spans="1:15" s="223" customFormat="1">
      <c r="A403" s="246">
        <v>252</v>
      </c>
      <c r="B403" s="228"/>
      <c r="C403" s="228" t="s">
        <v>826</v>
      </c>
      <c r="D403" s="228" t="s">
        <v>822</v>
      </c>
      <c r="E403" s="229">
        <v>156</v>
      </c>
      <c r="F403" s="227">
        <v>30</v>
      </c>
      <c r="G403" s="228">
        <f>E403*F403</f>
        <v>4680</v>
      </c>
      <c r="H403" s="228">
        <v>570</v>
      </c>
      <c r="I403" s="229">
        <f>G403+H403</f>
        <v>5250</v>
      </c>
      <c r="J403" s="229">
        <f>I403*0.1</f>
        <v>525</v>
      </c>
      <c r="K403" s="227">
        <f>I403*0.9</f>
        <v>4725</v>
      </c>
      <c r="L403" s="228" t="s">
        <v>619</v>
      </c>
      <c r="N403" s="225">
        <v>30</v>
      </c>
      <c r="O403" s="223">
        <v>70</v>
      </c>
    </row>
    <row ht="18.75" r="404" spans="1:15" s="223" customFormat="1">
      <c r="A404" s="246">
        <v>253</v>
      </c>
      <c r="B404" s="228"/>
      <c r="C404" s="228" t="s">
        <v>825</v>
      </c>
      <c r="D404" s="228" t="s">
        <v>822</v>
      </c>
      <c r="E404" s="229">
        <v>170</v>
      </c>
      <c r="F404" s="227">
        <v>30</v>
      </c>
      <c r="G404" s="228">
        <f>E404*F404</f>
        <v>5100</v>
      </c>
      <c r="H404" s="228">
        <v>570</v>
      </c>
      <c r="I404" s="229">
        <f>G404+H404</f>
        <v>5670</v>
      </c>
      <c r="J404" s="229">
        <f>I404*0.1</f>
        <v>567</v>
      </c>
      <c r="K404" s="227">
        <f>I404*0.9</f>
        <v>5103</v>
      </c>
      <c r="L404" s="228" t="s">
        <v>619</v>
      </c>
      <c r="N404" s="225">
        <v>30</v>
      </c>
    </row>
    <row ht="18.75" r="405" spans="1:15" s="223" customFormat="1">
      <c r="A405" s="246">
        <v>254</v>
      </c>
      <c r="B405" s="228"/>
      <c r="C405" s="228" t="s">
        <v>824</v>
      </c>
      <c r="D405" s="228" t="s">
        <v>822</v>
      </c>
      <c r="E405" s="229">
        <v>230</v>
      </c>
      <c r="F405" s="227">
        <v>30</v>
      </c>
      <c r="G405" s="228">
        <f>E405*F405</f>
        <v>6900</v>
      </c>
      <c r="H405" s="228">
        <v>620</v>
      </c>
      <c r="I405" s="229">
        <f>G405+H405</f>
        <v>7520</v>
      </c>
      <c r="J405" s="229">
        <f>I405*0.1</f>
        <v>752</v>
      </c>
      <c r="K405" s="227">
        <f>I405*0.9</f>
        <v>6768</v>
      </c>
      <c r="L405" s="228" t="s">
        <v>619</v>
      </c>
      <c r="N405" s="225">
        <v>30</v>
      </c>
    </row>
    <row ht="18.75" r="406" spans="1:15" s="223" customFormat="1">
      <c r="A406" s="246">
        <v>255</v>
      </c>
      <c r="B406" s="228"/>
      <c r="C406" s="228" t="s">
        <v>823</v>
      </c>
      <c r="D406" s="228" t="s">
        <v>822</v>
      </c>
      <c r="E406" s="229">
        <v>156</v>
      </c>
      <c r="F406" s="227">
        <v>30</v>
      </c>
      <c r="G406" s="228">
        <f>E406*F406</f>
        <v>4680</v>
      </c>
      <c r="H406" s="228">
        <v>570</v>
      </c>
      <c r="I406" s="229">
        <f>G406+H406</f>
        <v>5250</v>
      </c>
      <c r="J406" s="229">
        <f>I406*0.1</f>
        <v>525</v>
      </c>
      <c r="K406" s="227">
        <f>I406*0.9</f>
        <v>4725</v>
      </c>
      <c r="L406" s="228" t="s">
        <v>619</v>
      </c>
      <c r="N406" s="225">
        <v>30</v>
      </c>
    </row>
    <row ht="18.75" r="407" spans="1:15" s="223" customFormat="1">
      <c r="A407" s="246">
        <v>256</v>
      </c>
      <c r="B407" s="228"/>
      <c r="C407" s="228" t="s">
        <v>821</v>
      </c>
      <c r="D407" s="228" t="s">
        <v>819</v>
      </c>
      <c r="E407" s="229">
        <v>200</v>
      </c>
      <c r="F407" s="227">
        <v>30</v>
      </c>
      <c r="G407" s="228">
        <f>E407*F407</f>
        <v>6000</v>
      </c>
      <c r="H407" s="228">
        <v>570</v>
      </c>
      <c r="I407" s="229">
        <f>G407+H407</f>
        <v>6570</v>
      </c>
      <c r="J407" s="229">
        <f>I407*0.1</f>
        <v>657</v>
      </c>
      <c r="K407" s="227">
        <f>I407*0.9</f>
        <v>5913</v>
      </c>
      <c r="L407" s="228" t="s">
        <v>619</v>
      </c>
      <c r="N407" s="225">
        <v>30</v>
      </c>
    </row>
    <row ht="18.75" r="408" spans="1:15" s="223" customFormat="1">
      <c r="A408" s="246">
        <v>257</v>
      </c>
      <c r="B408" s="228"/>
      <c r="C408" s="228" t="s">
        <v>820</v>
      </c>
      <c r="D408" s="228" t="s">
        <v>822</v>
      </c>
      <c r="E408" s="229">
        <v>156</v>
      </c>
      <c r="F408" s="227">
        <v>30</v>
      </c>
      <c r="G408" s="228">
        <f>E408*F408</f>
        <v>4680</v>
      </c>
      <c r="H408" s="228">
        <v>570</v>
      </c>
      <c r="I408" s="229">
        <f>G408+H408</f>
        <v>5250</v>
      </c>
      <c r="J408" s="229">
        <f>I408*0.1</f>
        <v>525</v>
      </c>
      <c r="K408" s="227">
        <f>I408*0.9</f>
        <v>4725</v>
      </c>
      <c r="L408" s="228" t="s">
        <v>619</v>
      </c>
      <c r="N408" s="225">
        <v>30</v>
      </c>
    </row>
    <row ht="18.75" r="409" spans="1:15" s="223" customFormat="1">
      <c r="A409" s="246">
        <v>218</v>
      </c>
      <c r="B409" s="228">
        <v>6205811</v>
      </c>
      <c r="C409" s="228" t="s">
        <v>867</v>
      </c>
      <c r="D409" s="228" t="s">
        <v>866</v>
      </c>
      <c r="E409" s="229">
        <v>156</v>
      </c>
      <c r="F409" s="227">
        <f>N409</f>
        <v>30</v>
      </c>
      <c r="G409" s="228">
        <f>E409*F409</f>
        <v>4680</v>
      </c>
      <c r="H409" s="228">
        <v>570</v>
      </c>
      <c r="I409" s="229">
        <f>G409+H409</f>
        <v>5250</v>
      </c>
      <c r="J409" s="229">
        <f>I409*0.1</f>
        <v>525</v>
      </c>
      <c r="K409" s="227">
        <f>I409*0.9</f>
        <v>4725</v>
      </c>
      <c r="L409" s="228" t="s">
        <v>619</v>
      </c>
      <c r="N409" s="225">
        <v>30</v>
      </c>
      <c r="O409" s="224">
        <v>60</v>
      </c>
    </row>
    <row ht="18.75" r="410" spans="1:15" s="223" customFormat="1">
      <c r="A410" s="246">
        <v>219</v>
      </c>
      <c r="B410" s="228">
        <v>6180655</v>
      </c>
      <c r="C410" s="228" t="s">
        <v>865</v>
      </c>
      <c r="D410" s="228" t="s">
        <v>864</v>
      </c>
      <c r="E410" s="229">
        <v>152</v>
      </c>
      <c r="F410" s="227">
        <v>30</v>
      </c>
      <c r="G410" s="228">
        <f>E410*F410</f>
        <v>4560</v>
      </c>
      <c r="H410" s="228">
        <v>500</v>
      </c>
      <c r="I410" s="229">
        <f>G410+H410</f>
        <v>5060</v>
      </c>
      <c r="J410" s="229">
        <f>I410*0.1</f>
        <v>506</v>
      </c>
      <c r="K410" s="227">
        <f>I410*0.9</f>
        <v>4554</v>
      </c>
      <c r="L410" s="228" t="s">
        <v>619</v>
      </c>
      <c r="N410" s="225"/>
      <c r="O410" s="224"/>
    </row>
    <row ht="18.75" r="411" spans="1:15" s="223" customFormat="1">
      <c r="A411" s="246">
        <v>220</v>
      </c>
      <c r="B411" s="228">
        <v>6190782</v>
      </c>
      <c r="C411" s="228" t="s">
        <v>863</v>
      </c>
      <c r="D411" s="228" t="s">
        <v>862</v>
      </c>
      <c r="E411" s="228">
        <v>120</v>
      </c>
      <c r="F411" s="227">
        <f>N411</f>
        <v>30</v>
      </c>
      <c r="G411" s="228">
        <f>E411*F411</f>
        <v>3600</v>
      </c>
      <c r="H411" s="228">
        <v>500</v>
      </c>
      <c r="I411" s="229">
        <f>G411+H411</f>
        <v>4100</v>
      </c>
      <c r="J411" s="229">
        <f>I411*0.1</f>
        <v>410</v>
      </c>
      <c r="K411" s="227">
        <f>I411*0.9</f>
        <v>3690</v>
      </c>
      <c r="L411" s="228" t="s">
        <v>619</v>
      </c>
      <c r="N411" s="225">
        <v>30</v>
      </c>
    </row>
    <row ht="18.75" r="412" spans="1:15" s="223" customFormat="1">
      <c r="A412" s="246">
        <v>221</v>
      </c>
      <c r="B412" s="228">
        <v>6192840</v>
      </c>
      <c r="C412" s="228" t="s">
        <v>861</v>
      </c>
      <c r="D412" s="228" t="s">
        <v>860</v>
      </c>
      <c r="E412" s="229">
        <v>125</v>
      </c>
      <c r="F412" s="227">
        <f>N412</f>
        <v>60</v>
      </c>
      <c r="G412" s="228">
        <f>E412*F412</f>
        <v>7500</v>
      </c>
      <c r="H412" s="228">
        <v>500</v>
      </c>
      <c r="I412" s="229">
        <f>G412+H412</f>
        <v>8000</v>
      </c>
      <c r="J412" s="229">
        <f>I412*0.1</f>
        <v>800</v>
      </c>
      <c r="K412" s="227">
        <f>I412*0.9</f>
        <v>7200</v>
      </c>
      <c r="L412" s="228" t="s">
        <v>619</v>
      </c>
      <c r="N412" s="225">
        <v>60</v>
      </c>
      <c r="O412" s="224">
        <v>55</v>
      </c>
    </row>
    <row ht="18.75" r="413" spans="1:15" s="223" customFormat="1">
      <c r="A413" s="246">
        <v>222</v>
      </c>
      <c r="B413" s="228">
        <v>6179142</v>
      </c>
      <c r="C413" s="228" t="s">
        <v>859</v>
      </c>
      <c r="D413" s="228" t="s">
        <v>858</v>
      </c>
      <c r="E413" s="229">
        <v>110</v>
      </c>
      <c r="F413" s="227">
        <f>N413</f>
        <v>60</v>
      </c>
      <c r="G413" s="228">
        <f>E413*F413</f>
        <v>6600</v>
      </c>
      <c r="H413" s="228">
        <v>500</v>
      </c>
      <c r="I413" s="229">
        <f>G413+H413</f>
        <v>7100</v>
      </c>
      <c r="J413" s="229">
        <f>I413*0.1</f>
        <v>710</v>
      </c>
      <c r="K413" s="227">
        <f>I413*0.9</f>
        <v>6390</v>
      </c>
      <c r="L413" s="228" t="s">
        <v>619</v>
      </c>
      <c r="N413" s="225">
        <v>60</v>
      </c>
      <c r="O413" s="224"/>
    </row>
    <row ht="18.75" r="414" spans="1:15" s="223" customFormat="1">
      <c r="A414" s="246">
        <v>223</v>
      </c>
      <c r="B414" s="228">
        <v>6171230</v>
      </c>
      <c r="C414" s="228" t="s">
        <v>857</v>
      </c>
      <c r="D414" s="228" t="s">
        <v>855</v>
      </c>
      <c r="E414" s="229">
        <v>90</v>
      </c>
      <c r="F414" s="227">
        <f>N414</f>
        <v>60</v>
      </c>
      <c r="G414" s="228">
        <f>E414*F414</f>
        <v>5400</v>
      </c>
      <c r="H414" s="228">
        <v>500</v>
      </c>
      <c r="I414" s="229">
        <f>G414+H414</f>
        <v>5900</v>
      </c>
      <c r="J414" s="229">
        <f>I414*0.1</f>
        <v>590</v>
      </c>
      <c r="K414" s="227">
        <f>I414*0.9</f>
        <v>5310</v>
      </c>
      <c r="L414" s="228" t="s">
        <v>619</v>
      </c>
      <c r="N414" s="225">
        <v>60</v>
      </c>
      <c r="O414" s="224">
        <v>65</v>
      </c>
    </row>
    <row ht="18.75" r="415" spans="1:15" s="223" customFormat="1">
      <c r="A415" s="246">
        <v>224</v>
      </c>
      <c r="B415" s="228">
        <v>6172326</v>
      </c>
      <c r="C415" s="228" t="s">
        <v>856</v>
      </c>
      <c r="D415" s="228" t="s">
        <v>855</v>
      </c>
      <c r="E415" s="229">
        <v>80</v>
      </c>
      <c r="F415" s="227">
        <f>N415</f>
        <v>60</v>
      </c>
      <c r="G415" s="228">
        <f>E415*F415</f>
        <v>4800</v>
      </c>
      <c r="H415" s="228">
        <v>500</v>
      </c>
      <c r="I415" s="229">
        <f>G415+H415</f>
        <v>5300</v>
      </c>
      <c r="J415" s="229">
        <f>I415*0.1</f>
        <v>530</v>
      </c>
      <c r="K415" s="227">
        <f>I415*0.9</f>
        <v>4770</v>
      </c>
      <c r="L415" s="228" t="s">
        <v>619</v>
      </c>
      <c r="N415" s="225">
        <v>60</v>
      </c>
      <c r="O415" s="224">
        <v>50</v>
      </c>
    </row>
    <row ht="18.75" r="416" spans="1:15" s="223" customFormat="1">
      <c r="A416" s="246">
        <v>225</v>
      </c>
      <c r="B416" s="228">
        <v>6182976</v>
      </c>
      <c r="C416" s="228" t="s">
        <v>854</v>
      </c>
      <c r="D416" s="228" t="s">
        <v>853</v>
      </c>
      <c r="E416" s="229">
        <v>80</v>
      </c>
      <c r="F416" s="227">
        <f>N416</f>
        <v>60</v>
      </c>
      <c r="G416" s="228">
        <f>E416*F416</f>
        <v>4800</v>
      </c>
      <c r="H416" s="228">
        <v>500</v>
      </c>
      <c r="I416" s="229">
        <f>G416+H416</f>
        <v>5300</v>
      </c>
      <c r="J416" s="229">
        <f>I416*0.1</f>
        <v>530</v>
      </c>
      <c r="K416" s="227">
        <f>I416*0.9</f>
        <v>4770</v>
      </c>
      <c r="L416" s="228" t="s">
        <v>619</v>
      </c>
      <c r="N416" s="225">
        <v>60</v>
      </c>
      <c r="O416" s="224">
        <v>50</v>
      </c>
    </row>
    <row ht="18.75" r="417" spans="1:22" s="223" customFormat="1">
      <c r="A417" s="246">
        <v>226</v>
      </c>
      <c r="B417" s="228">
        <v>6208151</v>
      </c>
      <c r="C417" s="228" t="s">
        <v>1305</v>
      </c>
      <c r="D417" s="228" t="s">
        <v>853</v>
      </c>
      <c r="E417" s="229">
        <v>40</v>
      </c>
      <c r="F417" s="227">
        <f>N417</f>
        <v>60</v>
      </c>
      <c r="G417" s="228">
        <f>E417*F417</f>
        <v>2400</v>
      </c>
      <c r="H417" s="228">
        <v>500</v>
      </c>
      <c r="I417" s="229">
        <f>G417+H417</f>
        <v>2900</v>
      </c>
      <c r="J417" s="229">
        <f>I417*0.1</f>
        <v>290</v>
      </c>
      <c r="K417" s="227">
        <f>I417*0.9</f>
        <v>2610</v>
      </c>
      <c r="L417" s="228" t="s">
        <v>619</v>
      </c>
      <c r="N417" s="225">
        <v>60</v>
      </c>
      <c r="O417" s="224">
        <v>50</v>
      </c>
    </row>
    <row ht="18.75" r="418" spans="1:22" s="223" customFormat="1">
      <c r="A418" s="246">
        <v>227</v>
      </c>
      <c r="B418" s="228">
        <v>6197698</v>
      </c>
      <c r="C418" s="228" t="s">
        <v>852</v>
      </c>
      <c r="D418" s="228" t="s">
        <v>851</v>
      </c>
      <c r="E418" s="229">
        <v>80</v>
      </c>
      <c r="F418" s="227">
        <f>N418</f>
        <v>60</v>
      </c>
      <c r="G418" s="228">
        <f>E418*F418</f>
        <v>4800</v>
      </c>
      <c r="H418" s="228">
        <v>500</v>
      </c>
      <c r="I418" s="229">
        <f>G418+H418</f>
        <v>5300</v>
      </c>
      <c r="J418" s="229">
        <f>I418*0.1</f>
        <v>530</v>
      </c>
      <c r="K418" s="227">
        <f>I418*0.9</f>
        <v>4770</v>
      </c>
      <c r="L418" s="228" t="s">
        <v>619</v>
      </c>
      <c r="N418" s="225">
        <v>60</v>
      </c>
      <c r="O418" s="224">
        <v>50</v>
      </c>
    </row>
    <row ht="18.75" r="419" spans="1:22" s="223" customFormat="1">
      <c r="A419" s="246">
        <v>229</v>
      </c>
      <c r="B419" s="228">
        <v>6173926</v>
      </c>
      <c r="C419" s="228" t="s">
        <v>850</v>
      </c>
      <c r="D419" s="228" t="s">
        <v>843</v>
      </c>
      <c r="E419" s="229">
        <v>80</v>
      </c>
      <c r="F419" s="227">
        <f>N419</f>
        <v>30</v>
      </c>
      <c r="G419" s="228">
        <f>E419*F419</f>
        <v>2400</v>
      </c>
      <c r="H419" s="228">
        <v>400</v>
      </c>
      <c r="I419" s="229">
        <f>G419+H419</f>
        <v>2800</v>
      </c>
      <c r="J419" s="229">
        <f>I419*0.1</f>
        <v>280</v>
      </c>
      <c r="K419" s="227">
        <f>I419*0.9</f>
        <v>2520</v>
      </c>
      <c r="L419" s="228" t="s">
        <v>619</v>
      </c>
      <c r="N419" s="225">
        <v>30</v>
      </c>
      <c r="O419" s="224">
        <v>40</v>
      </c>
    </row>
    <row ht="18.75" r="420" spans="1:22" s="223" customFormat="1">
      <c r="A420" s="246">
        <v>230</v>
      </c>
      <c r="B420" s="228">
        <v>6206937</v>
      </c>
      <c r="C420" s="228" t="s">
        <v>849</v>
      </c>
      <c r="D420" s="228" t="s">
        <v>843</v>
      </c>
      <c r="E420" s="229">
        <v>80</v>
      </c>
      <c r="F420" s="227">
        <f>N420</f>
        <v>30</v>
      </c>
      <c r="G420" s="228">
        <f>E420*F420</f>
        <v>2400</v>
      </c>
      <c r="H420" s="228">
        <v>400</v>
      </c>
      <c r="I420" s="229">
        <f>G420+H420</f>
        <v>2800</v>
      </c>
      <c r="J420" s="229">
        <f>I420*0.1</f>
        <v>280</v>
      </c>
      <c r="K420" s="227">
        <f>I420*0.9</f>
        <v>2520</v>
      </c>
      <c r="L420" s="228" t="s">
        <v>619</v>
      </c>
      <c r="N420" s="225">
        <v>30</v>
      </c>
      <c r="O420" s="224">
        <v>40</v>
      </c>
    </row>
    <row ht="18.75" r="421" spans="1:22" s="223" customFormat="1">
      <c r="A421" s="246">
        <v>231</v>
      </c>
      <c r="B421" s="228">
        <v>6178251</v>
      </c>
      <c r="C421" s="228" t="s">
        <v>848</v>
      </c>
      <c r="D421" s="228" t="s">
        <v>843</v>
      </c>
      <c r="E421" s="229">
        <v>75</v>
      </c>
      <c r="F421" s="227">
        <f>N421</f>
        <v>30</v>
      </c>
      <c r="G421" s="228">
        <f>E421*F421</f>
        <v>2250</v>
      </c>
      <c r="H421" s="228">
        <v>300</v>
      </c>
      <c r="I421" s="229">
        <f>G421+H421</f>
        <v>2550</v>
      </c>
      <c r="J421" s="229">
        <f>I421*0.1</f>
        <v>255</v>
      </c>
      <c r="K421" s="227">
        <f>I421*0.9</f>
        <v>2295</v>
      </c>
      <c r="L421" s="228" t="s">
        <v>619</v>
      </c>
      <c r="N421" s="225">
        <v>30</v>
      </c>
      <c r="O421" s="224">
        <v>30</v>
      </c>
    </row>
    <row ht="18.75" r="422" spans="1:22" s="223" customFormat="1">
      <c r="A422" s="246">
        <v>232</v>
      </c>
      <c r="B422" s="228">
        <v>6155413</v>
      </c>
      <c r="C422" s="228" t="s">
        <v>847</v>
      </c>
      <c r="D422" s="228" t="s">
        <v>843</v>
      </c>
      <c r="E422" s="229">
        <v>75</v>
      </c>
      <c r="F422" s="227">
        <v>30</v>
      </c>
      <c r="G422" s="228">
        <f>E422*F422</f>
        <v>2250</v>
      </c>
      <c r="H422" s="228">
        <v>300</v>
      </c>
      <c r="I422" s="229">
        <f>G422+H422</f>
        <v>2550</v>
      </c>
      <c r="J422" s="229">
        <f>I422*0.1</f>
        <v>255</v>
      </c>
      <c r="K422" s="227">
        <f>I422*0.9</f>
        <v>2295</v>
      </c>
      <c r="L422" s="228" t="s">
        <v>619</v>
      </c>
      <c r="N422" s="225"/>
      <c r="O422" s="224"/>
    </row>
    <row ht="18.75" r="423" spans="1:22" s="223" customFormat="1">
      <c r="A423" s="246">
        <v>233</v>
      </c>
      <c r="B423" s="228">
        <v>6200428</v>
      </c>
      <c r="C423" s="228" t="s">
        <v>846</v>
      </c>
      <c r="D423" s="228" t="s">
        <v>843</v>
      </c>
      <c r="E423" s="229">
        <v>80</v>
      </c>
      <c r="F423" s="227">
        <f>N423</f>
        <v>30</v>
      </c>
      <c r="G423" s="228">
        <f>E423*F423</f>
        <v>2400</v>
      </c>
      <c r="H423" s="228">
        <v>400</v>
      </c>
      <c r="I423" s="229">
        <f>G423+H423</f>
        <v>2800</v>
      </c>
      <c r="J423" s="229">
        <f>I423*0.1</f>
        <v>280</v>
      </c>
      <c r="K423" s="227">
        <f>I423*0.9</f>
        <v>2520</v>
      </c>
      <c r="L423" s="228" t="s">
        <v>619</v>
      </c>
      <c r="N423" s="225">
        <v>30</v>
      </c>
      <c r="O423" s="224">
        <v>40</v>
      </c>
    </row>
    <row ht="18.75" r="424" spans="1:22" s="223" customFormat="1">
      <c r="A424" s="246">
        <v>234</v>
      </c>
      <c r="B424" s="228">
        <v>6200842</v>
      </c>
      <c r="C424" s="228" t="s">
        <v>845</v>
      </c>
      <c r="D424" s="228" t="s">
        <v>843</v>
      </c>
      <c r="E424" s="229">
        <v>80</v>
      </c>
      <c r="F424" s="227">
        <f>N424</f>
        <v>30</v>
      </c>
      <c r="G424" s="228">
        <f>E424*F424</f>
        <v>2400</v>
      </c>
      <c r="H424" s="228">
        <v>400</v>
      </c>
      <c r="I424" s="229">
        <f>G424+H424</f>
        <v>2800</v>
      </c>
      <c r="J424" s="229">
        <f>I424*0.1</f>
        <v>280</v>
      </c>
      <c r="K424" s="227">
        <f>I424*0.9</f>
        <v>2520</v>
      </c>
      <c r="L424" s="228" t="s">
        <v>619</v>
      </c>
      <c r="N424" s="225">
        <v>30</v>
      </c>
      <c r="O424" s="224"/>
    </row>
    <row ht="18.75" r="425" spans="1:22" s="223" customFormat="1">
      <c r="A425" s="246">
        <v>235</v>
      </c>
      <c r="B425" s="228">
        <v>6188940</v>
      </c>
      <c r="C425" s="228" t="s">
        <v>844</v>
      </c>
      <c r="D425" s="228" t="s">
        <v>843</v>
      </c>
      <c r="E425" s="229">
        <v>75</v>
      </c>
      <c r="F425" s="227">
        <f>N425</f>
        <v>30</v>
      </c>
      <c r="G425" s="228">
        <f>E425*F425</f>
        <v>2250</v>
      </c>
      <c r="H425" s="228">
        <v>300</v>
      </c>
      <c r="I425" s="229">
        <f>G425+H425</f>
        <v>2550</v>
      </c>
      <c r="J425" s="229">
        <f>I425*0.1</f>
        <v>255</v>
      </c>
      <c r="K425" s="227">
        <f>I425*0.9</f>
        <v>2295</v>
      </c>
      <c r="L425" s="228" t="s">
        <v>619</v>
      </c>
      <c r="N425" s="225">
        <v>30</v>
      </c>
      <c r="O425" s="224"/>
    </row>
    <row ht="18.75" r="426" spans="1:22" s="223" customFormat="1">
      <c r="A426" s="246">
        <v>284</v>
      </c>
      <c r="B426" s="228">
        <v>6205730</v>
      </c>
      <c r="C426" s="228" t="s">
        <v>1203</v>
      </c>
      <c r="D426" s="228" t="s">
        <v>1184</v>
      </c>
      <c r="E426" s="229">
        <v>120</v>
      </c>
      <c r="F426" s="227">
        <v>30</v>
      </c>
      <c r="G426" s="228">
        <f>E426*F426</f>
        <v>3600</v>
      </c>
      <c r="H426" s="228">
        <v>500</v>
      </c>
      <c r="I426" s="229">
        <f>G426+H426</f>
        <v>4100</v>
      </c>
      <c r="J426" s="229">
        <f>I426*0.1</f>
        <v>410</v>
      </c>
      <c r="K426" s="227">
        <f>I426*0.9</f>
        <v>3690</v>
      </c>
      <c r="L426" s="228" t="s">
        <v>619</v>
      </c>
      <c r="M426" s="202"/>
      <c r="N426" s="225">
        <v>30</v>
      </c>
      <c r="O426" s="202"/>
      <c r="P426" s="202"/>
      <c r="Q426" s="202"/>
      <c r="R426" s="202"/>
      <c r="S426" s="202"/>
      <c r="T426" s="205"/>
      <c r="U426" s="205"/>
      <c r="V426" s="205"/>
    </row>
    <row ht="18.75" r="427" spans="1:22" s="223" customFormat="1">
      <c r="A427" s="246">
        <v>285</v>
      </c>
      <c r="B427" s="228" t="s">
        <v>1385</v>
      </c>
      <c r="C427" s="228" t="s">
        <v>1244</v>
      </c>
      <c r="D427" s="228" t="s">
        <v>1245</v>
      </c>
      <c r="E427" s="229">
        <v>156</v>
      </c>
      <c r="F427" s="227">
        <v>30</v>
      </c>
      <c r="G427" s="228">
        <f>E427*F427</f>
        <v>4680</v>
      </c>
      <c r="H427" s="228">
        <v>500</v>
      </c>
      <c r="I427" s="229">
        <f>G427+H427</f>
        <v>5180</v>
      </c>
      <c r="J427" s="229">
        <f>I427*0.1</f>
        <v>518</v>
      </c>
      <c r="K427" s="227">
        <f>I427*0.9</f>
        <v>4662</v>
      </c>
      <c r="L427" s="228" t="s">
        <v>619</v>
      </c>
      <c r="M427" s="202"/>
      <c r="N427" s="225">
        <v>30</v>
      </c>
      <c r="O427" s="202"/>
      <c r="P427" s="202"/>
      <c r="Q427" s="202"/>
      <c r="R427" s="202"/>
      <c r="S427" s="202"/>
      <c r="T427" s="205"/>
      <c r="U427" s="205"/>
      <c r="V427" s="205"/>
    </row>
    <row ht="15.75" r="428" spans="1:22" s="249" customFormat="1">
      <c r="A428" s="246">
        <v>345</v>
      </c>
      <c r="B428" s="249">
        <v>6197663</v>
      </c>
      <c r="C428" s="249" t="s">
        <v>1344</v>
      </c>
      <c r="D428" s="249" t="s">
        <v>806</v>
      </c>
      <c r="E428" s="249">
        <v>96</v>
      </c>
      <c r="F428" s="249">
        <v>30</v>
      </c>
      <c r="G428" s="249">
        <v>2880</v>
      </c>
      <c r="H428" s="249">
        <v>480</v>
      </c>
      <c r="I428" s="249">
        <v>3360</v>
      </c>
      <c r="J428" s="250">
        <f>I428*0.1</f>
        <v>336</v>
      </c>
      <c r="K428" s="251">
        <f>I428*0.9</f>
        <v>3024</v>
      </c>
      <c r="L428" s="249" t="s">
        <v>619</v>
      </c>
      <c r="N428" s="251">
        <v>30</v>
      </c>
      <c r="U428" s="250"/>
    </row>
    <row ht="15.75" r="429" spans="1:22" s="249" customFormat="1">
      <c r="A429" s="246">
        <v>348</v>
      </c>
      <c r="B429" s="249">
        <v>6180736</v>
      </c>
      <c r="C429" s="249" t="s">
        <v>1088</v>
      </c>
      <c r="D429" s="249" t="s">
        <v>1323</v>
      </c>
      <c r="E429" s="249">
        <v>80</v>
      </c>
      <c r="F429" s="251">
        <v>30</v>
      </c>
      <c r="G429" s="249">
        <f>E429*F429</f>
        <v>2400</v>
      </c>
      <c r="H429" s="249">
        <v>400</v>
      </c>
      <c r="I429" s="250">
        <f>G429+H429</f>
        <v>2800</v>
      </c>
      <c r="J429" s="250">
        <f>I429*0.1</f>
        <v>280</v>
      </c>
      <c r="K429" s="251">
        <f>I429*0.9</f>
        <v>2520</v>
      </c>
      <c r="L429" s="249" t="s">
        <v>619</v>
      </c>
      <c r="N429" s="251">
        <v>30</v>
      </c>
      <c r="U429" s="250"/>
    </row>
    <row ht="15.75" r="430" spans="1:22" s="249" customFormat="1">
      <c r="A430" s="246">
        <v>349</v>
      </c>
      <c r="B430" s="249">
        <v>6197728</v>
      </c>
      <c r="C430" s="249" t="s">
        <v>711</v>
      </c>
      <c r="D430" s="249" t="s">
        <v>806</v>
      </c>
      <c r="E430" s="249">
        <v>84</v>
      </c>
      <c r="F430" s="249">
        <v>30</v>
      </c>
      <c r="G430" s="249">
        <v>2520</v>
      </c>
      <c r="H430" s="249">
        <v>420</v>
      </c>
      <c r="I430" s="249">
        <v>2940</v>
      </c>
      <c r="J430" s="250">
        <f>I430*0.1</f>
        <v>294</v>
      </c>
      <c r="K430" s="251">
        <f>I430*0.9</f>
        <v>2646</v>
      </c>
      <c r="L430" s="249" t="s">
        <v>619</v>
      </c>
      <c r="N430" s="251">
        <v>30</v>
      </c>
      <c r="U430" s="250"/>
    </row>
    <row ht="15.75" r="431" spans="1:22" s="249" customFormat="1">
      <c r="A431" s="246">
        <v>350</v>
      </c>
      <c r="B431" s="249">
        <v>6205702</v>
      </c>
      <c r="C431" s="249" t="s">
        <v>1089</v>
      </c>
      <c r="D431" s="249" t="s">
        <v>806</v>
      </c>
      <c r="E431" s="249">
        <v>30</v>
      </c>
      <c r="F431" s="249">
        <v>30</v>
      </c>
      <c r="G431" s="249">
        <v>900</v>
      </c>
      <c r="H431" s="249">
        <v>150</v>
      </c>
      <c r="I431" s="249">
        <v>1050</v>
      </c>
      <c r="J431" s="250">
        <f>I431*0.1</f>
        <v>105</v>
      </c>
      <c r="K431" s="251">
        <f>I431*0.9</f>
        <v>945</v>
      </c>
      <c r="L431" s="249" t="s">
        <v>619</v>
      </c>
      <c r="N431" s="251">
        <v>30</v>
      </c>
      <c r="U431" s="250"/>
    </row>
    <row ht="15.75" r="432" spans="1:22" s="249" customFormat="1">
      <c r="A432" s="246">
        <v>351</v>
      </c>
      <c r="B432" s="249">
        <v>6205324</v>
      </c>
      <c r="C432" s="249" t="s">
        <v>1090</v>
      </c>
      <c r="D432" s="249" t="s">
        <v>806</v>
      </c>
      <c r="E432" s="249">
        <v>69</v>
      </c>
      <c r="F432" s="249">
        <v>30</v>
      </c>
      <c r="G432" s="249">
        <v>2070</v>
      </c>
      <c r="H432" s="249">
        <v>345</v>
      </c>
      <c r="I432" s="249">
        <v>2415</v>
      </c>
      <c r="J432" s="250">
        <f>I432*0.1</f>
        <v>241.5</v>
      </c>
      <c r="K432" s="251">
        <f>I432*0.9</f>
        <v>2173.5</v>
      </c>
      <c r="L432" s="249" t="s">
        <v>619</v>
      </c>
      <c r="N432" s="251">
        <v>30</v>
      </c>
      <c r="U432" s="250"/>
    </row>
    <row ht="15.75" r="433" spans="1:21" s="249" customFormat="1">
      <c r="A433" s="246">
        <v>352</v>
      </c>
      <c r="B433" s="249">
        <v>6163904</v>
      </c>
      <c r="C433" s="249" t="s">
        <v>1091</v>
      </c>
      <c r="D433" s="249" t="s">
        <v>806</v>
      </c>
      <c r="E433" s="249">
        <v>78</v>
      </c>
      <c r="F433" s="249">
        <v>30</v>
      </c>
      <c r="G433" s="249">
        <v>2340</v>
      </c>
      <c r="H433" s="249">
        <v>390</v>
      </c>
      <c r="I433" s="249">
        <v>2730</v>
      </c>
      <c r="J433" s="250">
        <f>I433*0.1</f>
        <v>273</v>
      </c>
      <c r="K433" s="251">
        <f>I433*0.9</f>
        <v>2457</v>
      </c>
      <c r="L433" s="249" t="s">
        <v>619</v>
      </c>
      <c r="N433" s="251">
        <v>30</v>
      </c>
      <c r="U433" s="250"/>
    </row>
    <row ht="15.75" r="434" spans="1:21" s="249" customFormat="1">
      <c r="A434" s="246">
        <v>353</v>
      </c>
      <c r="B434" s="249">
        <v>6206431</v>
      </c>
      <c r="C434" s="249" t="s">
        <v>710</v>
      </c>
      <c r="D434" s="249" t="s">
        <v>806</v>
      </c>
      <c r="E434" s="249">
        <v>72</v>
      </c>
      <c r="F434" s="249">
        <v>30</v>
      </c>
      <c r="G434" s="249">
        <v>2160</v>
      </c>
      <c r="H434" s="249">
        <v>360</v>
      </c>
      <c r="I434" s="249">
        <v>2520</v>
      </c>
      <c r="J434" s="250">
        <f>I434*0.1</f>
        <v>252</v>
      </c>
      <c r="K434" s="251">
        <f>I434*0.9</f>
        <v>2268</v>
      </c>
      <c r="L434" s="249" t="s">
        <v>619</v>
      </c>
      <c r="N434" s="251">
        <v>30</v>
      </c>
      <c r="U434" s="250"/>
    </row>
    <row ht="15.75" r="435" spans="1:21" s="249" customFormat="1">
      <c r="A435" s="246">
        <v>354</v>
      </c>
      <c r="B435" s="249">
        <v>6169996</v>
      </c>
      <c r="C435" s="249" t="s">
        <v>1092</v>
      </c>
      <c r="D435" s="249" t="s">
        <v>806</v>
      </c>
      <c r="E435" s="249">
        <v>87</v>
      </c>
      <c r="F435" s="249">
        <v>30</v>
      </c>
      <c r="G435" s="249">
        <v>2610</v>
      </c>
      <c r="H435" s="249">
        <v>435</v>
      </c>
      <c r="I435" s="249">
        <v>3045</v>
      </c>
      <c r="J435" s="250">
        <f>I435*0.1</f>
        <v>304.5</v>
      </c>
      <c r="K435" s="251">
        <f>I435*0.9</f>
        <v>2740.5</v>
      </c>
      <c r="L435" s="249" t="s">
        <v>619</v>
      </c>
      <c r="N435" s="251">
        <v>30</v>
      </c>
      <c r="U435" s="250"/>
    </row>
    <row ht="15.75" r="436" spans="1:21" s="249" customFormat="1">
      <c r="A436" s="246">
        <v>355</v>
      </c>
      <c r="B436" s="249">
        <v>6205252</v>
      </c>
      <c r="C436" s="249" t="s">
        <v>1093</v>
      </c>
      <c r="D436" s="249" t="s">
        <v>806</v>
      </c>
      <c r="E436" s="249">
        <v>114</v>
      </c>
      <c r="F436" s="249">
        <v>30</v>
      </c>
      <c r="G436" s="249">
        <v>3420</v>
      </c>
      <c r="H436" s="249">
        <v>570</v>
      </c>
      <c r="I436" s="249">
        <v>3990</v>
      </c>
      <c r="J436" s="250">
        <f>I436*0.1</f>
        <v>399</v>
      </c>
      <c r="K436" s="251">
        <f>I436*0.9</f>
        <v>3591</v>
      </c>
      <c r="L436" s="249" t="s">
        <v>619</v>
      </c>
      <c r="N436" s="251">
        <v>30</v>
      </c>
      <c r="U436" s="250"/>
    </row>
    <row ht="15.75" r="437" spans="1:21" s="249" customFormat="1">
      <c r="A437" s="246">
        <v>356</v>
      </c>
      <c r="B437" s="249">
        <v>6205234</v>
      </c>
      <c r="C437" s="249" t="s">
        <v>1094</v>
      </c>
      <c r="D437" s="249" t="s">
        <v>806</v>
      </c>
      <c r="E437" s="249">
        <v>114</v>
      </c>
      <c r="F437" s="249">
        <v>30</v>
      </c>
      <c r="G437" s="249">
        <v>3420</v>
      </c>
      <c r="H437" s="249">
        <v>570</v>
      </c>
      <c r="I437" s="249">
        <v>3990</v>
      </c>
      <c r="J437" s="250">
        <f>I437*0.1</f>
        <v>399</v>
      </c>
      <c r="K437" s="251">
        <f>I437*0.9</f>
        <v>3591</v>
      </c>
      <c r="L437" s="249" t="s">
        <v>619</v>
      </c>
      <c r="N437" s="251">
        <v>30</v>
      </c>
      <c r="U437" s="250"/>
    </row>
    <row ht="15.75" r="438" spans="1:21" s="249" customFormat="1">
      <c r="A438" s="246">
        <v>357</v>
      </c>
      <c r="B438" s="249">
        <v>6206568</v>
      </c>
      <c r="C438" s="249" t="s">
        <v>719</v>
      </c>
      <c r="D438" s="249" t="s">
        <v>806</v>
      </c>
      <c r="E438" s="249">
        <v>75</v>
      </c>
      <c r="F438" s="249">
        <v>30</v>
      </c>
      <c r="G438" s="249">
        <v>2250</v>
      </c>
      <c r="H438" s="249">
        <v>375</v>
      </c>
      <c r="I438" s="249">
        <v>2625</v>
      </c>
      <c r="J438" s="250">
        <f>I438*0.1</f>
        <v>262.5</v>
      </c>
      <c r="K438" s="251">
        <f>I438*0.9</f>
        <v>2362.5</v>
      </c>
      <c r="L438" s="249" t="s">
        <v>619</v>
      </c>
      <c r="N438" s="251">
        <v>30</v>
      </c>
      <c r="U438" s="250"/>
    </row>
    <row ht="15.75" r="439" spans="1:21" s="249" customFormat="1">
      <c r="A439" s="246">
        <v>358</v>
      </c>
      <c r="B439" s="249">
        <v>6205280</v>
      </c>
      <c r="C439" s="249" t="s">
        <v>1095</v>
      </c>
      <c r="D439" s="249" t="s">
        <v>806</v>
      </c>
      <c r="E439" s="249">
        <v>99</v>
      </c>
      <c r="F439" s="249">
        <v>30</v>
      </c>
      <c r="G439" s="249">
        <v>2970</v>
      </c>
      <c r="H439" s="249">
        <v>495</v>
      </c>
      <c r="I439" s="249">
        <v>3465</v>
      </c>
      <c r="J439" s="250">
        <f>I439*0.1</f>
        <v>346.5</v>
      </c>
      <c r="K439" s="251">
        <f>I439*0.9</f>
        <v>3118.5</v>
      </c>
      <c r="L439" s="249" t="s">
        <v>619</v>
      </c>
      <c r="N439" s="251">
        <v>30</v>
      </c>
      <c r="U439" s="250"/>
    </row>
    <row ht="15.75" r="440" spans="1:21" s="249" customFormat="1">
      <c r="A440" s="246">
        <v>359</v>
      </c>
      <c r="B440" s="249">
        <v>6166393</v>
      </c>
      <c r="C440" s="249" t="s">
        <v>1096</v>
      </c>
      <c r="D440" s="249" t="s">
        <v>806</v>
      </c>
      <c r="E440" s="249">
        <v>57</v>
      </c>
      <c r="F440" s="249">
        <v>30</v>
      </c>
      <c r="G440" s="249">
        <v>1710</v>
      </c>
      <c r="H440" s="249">
        <v>285</v>
      </c>
      <c r="I440" s="249">
        <v>1995</v>
      </c>
      <c r="J440" s="250">
        <f>I440*0.1</f>
        <v>199.5</v>
      </c>
      <c r="K440" s="251">
        <f>I440*0.9</f>
        <v>1795.5</v>
      </c>
      <c r="L440" s="249" t="s">
        <v>619</v>
      </c>
      <c r="N440" s="251">
        <v>30</v>
      </c>
      <c r="U440" s="250"/>
    </row>
    <row ht="15.75" r="441" spans="1:21" s="249" customFormat="1">
      <c r="A441" s="246">
        <v>360</v>
      </c>
      <c r="B441" s="249">
        <v>6176381</v>
      </c>
      <c r="C441" s="249" t="s">
        <v>1343</v>
      </c>
      <c r="D441" s="249" t="s">
        <v>806</v>
      </c>
      <c r="E441" s="249">
        <v>87</v>
      </c>
      <c r="F441" s="249">
        <v>30</v>
      </c>
      <c r="G441" s="249">
        <v>2610</v>
      </c>
      <c r="H441" s="249">
        <v>435</v>
      </c>
      <c r="I441" s="249">
        <v>3045</v>
      </c>
      <c r="J441" s="250">
        <f>I441*0.1</f>
        <v>304.5</v>
      </c>
      <c r="K441" s="251">
        <f>I441*0.9</f>
        <v>2740.5</v>
      </c>
      <c r="L441" s="249" t="s">
        <v>619</v>
      </c>
      <c r="N441" s="251">
        <v>30</v>
      </c>
      <c r="U441" s="250"/>
    </row>
    <row ht="15.75" r="442" spans="1:21" s="249" customFormat="1">
      <c r="A442" s="246">
        <v>361</v>
      </c>
      <c r="B442" s="249">
        <v>6170269</v>
      </c>
      <c r="C442" s="249" t="s">
        <v>1097</v>
      </c>
      <c r="D442" s="249" t="s">
        <v>806</v>
      </c>
      <c r="E442" s="249">
        <v>96</v>
      </c>
      <c r="F442" s="249">
        <v>30</v>
      </c>
      <c r="G442" s="249">
        <v>2880</v>
      </c>
      <c r="H442" s="249">
        <v>480</v>
      </c>
      <c r="I442" s="249">
        <v>3360</v>
      </c>
      <c r="J442" s="250">
        <f>I442*0.1</f>
        <v>336</v>
      </c>
      <c r="K442" s="251">
        <f>I442*0.9</f>
        <v>3024</v>
      </c>
      <c r="L442" s="249" t="s">
        <v>619</v>
      </c>
      <c r="N442" s="251">
        <v>30</v>
      </c>
      <c r="U442" s="250"/>
    </row>
    <row ht="15.75" r="443" spans="1:21" s="249" customFormat="1">
      <c r="A443" s="246">
        <v>365</v>
      </c>
      <c r="B443" s="249">
        <v>6204399</v>
      </c>
      <c r="C443" s="249" t="s">
        <v>1098</v>
      </c>
      <c r="D443" s="249" t="s">
        <v>806</v>
      </c>
      <c r="E443" s="249">
        <v>81</v>
      </c>
      <c r="F443" s="249">
        <v>30</v>
      </c>
      <c r="G443" s="249">
        <v>2430</v>
      </c>
      <c r="H443" s="249">
        <v>405</v>
      </c>
      <c r="I443" s="249">
        <v>2835</v>
      </c>
      <c r="J443" s="250">
        <f>I443*0.1</f>
        <v>283.5</v>
      </c>
      <c r="K443" s="251">
        <f>I443*0.9</f>
        <v>2551.5</v>
      </c>
      <c r="L443" s="249" t="s">
        <v>619</v>
      </c>
      <c r="N443" s="251">
        <v>30</v>
      </c>
      <c r="U443" s="250"/>
    </row>
    <row ht="15.75" r="444" spans="1:21" s="249" customFormat="1">
      <c r="A444" s="246">
        <v>366</v>
      </c>
      <c r="B444" s="249">
        <v>6192165</v>
      </c>
      <c r="C444" s="249" t="s">
        <v>1099</v>
      </c>
      <c r="D444" s="249" t="s">
        <v>806</v>
      </c>
      <c r="E444" s="249">
        <v>81</v>
      </c>
      <c r="F444" s="249">
        <v>30</v>
      </c>
      <c r="G444" s="249">
        <v>2430</v>
      </c>
      <c r="H444" s="249">
        <v>405</v>
      </c>
      <c r="I444" s="249">
        <v>2835</v>
      </c>
      <c r="J444" s="250">
        <f>I444*0.1</f>
        <v>283.5</v>
      </c>
      <c r="K444" s="251">
        <f>I444*0.9</f>
        <v>2551.5</v>
      </c>
      <c r="L444" s="249" t="s">
        <v>619</v>
      </c>
      <c r="N444" s="251">
        <v>30</v>
      </c>
      <c r="U444" s="250"/>
    </row>
    <row ht="15.75" r="445" spans="1:21" s="249" customFormat="1">
      <c r="A445" s="246">
        <v>367</v>
      </c>
      <c r="B445" s="249">
        <v>6197744</v>
      </c>
      <c r="C445" s="249" t="s">
        <v>1100</v>
      </c>
      <c r="D445" s="249" t="s">
        <v>806</v>
      </c>
      <c r="E445" s="249">
        <v>60</v>
      </c>
      <c r="F445" s="249">
        <v>30</v>
      </c>
      <c r="G445" s="249">
        <v>1800</v>
      </c>
      <c r="H445" s="249">
        <v>300</v>
      </c>
      <c r="I445" s="249">
        <v>2100</v>
      </c>
      <c r="J445" s="250">
        <f>I445*0.1</f>
        <v>210</v>
      </c>
      <c r="K445" s="251">
        <f>I445*0.9</f>
        <v>1890</v>
      </c>
      <c r="L445" s="249" t="s">
        <v>619</v>
      </c>
      <c r="N445" s="251">
        <v>30</v>
      </c>
      <c r="U445" s="250"/>
    </row>
    <row ht="15.75" r="446" spans="1:21" s="249" customFormat="1">
      <c r="A446" s="246">
        <v>368</v>
      </c>
      <c r="B446" s="249">
        <v>6176411</v>
      </c>
      <c r="C446" s="249" t="s">
        <v>1101</v>
      </c>
      <c r="D446" s="249" t="s">
        <v>806</v>
      </c>
      <c r="E446" s="249">
        <v>39</v>
      </c>
      <c r="F446" s="249">
        <v>30</v>
      </c>
      <c r="G446" s="249">
        <v>1170</v>
      </c>
      <c r="H446" s="249">
        <v>195</v>
      </c>
      <c r="I446" s="249">
        <v>1365</v>
      </c>
      <c r="J446" s="250">
        <f>I446*0.1</f>
        <v>136.5</v>
      </c>
      <c r="K446" s="251">
        <f>I446*0.9</f>
        <v>1228.5</v>
      </c>
      <c r="L446" s="249" t="s">
        <v>619</v>
      </c>
      <c r="N446" s="251">
        <v>30</v>
      </c>
      <c r="U446" s="250"/>
    </row>
    <row ht="15.75" r="447" spans="1:21" s="249" customFormat="1">
      <c r="A447" s="246">
        <v>369</v>
      </c>
      <c r="B447" s="249">
        <v>6205225</v>
      </c>
      <c r="C447" s="249" t="s">
        <v>1102</v>
      </c>
      <c r="D447" s="249" t="s">
        <v>806</v>
      </c>
      <c r="E447" s="249">
        <v>48</v>
      </c>
      <c r="F447" s="249">
        <v>30</v>
      </c>
      <c r="G447" s="249">
        <v>1440</v>
      </c>
      <c r="H447" s="249">
        <v>240</v>
      </c>
      <c r="I447" s="249">
        <v>1680</v>
      </c>
      <c r="J447" s="250">
        <f>I447*0.1</f>
        <v>168</v>
      </c>
      <c r="K447" s="251">
        <f>I447*0.9</f>
        <v>1512</v>
      </c>
      <c r="L447" s="249" t="s">
        <v>619</v>
      </c>
      <c r="N447" s="251">
        <v>30</v>
      </c>
      <c r="U447" s="250"/>
    </row>
    <row ht="15.75" r="448" spans="1:21" s="249" customFormat="1">
      <c r="A448" s="246">
        <v>370</v>
      </c>
      <c r="B448" s="249">
        <v>6169554</v>
      </c>
      <c r="C448" s="249" t="s">
        <v>1103</v>
      </c>
      <c r="D448" s="249" t="s">
        <v>806</v>
      </c>
      <c r="E448" s="249">
        <v>57</v>
      </c>
      <c r="F448" s="249">
        <v>30</v>
      </c>
      <c r="G448" s="249">
        <v>1710</v>
      </c>
      <c r="H448" s="249">
        <v>285</v>
      </c>
      <c r="I448" s="249">
        <v>1995</v>
      </c>
      <c r="J448" s="250">
        <f>I448*0.1</f>
        <v>199.5</v>
      </c>
      <c r="K448" s="251">
        <f>I448*0.9</f>
        <v>1795.5</v>
      </c>
      <c r="L448" s="249" t="s">
        <v>619</v>
      </c>
      <c r="N448" s="251">
        <v>30</v>
      </c>
      <c r="U448" s="250"/>
    </row>
    <row ht="15.75" r="449" spans="1:21" s="249" customFormat="1">
      <c r="A449" s="246">
        <v>371</v>
      </c>
      <c r="B449" s="249">
        <v>6205216</v>
      </c>
      <c r="C449" s="249" t="s">
        <v>1104</v>
      </c>
      <c r="D449" s="249" t="s">
        <v>806</v>
      </c>
      <c r="E449" s="249">
        <v>84</v>
      </c>
      <c r="F449" s="249">
        <v>30</v>
      </c>
      <c r="G449" s="249">
        <v>2520</v>
      </c>
      <c r="H449" s="249">
        <v>420</v>
      </c>
      <c r="I449" s="249">
        <v>2940</v>
      </c>
      <c r="J449" s="250">
        <f>I449*0.1</f>
        <v>294</v>
      </c>
      <c r="K449" s="251">
        <f>I449*0.9</f>
        <v>2646</v>
      </c>
      <c r="L449" s="249" t="s">
        <v>619</v>
      </c>
      <c r="N449" s="251">
        <v>30</v>
      </c>
      <c r="U449" s="250"/>
    </row>
    <row ht="15.75" r="450" spans="1:21" s="249" customFormat="1">
      <c r="A450" s="246">
        <v>372</v>
      </c>
      <c r="B450" s="249">
        <v>6192955</v>
      </c>
      <c r="C450" s="249" t="s">
        <v>1105</v>
      </c>
      <c r="D450" s="249" t="s">
        <v>806</v>
      </c>
      <c r="E450" s="249">
        <v>33</v>
      </c>
      <c r="F450" s="249">
        <v>30</v>
      </c>
      <c r="G450" s="249">
        <v>990</v>
      </c>
      <c r="H450" s="249">
        <v>165</v>
      </c>
      <c r="I450" s="249">
        <v>1155</v>
      </c>
      <c r="J450" s="250">
        <f>I450*0.1</f>
        <v>115.5</v>
      </c>
      <c r="K450" s="251">
        <f>I450*0.9</f>
        <v>1039.5</v>
      </c>
      <c r="L450" s="249" t="s">
        <v>619</v>
      </c>
      <c r="N450" s="251">
        <v>30</v>
      </c>
      <c r="U450" s="250"/>
    </row>
    <row ht="15.75" r="451" spans="1:21" s="249" customFormat="1">
      <c r="A451" s="246">
        <v>373</v>
      </c>
      <c r="B451" s="249">
        <v>6153313</v>
      </c>
      <c r="C451" s="249" t="s">
        <v>717</v>
      </c>
      <c r="D451" s="249" t="s">
        <v>806</v>
      </c>
      <c r="E451" s="249">
        <v>130</v>
      </c>
      <c r="F451" s="249">
        <v>30</v>
      </c>
      <c r="G451" s="249">
        <f>E451*F451</f>
        <v>3900</v>
      </c>
      <c r="H451" s="249">
        <v>570</v>
      </c>
      <c r="I451" s="249">
        <f>G451+H451</f>
        <v>4470</v>
      </c>
      <c r="J451" s="250">
        <f>I451*0.1</f>
        <v>447</v>
      </c>
      <c r="K451" s="251">
        <f>I451*0.9</f>
        <v>4023</v>
      </c>
      <c r="L451" s="249" t="s">
        <v>619</v>
      </c>
      <c r="N451" s="251">
        <v>30</v>
      </c>
      <c r="U451" s="250"/>
    </row>
    <row ht="15.75" r="452" spans="1:21" s="249" customFormat="1">
      <c r="A452" s="246">
        <v>374</v>
      </c>
      <c r="B452" s="249">
        <v>6204470</v>
      </c>
      <c r="C452" s="249" t="s">
        <v>1106</v>
      </c>
      <c r="D452" s="249" t="s">
        <v>806</v>
      </c>
      <c r="E452" s="249">
        <v>69</v>
      </c>
      <c r="F452" s="249">
        <v>30</v>
      </c>
      <c r="G452" s="249">
        <v>2070</v>
      </c>
      <c r="H452" s="249">
        <v>345</v>
      </c>
      <c r="I452" s="249">
        <v>2415</v>
      </c>
      <c r="J452" s="250">
        <f>I452*0.1</f>
        <v>241.5</v>
      </c>
      <c r="K452" s="251">
        <f>I452*0.9</f>
        <v>2173.5</v>
      </c>
      <c r="L452" s="249" t="s">
        <v>619</v>
      </c>
      <c r="N452" s="251">
        <v>30</v>
      </c>
      <c r="U452" s="250"/>
    </row>
    <row ht="15.75" r="453" spans="1:21" s="249" customFormat="1">
      <c r="A453" s="246">
        <v>375</v>
      </c>
      <c r="B453" s="249">
        <v>6134998</v>
      </c>
      <c r="C453" s="249" t="s">
        <v>743</v>
      </c>
      <c r="D453" s="249" t="s">
        <v>806</v>
      </c>
      <c r="E453" s="249">
        <v>105</v>
      </c>
      <c r="F453" s="249">
        <v>30</v>
      </c>
      <c r="G453" s="249">
        <v>3150</v>
      </c>
      <c r="H453" s="249">
        <v>525</v>
      </c>
      <c r="I453" s="249">
        <v>3675</v>
      </c>
      <c r="J453" s="250">
        <f>I453*0.1</f>
        <v>367.5</v>
      </c>
      <c r="K453" s="251">
        <f>I453*0.9</f>
        <v>3307.5</v>
      </c>
      <c r="L453" s="249" t="s">
        <v>619</v>
      </c>
      <c r="N453" s="251">
        <v>30</v>
      </c>
      <c r="O453" s="249">
        <v>30</v>
      </c>
      <c r="U453" s="250"/>
    </row>
    <row ht="15.75" r="454" spans="1:21" s="249" customFormat="1">
      <c r="A454" s="246">
        <v>376</v>
      </c>
      <c r="B454" s="249" t="s">
        <v>1386</v>
      </c>
      <c r="C454" s="249" t="s">
        <v>1107</v>
      </c>
      <c r="D454" s="249" t="s">
        <v>806</v>
      </c>
      <c r="E454" s="249">
        <v>69</v>
      </c>
      <c r="F454" s="249">
        <v>30</v>
      </c>
      <c r="G454" s="249">
        <v>2070</v>
      </c>
      <c r="H454" s="249">
        <v>345</v>
      </c>
      <c r="I454" s="249">
        <v>2415</v>
      </c>
      <c r="J454" s="250">
        <f>I454*0.1</f>
        <v>241.5</v>
      </c>
      <c r="K454" s="251">
        <f>I454*0.9</f>
        <v>2173.5</v>
      </c>
      <c r="L454" s="249" t="s">
        <v>619</v>
      </c>
      <c r="N454" s="251">
        <v>30</v>
      </c>
      <c r="O454" s="249">
        <v>42</v>
      </c>
      <c r="U454" s="250"/>
    </row>
    <row ht="15.75" r="455" spans="1:21" s="249" customFormat="1">
      <c r="A455" s="246">
        <v>377</v>
      </c>
      <c r="B455" s="249">
        <v>6195385</v>
      </c>
      <c r="C455" s="249" t="s">
        <v>1108</v>
      </c>
      <c r="D455" s="249" t="s">
        <v>806</v>
      </c>
      <c r="E455" s="249">
        <v>72</v>
      </c>
      <c r="F455" s="249">
        <v>30</v>
      </c>
      <c r="G455" s="249">
        <v>2160</v>
      </c>
      <c r="H455" s="249">
        <v>360</v>
      </c>
      <c r="I455" s="249">
        <v>2520</v>
      </c>
      <c r="J455" s="250">
        <f>I455*0.1</f>
        <v>252</v>
      </c>
      <c r="K455" s="251">
        <f>I455*0.9</f>
        <v>2268</v>
      </c>
      <c r="L455" s="249" t="s">
        <v>619</v>
      </c>
      <c r="N455" s="251">
        <v>30</v>
      </c>
      <c r="O455" s="249">
        <v>42</v>
      </c>
      <c r="U455" s="250"/>
    </row>
    <row ht="15.75" r="456" spans="1:21" s="249" customFormat="1">
      <c r="A456" s="246">
        <v>378</v>
      </c>
      <c r="B456" s="249">
        <v>6197647</v>
      </c>
      <c r="C456" s="249" t="s">
        <v>1109</v>
      </c>
      <c r="D456" s="249" t="s">
        <v>806</v>
      </c>
      <c r="E456" s="249">
        <v>66</v>
      </c>
      <c r="F456" s="249">
        <v>30</v>
      </c>
      <c r="G456" s="249">
        <v>1980</v>
      </c>
      <c r="H456" s="249">
        <v>330</v>
      </c>
      <c r="I456" s="249">
        <v>2310</v>
      </c>
      <c r="J456" s="250">
        <f>I456*0.1</f>
        <v>231</v>
      </c>
      <c r="K456" s="251">
        <f>I456*0.9</f>
        <v>2079</v>
      </c>
      <c r="L456" s="249" t="s">
        <v>619</v>
      </c>
      <c r="N456" s="251">
        <v>30</v>
      </c>
      <c r="O456" s="249">
        <v>60</v>
      </c>
      <c r="U456" s="250"/>
    </row>
    <row ht="15.75" r="457" spans="1:21" s="249" customFormat="1">
      <c r="A457" s="246">
        <v>379</v>
      </c>
      <c r="B457" s="249">
        <v>6200437</v>
      </c>
      <c r="C457" s="249" t="s">
        <v>721</v>
      </c>
      <c r="D457" s="249" t="s">
        <v>806</v>
      </c>
      <c r="E457" s="249">
        <v>63</v>
      </c>
      <c r="F457" s="249">
        <v>30</v>
      </c>
      <c r="G457" s="249">
        <v>1890</v>
      </c>
      <c r="H457" s="249">
        <v>315</v>
      </c>
      <c r="I457" s="249">
        <v>2205</v>
      </c>
      <c r="J457" s="250">
        <f>I457*0.1</f>
        <v>220.5</v>
      </c>
      <c r="K457" s="251">
        <f>I457*0.9</f>
        <v>1984.5</v>
      </c>
      <c r="L457" s="249" t="s">
        <v>619</v>
      </c>
      <c r="N457" s="251">
        <v>30</v>
      </c>
      <c r="O457" s="249">
        <v>60</v>
      </c>
      <c r="U457" s="250"/>
    </row>
    <row ht="15.75" r="458" spans="1:21" s="249" customFormat="1">
      <c r="A458" s="246">
        <v>380</v>
      </c>
      <c r="B458" s="249">
        <v>6205261</v>
      </c>
      <c r="C458" s="249" t="s">
        <v>1110</v>
      </c>
      <c r="D458" s="249" t="s">
        <v>806</v>
      </c>
      <c r="E458" s="249">
        <v>60</v>
      </c>
      <c r="F458" s="249">
        <v>30</v>
      </c>
      <c r="G458" s="249">
        <v>1800</v>
      </c>
      <c r="H458" s="249">
        <v>300</v>
      </c>
      <c r="I458" s="249">
        <v>2100</v>
      </c>
      <c r="J458" s="250">
        <f>I458*0.1</f>
        <v>210</v>
      </c>
      <c r="K458" s="251">
        <f>I458*0.9</f>
        <v>1890</v>
      </c>
      <c r="L458" s="249" t="s">
        <v>619</v>
      </c>
      <c r="N458" s="251">
        <v>30</v>
      </c>
      <c r="O458" s="249">
        <v>40</v>
      </c>
      <c r="U458" s="250"/>
    </row>
    <row ht="15.75" r="459" spans="1:21" s="249" customFormat="1">
      <c r="A459" s="246">
        <v>382</v>
      </c>
      <c r="B459" s="249">
        <v>6186980</v>
      </c>
      <c r="C459" s="249" t="s">
        <v>1112</v>
      </c>
      <c r="D459" s="249" t="s">
        <v>1323</v>
      </c>
      <c r="E459" s="249">
        <v>80</v>
      </c>
      <c r="F459" s="251">
        <v>30</v>
      </c>
      <c r="G459" s="249">
        <f>E459*F459</f>
        <v>2400</v>
      </c>
      <c r="H459" s="249">
        <v>400</v>
      </c>
      <c r="I459" s="250">
        <f>G459+H459</f>
        <v>2800</v>
      </c>
      <c r="J459" s="250">
        <f>I459*0.1</f>
        <v>280</v>
      </c>
      <c r="K459" s="251">
        <f>I459*0.9</f>
        <v>2520</v>
      </c>
      <c r="L459" s="249" t="s">
        <v>619</v>
      </c>
      <c r="N459" s="251">
        <v>30</v>
      </c>
      <c r="O459" s="249">
        <v>94</v>
      </c>
      <c r="P459" s="250"/>
      <c r="U459" s="250"/>
    </row>
    <row ht="15.75" r="460" spans="1:21" s="249" customFormat="1">
      <c r="A460" s="246">
        <v>383</v>
      </c>
      <c r="B460" s="249">
        <v>6165370</v>
      </c>
      <c r="C460" s="249" t="s">
        <v>1113</v>
      </c>
      <c r="D460" s="249" t="s">
        <v>806</v>
      </c>
      <c r="E460" s="249">
        <v>78</v>
      </c>
      <c r="F460" s="249">
        <v>30</v>
      </c>
      <c r="G460" s="249">
        <v>2340</v>
      </c>
      <c r="H460" s="249">
        <v>390</v>
      </c>
      <c r="I460" s="249">
        <v>2730</v>
      </c>
      <c r="J460" s="250">
        <f>I460*0.1</f>
        <v>273</v>
      </c>
      <c r="K460" s="251">
        <f>I460*0.9</f>
        <v>2457</v>
      </c>
      <c r="L460" s="249" t="s">
        <v>619</v>
      </c>
      <c r="N460" s="251">
        <v>30</v>
      </c>
      <c r="O460" s="249">
        <v>94</v>
      </c>
      <c r="P460" s="250"/>
      <c r="U460" s="250"/>
    </row>
    <row ht="15.75" r="461" spans="1:21" s="249" customFormat="1">
      <c r="A461" s="246">
        <v>384</v>
      </c>
      <c r="B461" s="249">
        <v>6187781</v>
      </c>
      <c r="C461" s="249" t="s">
        <v>1114</v>
      </c>
      <c r="D461" s="249" t="s">
        <v>806</v>
      </c>
      <c r="E461" s="249">
        <v>66</v>
      </c>
      <c r="F461" s="249">
        <v>30</v>
      </c>
      <c r="G461" s="249">
        <v>1980</v>
      </c>
      <c r="H461" s="249">
        <v>330</v>
      </c>
      <c r="I461" s="249">
        <v>2310</v>
      </c>
      <c r="J461" s="250">
        <f>I461*0.1</f>
        <v>231</v>
      </c>
      <c r="K461" s="251">
        <f>I461*0.9</f>
        <v>2079</v>
      </c>
      <c r="L461" s="249" t="s">
        <v>619</v>
      </c>
      <c r="N461" s="251">
        <v>30</v>
      </c>
    </row>
    <row ht="15.75" r="462" spans="1:21" s="249" customFormat="1">
      <c r="A462" s="246">
        <v>385</v>
      </c>
      <c r="B462" s="249">
        <v>6197621</v>
      </c>
      <c r="C462" s="249" t="s">
        <v>1115</v>
      </c>
      <c r="D462" s="249" t="s">
        <v>806</v>
      </c>
      <c r="E462" s="249">
        <v>84</v>
      </c>
      <c r="F462" s="249">
        <v>30</v>
      </c>
      <c r="G462" s="249">
        <v>2520</v>
      </c>
      <c r="H462" s="249">
        <v>420</v>
      </c>
      <c r="I462" s="249">
        <v>2940</v>
      </c>
      <c r="J462" s="250">
        <f>I462*0.1</f>
        <v>294</v>
      </c>
      <c r="K462" s="251">
        <f>I462*0.9</f>
        <v>2646</v>
      </c>
      <c r="L462" s="249" t="s">
        <v>619</v>
      </c>
      <c r="N462" s="251">
        <v>30</v>
      </c>
      <c r="U462" s="250"/>
    </row>
    <row ht="15.75" r="463" spans="1:21" s="249" customFormat="1">
      <c r="A463" s="246">
        <v>386</v>
      </c>
      <c r="B463" s="249">
        <v>6200419</v>
      </c>
      <c r="C463" s="249" t="s">
        <v>1116</v>
      </c>
      <c r="D463" s="249" t="s">
        <v>806</v>
      </c>
      <c r="E463" s="249">
        <v>51</v>
      </c>
      <c r="F463" s="249">
        <v>30</v>
      </c>
      <c r="G463" s="249">
        <v>1530</v>
      </c>
      <c r="H463" s="249">
        <v>255</v>
      </c>
      <c r="I463" s="249">
        <v>1785</v>
      </c>
      <c r="J463" s="250">
        <f>I463*0.1</f>
        <v>178.5</v>
      </c>
      <c r="K463" s="251">
        <f>I463*0.9</f>
        <v>1606.5</v>
      </c>
      <c r="L463" s="249" t="s">
        <v>619</v>
      </c>
      <c r="N463" s="251">
        <v>30</v>
      </c>
    </row>
    <row ht="15.75" r="464" spans="1:21" s="249" customFormat="1">
      <c r="A464" s="246">
        <v>387</v>
      </c>
      <c r="B464" s="249" t="s">
        <v>1387</v>
      </c>
      <c r="C464" s="249" t="s">
        <v>1117</v>
      </c>
      <c r="D464" s="249" t="s">
        <v>806</v>
      </c>
      <c r="E464" s="249">
        <v>39</v>
      </c>
      <c r="F464" s="249">
        <v>30</v>
      </c>
      <c r="G464" s="249">
        <v>1170</v>
      </c>
      <c r="H464" s="249">
        <v>195</v>
      </c>
      <c r="I464" s="249">
        <v>1365</v>
      </c>
      <c r="J464" s="250">
        <f>I464*0.1</f>
        <v>136.5</v>
      </c>
      <c r="K464" s="251">
        <f>I464*0.9</f>
        <v>1228.5</v>
      </c>
      <c r="L464" s="249" t="s">
        <v>619</v>
      </c>
      <c r="N464" s="251">
        <v>30</v>
      </c>
      <c r="U464" s="250"/>
    </row>
    <row ht="15.75" r="465" spans="1:16" s="249" customFormat="1">
      <c r="A465" s="246">
        <v>389</v>
      </c>
      <c r="B465" s="249">
        <v>6168507</v>
      </c>
      <c r="C465" s="249" t="s">
        <v>1119</v>
      </c>
      <c r="D465" s="249" t="s">
        <v>806</v>
      </c>
      <c r="E465" s="249">
        <v>90</v>
      </c>
      <c r="F465" s="249">
        <v>30</v>
      </c>
      <c r="G465" s="249">
        <v>2700</v>
      </c>
      <c r="H465" s="249">
        <v>450</v>
      </c>
      <c r="I465" s="249">
        <v>3150</v>
      </c>
      <c r="J465" s="250">
        <f>I465*0.1</f>
        <v>315</v>
      </c>
      <c r="K465" s="251">
        <f>I465*0.9</f>
        <v>2835</v>
      </c>
      <c r="L465" s="249" t="s">
        <v>619</v>
      </c>
      <c r="N465" s="251">
        <v>30</v>
      </c>
      <c r="O465" s="249">
        <v>30</v>
      </c>
    </row>
    <row ht="15.75" r="466" spans="1:16" s="249" customFormat="1">
      <c r="A466" s="246">
        <v>393</v>
      </c>
      <c r="B466" s="249">
        <v>6178456</v>
      </c>
      <c r="C466" s="249" t="s">
        <v>1123</v>
      </c>
      <c r="D466" s="249" t="s">
        <v>806</v>
      </c>
      <c r="E466" s="249">
        <v>48</v>
      </c>
      <c r="F466" s="249">
        <v>30</v>
      </c>
      <c r="G466" s="249">
        <v>1440</v>
      </c>
      <c r="H466" s="249">
        <v>240</v>
      </c>
      <c r="I466" s="249">
        <v>1680</v>
      </c>
      <c r="J466" s="250">
        <f>I466*0.1</f>
        <v>168</v>
      </c>
      <c r="K466" s="251">
        <f>I466*0.9</f>
        <v>1512</v>
      </c>
      <c r="L466" s="249" t="s">
        <v>619</v>
      </c>
      <c r="N466" s="251">
        <v>30</v>
      </c>
    </row>
    <row ht="15.75" r="467" spans="1:16" s="249" customFormat="1">
      <c r="A467" s="246">
        <v>394</v>
      </c>
      <c r="B467" s="249">
        <v>6198252</v>
      </c>
      <c r="C467" s="249" t="s">
        <v>714</v>
      </c>
      <c r="D467" s="249" t="s">
        <v>806</v>
      </c>
      <c r="E467" s="249">
        <v>51</v>
      </c>
      <c r="F467" s="249">
        <v>30</v>
      </c>
      <c r="G467" s="249">
        <v>1530</v>
      </c>
      <c r="H467" s="249">
        <v>255</v>
      </c>
      <c r="I467" s="249">
        <v>1785</v>
      </c>
      <c r="J467" s="250">
        <f>I467*0.1</f>
        <v>178.5</v>
      </c>
      <c r="K467" s="251">
        <f>I467*0.9</f>
        <v>1606.5</v>
      </c>
      <c r="L467" s="249" t="s">
        <v>619</v>
      </c>
      <c r="N467" s="251">
        <v>30</v>
      </c>
    </row>
    <row ht="15.75" r="468" spans="1:16" s="249" customFormat="1">
      <c r="A468" s="246">
        <v>395</v>
      </c>
      <c r="B468" s="249">
        <v>6204505</v>
      </c>
      <c r="C468" s="249" t="s">
        <v>1124</v>
      </c>
      <c r="D468" s="249" t="s">
        <v>806</v>
      </c>
      <c r="E468" s="249">
        <v>45</v>
      </c>
      <c r="F468" s="249">
        <v>30</v>
      </c>
      <c r="G468" s="249">
        <v>1350</v>
      </c>
      <c r="H468" s="249">
        <v>225</v>
      </c>
      <c r="I468" s="249">
        <v>1575</v>
      </c>
      <c r="J468" s="250">
        <f>I468*0.1</f>
        <v>157.5</v>
      </c>
      <c r="K468" s="251">
        <f>I468*0.9</f>
        <v>1417.5</v>
      </c>
      <c r="L468" s="249" t="s">
        <v>619</v>
      </c>
      <c r="N468" s="251">
        <v>30</v>
      </c>
      <c r="O468" s="249">
        <v>40</v>
      </c>
    </row>
    <row ht="15.75" r="469" spans="1:16" s="249" customFormat="1">
      <c r="A469" s="246">
        <v>396</v>
      </c>
      <c r="B469" s="249">
        <v>6190871</v>
      </c>
      <c r="C469" s="249" t="s">
        <v>1125</v>
      </c>
      <c r="D469" s="249" t="s">
        <v>806</v>
      </c>
      <c r="E469" s="249">
        <v>96</v>
      </c>
      <c r="F469" s="249">
        <v>30</v>
      </c>
      <c r="G469" s="249">
        <v>2880</v>
      </c>
      <c r="H469" s="249">
        <v>480</v>
      </c>
      <c r="I469" s="249">
        <v>3360</v>
      </c>
      <c r="J469" s="250">
        <f>I469*0.1</f>
        <v>336</v>
      </c>
      <c r="K469" s="251">
        <f>I469*0.9</f>
        <v>3024</v>
      </c>
      <c r="L469" s="249" t="s">
        <v>619</v>
      </c>
      <c r="N469" s="251">
        <v>30</v>
      </c>
    </row>
    <row ht="15.75" r="470" spans="1:16" s="249" customFormat="1">
      <c r="A470" s="246">
        <v>397</v>
      </c>
      <c r="B470" s="249">
        <v>6205243</v>
      </c>
      <c r="C470" s="249" t="s">
        <v>1126</v>
      </c>
      <c r="D470" s="249" t="s">
        <v>806</v>
      </c>
      <c r="E470" s="249">
        <v>63</v>
      </c>
      <c r="F470" s="249">
        <v>30</v>
      </c>
      <c r="G470" s="249">
        <v>1890</v>
      </c>
      <c r="H470" s="249">
        <v>315</v>
      </c>
      <c r="I470" s="249">
        <v>2205</v>
      </c>
      <c r="J470" s="250">
        <f>I470*0.1</f>
        <v>220.5</v>
      </c>
      <c r="K470" s="251">
        <f>I470*0.9</f>
        <v>1984.5</v>
      </c>
      <c r="L470" s="249" t="s">
        <v>619</v>
      </c>
      <c r="N470" s="251">
        <v>30</v>
      </c>
    </row>
    <row ht="15.75" r="471" spans="1:16" s="249" customFormat="1">
      <c r="A471" s="246">
        <v>398</v>
      </c>
      <c r="B471" s="249">
        <v>6165869</v>
      </c>
      <c r="C471" s="249" t="s">
        <v>1127</v>
      </c>
      <c r="D471" s="249" t="s">
        <v>806</v>
      </c>
      <c r="E471" s="249">
        <v>90</v>
      </c>
      <c r="F471" s="249">
        <v>30</v>
      </c>
      <c r="G471" s="249">
        <v>2700</v>
      </c>
      <c r="H471" s="249">
        <v>450</v>
      </c>
      <c r="I471" s="249">
        <v>3150</v>
      </c>
      <c r="J471" s="250">
        <f>I471*0.1</f>
        <v>315</v>
      </c>
      <c r="K471" s="251">
        <f>I471*0.9</f>
        <v>2835</v>
      </c>
      <c r="L471" s="249" t="s">
        <v>619</v>
      </c>
      <c r="N471" s="251">
        <v>30</v>
      </c>
    </row>
    <row ht="15.75" r="472" spans="1:16" s="249" customFormat="1">
      <c r="A472" s="246">
        <v>399</v>
      </c>
      <c r="B472" s="249">
        <v>6168256</v>
      </c>
      <c r="C472" s="249" t="s">
        <v>1324</v>
      </c>
      <c r="D472" s="249" t="s">
        <v>1323</v>
      </c>
      <c r="E472" s="249">
        <v>80</v>
      </c>
      <c r="F472" s="251">
        <v>30</v>
      </c>
      <c r="G472" s="249">
        <f>E472*F472</f>
        <v>2400</v>
      </c>
      <c r="H472" s="249">
        <v>400</v>
      </c>
      <c r="I472" s="250">
        <f>G472+H472</f>
        <v>2800</v>
      </c>
      <c r="J472" s="250">
        <f>I472*0.1</f>
        <v>280</v>
      </c>
      <c r="K472" s="251">
        <f>I472*0.9</f>
        <v>2520</v>
      </c>
      <c r="L472" s="249" t="s">
        <v>619</v>
      </c>
      <c r="N472" s="251"/>
    </row>
    <row ht="15.75" r="473" spans="1:16" s="249" customFormat="1">
      <c r="A473" s="246">
        <v>400</v>
      </c>
      <c r="B473" s="249">
        <v>6174418</v>
      </c>
      <c r="C473" s="249" t="s">
        <v>1128</v>
      </c>
      <c r="D473" s="249" t="s">
        <v>1323</v>
      </c>
      <c r="E473" s="249">
        <v>80</v>
      </c>
      <c r="F473" s="251">
        <v>30</v>
      </c>
      <c r="G473" s="249">
        <f>E473*F473</f>
        <v>2400</v>
      </c>
      <c r="H473" s="249">
        <v>400</v>
      </c>
      <c r="I473" s="250">
        <f>G473+H473</f>
        <v>2800</v>
      </c>
      <c r="J473" s="250">
        <f>I473*0.1</f>
        <v>280</v>
      </c>
      <c r="K473" s="251">
        <f>I473*0.9</f>
        <v>2520</v>
      </c>
      <c r="L473" s="249" t="s">
        <v>619</v>
      </c>
      <c r="N473" s="251">
        <v>30</v>
      </c>
    </row>
    <row ht="15.75" r="474" spans="1:16" s="249" customFormat="1">
      <c r="A474" s="246">
        <v>402</v>
      </c>
      <c r="B474" s="249">
        <v>6205315</v>
      </c>
      <c r="C474" s="249" t="s">
        <v>1130</v>
      </c>
      <c r="D474" s="249" t="s">
        <v>806</v>
      </c>
      <c r="E474" s="249">
        <v>69</v>
      </c>
      <c r="F474" s="249">
        <v>30</v>
      </c>
      <c r="G474" s="249">
        <v>2070</v>
      </c>
      <c r="H474" s="249">
        <v>345</v>
      </c>
      <c r="I474" s="249">
        <v>2415</v>
      </c>
      <c r="J474" s="250">
        <f>I474*0.1</f>
        <v>241.5</v>
      </c>
      <c r="K474" s="251">
        <f>I474*0.9</f>
        <v>2173.5</v>
      </c>
      <c r="L474" s="249" t="s">
        <v>619</v>
      </c>
      <c r="N474" s="251">
        <v>30</v>
      </c>
    </row>
    <row ht="15.75" r="475" spans="1:16" s="249" customFormat="1">
      <c r="A475" s="246">
        <v>403</v>
      </c>
      <c r="B475" s="249">
        <v>6206810</v>
      </c>
      <c r="C475" s="249" t="s">
        <v>713</v>
      </c>
      <c r="D475" s="249" t="s">
        <v>806</v>
      </c>
      <c r="E475" s="249">
        <v>102</v>
      </c>
      <c r="F475" s="249">
        <v>30</v>
      </c>
      <c r="G475" s="249">
        <v>3060</v>
      </c>
      <c r="H475" s="249">
        <v>510</v>
      </c>
      <c r="I475" s="249">
        <v>3570</v>
      </c>
      <c r="J475" s="250">
        <f>I475*0.1</f>
        <v>357</v>
      </c>
      <c r="K475" s="251">
        <f>I475*0.9</f>
        <v>3213</v>
      </c>
      <c r="L475" s="249" t="s">
        <v>619</v>
      </c>
      <c r="N475" s="251">
        <v>30</v>
      </c>
    </row>
    <row ht="15.75" r="476" spans="1:16" s="249" customFormat="1">
      <c r="A476" s="246">
        <v>405</v>
      </c>
      <c r="B476" s="249" t="s">
        <v>1388</v>
      </c>
      <c r="C476" s="249" t="s">
        <v>1131</v>
      </c>
      <c r="D476" s="249" t="s">
        <v>806</v>
      </c>
      <c r="E476" s="249">
        <v>51</v>
      </c>
      <c r="F476" s="249">
        <v>30</v>
      </c>
      <c r="G476" s="249">
        <v>1530</v>
      </c>
      <c r="H476" s="249">
        <v>255</v>
      </c>
      <c r="I476" s="249">
        <v>1785</v>
      </c>
      <c r="J476" s="250">
        <f>I476*0.1</f>
        <v>178.5</v>
      </c>
      <c r="K476" s="251">
        <f>I476*0.9</f>
        <v>1606.5</v>
      </c>
      <c r="L476" s="249" t="s">
        <v>619</v>
      </c>
      <c r="N476" s="251">
        <v>30</v>
      </c>
    </row>
    <row ht="15.75" r="477" spans="1:16" s="249" customFormat="1">
      <c r="A477" s="246">
        <v>408</v>
      </c>
      <c r="B477" s="249">
        <v>6126774</v>
      </c>
      <c r="C477" s="249" t="s">
        <v>720</v>
      </c>
      <c r="D477" s="249" t="s">
        <v>806</v>
      </c>
      <c r="E477" s="249">
        <v>45</v>
      </c>
      <c r="F477" s="249">
        <v>30</v>
      </c>
      <c r="G477" s="249">
        <v>1350</v>
      </c>
      <c r="H477" s="249">
        <v>225</v>
      </c>
      <c r="I477" s="249">
        <v>1575</v>
      </c>
      <c r="J477" s="250">
        <f>I477*0.1</f>
        <v>157.5</v>
      </c>
      <c r="K477" s="251">
        <f>I477*0.9</f>
        <v>1417.5</v>
      </c>
      <c r="L477" s="249" t="s">
        <v>619</v>
      </c>
      <c r="N477" s="251">
        <v>30</v>
      </c>
    </row>
    <row ht="15.75" r="478" spans="1:16" s="228" customFormat="1">
      <c r="A478" s="246">
        <v>449</v>
      </c>
      <c r="B478" s="228">
        <v>6187528</v>
      </c>
      <c r="C478" s="228" t="s">
        <v>781</v>
      </c>
      <c r="D478" s="228" t="s">
        <v>769</v>
      </c>
      <c r="E478" s="228">
        <v>15</v>
      </c>
      <c r="F478" s="227">
        <v>30</v>
      </c>
      <c r="G478" s="228">
        <f>E478*F478</f>
        <v>450</v>
      </c>
      <c r="H478" s="228">
        <v>225</v>
      </c>
      <c r="I478" s="229">
        <f>G478+H478</f>
        <v>675</v>
      </c>
      <c r="J478" s="229">
        <f>I478*0.1</f>
        <v>67.5</v>
      </c>
      <c r="K478" s="227">
        <f>I478*0.9</f>
        <v>607.5</v>
      </c>
      <c r="L478" s="228" t="s">
        <v>619</v>
      </c>
      <c r="N478" s="227">
        <v>30</v>
      </c>
      <c r="P478" s="229"/>
    </row>
    <row ht="15.75" r="479" spans="1:16" s="228" customFormat="1">
      <c r="A479" s="246">
        <v>461</v>
      </c>
      <c r="B479" s="228">
        <v>6176429</v>
      </c>
      <c r="C479" s="228" t="s">
        <v>1246</v>
      </c>
      <c r="D479" s="228" t="s">
        <v>1247</v>
      </c>
      <c r="E479" s="229">
        <v>105</v>
      </c>
      <c r="F479" s="227">
        <f>N479</f>
        <v>60</v>
      </c>
      <c r="G479" s="228">
        <f>E479*F479</f>
        <v>6300</v>
      </c>
      <c r="H479" s="228">
        <v>760</v>
      </c>
      <c r="I479" s="229">
        <f>G479+H479</f>
        <v>7060</v>
      </c>
      <c r="J479" s="229">
        <f>I479*0.1</f>
        <v>706</v>
      </c>
      <c r="K479" s="227">
        <f>I479*0.9</f>
        <v>6354</v>
      </c>
      <c r="L479" s="228" t="s">
        <v>619</v>
      </c>
      <c r="N479" s="227">
        <v>60</v>
      </c>
      <c r="O479" s="228">
        <v>60</v>
      </c>
    </row>
    <row ht="15.75" r="480" spans="1:16" s="228" customFormat="1">
      <c r="A480" s="246">
        <v>462</v>
      </c>
      <c r="B480" s="228">
        <v>6170293</v>
      </c>
      <c r="C480" s="228" t="s">
        <v>1248</v>
      </c>
      <c r="D480" s="228" t="s">
        <v>1247</v>
      </c>
      <c r="E480" s="229">
        <v>105</v>
      </c>
      <c r="F480" s="227">
        <f>N480</f>
        <v>60</v>
      </c>
      <c r="G480" s="228">
        <f>E480*F480</f>
        <v>6300</v>
      </c>
      <c r="H480" s="228">
        <v>760</v>
      </c>
      <c r="I480" s="229">
        <f>G480+H480</f>
        <v>7060</v>
      </c>
      <c r="J480" s="229">
        <f>I480*0.1</f>
        <v>706</v>
      </c>
      <c r="K480" s="227">
        <f>I480*0.9</f>
        <v>6354</v>
      </c>
      <c r="L480" s="228" t="s">
        <v>619</v>
      </c>
      <c r="N480" s="227">
        <v>60</v>
      </c>
      <c r="O480" s="228">
        <v>60</v>
      </c>
    </row>
    <row ht="15.75" r="481" spans="1:15" s="228" customFormat="1">
      <c r="A481" s="246">
        <v>463</v>
      </c>
      <c r="B481" s="228">
        <v>6177450</v>
      </c>
      <c r="C481" s="228" t="s">
        <v>1249</v>
      </c>
      <c r="D481" s="228" t="s">
        <v>1247</v>
      </c>
      <c r="E481" s="229">
        <v>120</v>
      </c>
      <c r="F481" s="227">
        <f>N481</f>
        <v>60</v>
      </c>
      <c r="G481" s="228">
        <f>E481*F481</f>
        <v>7200</v>
      </c>
      <c r="H481" s="228">
        <v>760</v>
      </c>
      <c r="I481" s="229">
        <f>G481+H481</f>
        <v>7960</v>
      </c>
      <c r="J481" s="229">
        <f>I481*0.1</f>
        <v>796</v>
      </c>
      <c r="K481" s="227">
        <f>I481*0.9</f>
        <v>7164</v>
      </c>
      <c r="L481" s="228" t="s">
        <v>619</v>
      </c>
      <c r="N481" s="227">
        <v>60</v>
      </c>
    </row>
    <row ht="15.75" r="482" spans="1:15" s="228" customFormat="1">
      <c r="A482" s="246">
        <v>464</v>
      </c>
      <c r="B482" s="202">
        <v>6180531</v>
      </c>
      <c r="C482" s="228" t="s">
        <v>1250</v>
      </c>
      <c r="D482" s="228" t="s">
        <v>1251</v>
      </c>
      <c r="E482" s="229">
        <v>135</v>
      </c>
      <c r="F482" s="227">
        <f>N482</f>
        <v>60</v>
      </c>
      <c r="G482" s="228">
        <f>E482*F482</f>
        <v>8100</v>
      </c>
      <c r="H482" s="228">
        <v>760</v>
      </c>
      <c r="I482" s="229">
        <f>G482+H482</f>
        <v>8860</v>
      </c>
      <c r="J482" s="229">
        <f>I482*0.1</f>
        <v>886</v>
      </c>
      <c r="K482" s="227">
        <f>I482*0.9</f>
        <v>7974</v>
      </c>
      <c r="L482" s="228" t="s">
        <v>619</v>
      </c>
      <c r="N482" s="227">
        <v>60</v>
      </c>
      <c r="O482" s="228">
        <v>66</v>
      </c>
    </row>
    <row ht="15.75" r="483" spans="1:15" s="228" customFormat="1">
      <c r="A483" s="246">
        <v>465</v>
      </c>
      <c r="B483" s="202">
        <v>6192530</v>
      </c>
      <c r="C483" s="228" t="s">
        <v>1252</v>
      </c>
      <c r="D483" s="228" t="s">
        <v>1253</v>
      </c>
      <c r="E483" s="229">
        <v>150</v>
      </c>
      <c r="F483" s="227">
        <v>60</v>
      </c>
      <c r="G483" s="228">
        <f>E483*F483</f>
        <v>9000</v>
      </c>
      <c r="H483" s="228">
        <v>760</v>
      </c>
      <c r="I483" s="229">
        <f>G483+H483</f>
        <v>9760</v>
      </c>
      <c r="J483" s="229">
        <f>I483*0.1</f>
        <v>976</v>
      </c>
      <c r="K483" s="227">
        <f>I483*0.9</f>
        <v>8784</v>
      </c>
      <c r="L483" s="228" t="s">
        <v>619</v>
      </c>
      <c r="N483" s="227">
        <v>60</v>
      </c>
      <c r="O483" s="228">
        <v>60</v>
      </c>
    </row>
    <row ht="15.75" r="484" spans="1:15" s="228" customFormat="1">
      <c r="A484" s="246">
        <v>466</v>
      </c>
      <c r="B484" s="202">
        <v>6188206</v>
      </c>
      <c r="C484" s="228" t="s">
        <v>1254</v>
      </c>
      <c r="D484" s="228" t="s">
        <v>1251</v>
      </c>
      <c r="E484" s="229">
        <v>125</v>
      </c>
      <c r="F484" s="227">
        <f>N484</f>
        <v>60</v>
      </c>
      <c r="G484" s="228">
        <f>E484*F484</f>
        <v>7500</v>
      </c>
      <c r="H484" s="228">
        <v>760</v>
      </c>
      <c r="I484" s="229">
        <f>G484+H484</f>
        <v>8260</v>
      </c>
      <c r="J484" s="229">
        <f>I484*0.1</f>
        <v>826</v>
      </c>
      <c r="K484" s="227">
        <f>I484*0.9</f>
        <v>7434</v>
      </c>
      <c r="L484" s="228" t="s">
        <v>619</v>
      </c>
      <c r="N484" s="227">
        <v>60</v>
      </c>
      <c r="O484" s="228">
        <v>60</v>
      </c>
    </row>
    <row ht="15.75" r="485" spans="1:15" s="228" customFormat="1">
      <c r="A485" s="246">
        <v>467</v>
      </c>
      <c r="B485" s="202">
        <v>6170994</v>
      </c>
      <c r="C485" s="228" t="s">
        <v>1255</v>
      </c>
      <c r="D485" s="228" t="s">
        <v>1247</v>
      </c>
      <c r="E485" s="229">
        <v>105</v>
      </c>
      <c r="F485" s="227">
        <f>N485</f>
        <v>60</v>
      </c>
      <c r="G485" s="228">
        <f>E485*F485</f>
        <v>6300</v>
      </c>
      <c r="H485" s="228">
        <v>760</v>
      </c>
      <c r="I485" s="229">
        <f>G485+H485</f>
        <v>7060</v>
      </c>
      <c r="J485" s="229">
        <f>I485*0.1</f>
        <v>706</v>
      </c>
      <c r="K485" s="227">
        <f>I485*0.9</f>
        <v>6354</v>
      </c>
      <c r="L485" s="228" t="s">
        <v>619</v>
      </c>
      <c r="N485" s="227">
        <v>60</v>
      </c>
      <c r="O485" s="228">
        <v>57</v>
      </c>
    </row>
    <row ht="15.75" r="486" spans="1:15" s="228" customFormat="1">
      <c r="A486" s="246">
        <v>468</v>
      </c>
      <c r="B486" s="202">
        <v>6180990</v>
      </c>
      <c r="C486" s="228" t="s">
        <v>1256</v>
      </c>
      <c r="D486" s="228" t="s">
        <v>1247</v>
      </c>
      <c r="E486" s="229">
        <v>100</v>
      </c>
      <c r="F486" s="227">
        <f>N486</f>
        <v>60</v>
      </c>
      <c r="G486" s="228">
        <f>E486*F486</f>
        <v>6000</v>
      </c>
      <c r="H486" s="228">
        <v>760</v>
      </c>
      <c r="I486" s="229">
        <f>G486+H486</f>
        <v>6760</v>
      </c>
      <c r="J486" s="229">
        <f>I486*0.1</f>
        <v>676</v>
      </c>
      <c r="K486" s="227">
        <f>I486*0.9</f>
        <v>6084</v>
      </c>
      <c r="L486" s="228" t="s">
        <v>619</v>
      </c>
      <c r="N486" s="227">
        <v>60</v>
      </c>
      <c r="O486" s="228">
        <v>57</v>
      </c>
    </row>
    <row ht="15.75" r="487" spans="1:15" s="228" customFormat="1">
      <c r="A487" s="246">
        <v>469</v>
      </c>
      <c r="B487" s="202">
        <v>6155367</v>
      </c>
      <c r="C487" s="228" t="s">
        <v>1257</v>
      </c>
      <c r="D487" s="228" t="s">
        <v>1247</v>
      </c>
      <c r="E487" s="229">
        <v>105</v>
      </c>
      <c r="F487" s="227">
        <f>N487</f>
        <v>60</v>
      </c>
      <c r="G487" s="228">
        <f>E487*F487</f>
        <v>6300</v>
      </c>
      <c r="H487" s="228">
        <v>760</v>
      </c>
      <c r="I487" s="229">
        <f>G487+H487</f>
        <v>7060</v>
      </c>
      <c r="J487" s="229">
        <f>I487*0.1</f>
        <v>706</v>
      </c>
      <c r="K487" s="227">
        <f>I487*0.9</f>
        <v>6354</v>
      </c>
      <c r="L487" s="228" t="s">
        <v>619</v>
      </c>
      <c r="N487" s="227">
        <v>60</v>
      </c>
    </row>
    <row ht="15.75" r="488" spans="1:15" s="228" customFormat="1">
      <c r="A488" s="246">
        <v>470</v>
      </c>
      <c r="B488" s="202">
        <v>6196411</v>
      </c>
      <c r="C488" s="228" t="s">
        <v>1258</v>
      </c>
      <c r="D488" s="228" t="s">
        <v>1247</v>
      </c>
      <c r="E488" s="229">
        <v>105</v>
      </c>
      <c r="F488" s="227">
        <f>N488</f>
        <v>60</v>
      </c>
      <c r="G488" s="228">
        <f>E488*F488</f>
        <v>6300</v>
      </c>
      <c r="H488" s="228">
        <v>760</v>
      </c>
      <c r="I488" s="229">
        <f>G488+H488</f>
        <v>7060</v>
      </c>
      <c r="J488" s="229">
        <f>I488*0.1</f>
        <v>706</v>
      </c>
      <c r="K488" s="227">
        <f>I488*0.9</f>
        <v>6354</v>
      </c>
      <c r="L488" s="228" t="s">
        <v>619</v>
      </c>
      <c r="N488" s="227">
        <v>60</v>
      </c>
    </row>
    <row ht="15.75" r="489" spans="1:15" s="228" customFormat="1">
      <c r="A489" s="246">
        <v>471</v>
      </c>
      <c r="B489" s="202">
        <v>6199874</v>
      </c>
      <c r="C489" s="228" t="s">
        <v>1259</v>
      </c>
      <c r="D489" s="228" t="s">
        <v>1247</v>
      </c>
      <c r="E489" s="229">
        <v>110</v>
      </c>
      <c r="F489" s="227">
        <f>N489</f>
        <v>60</v>
      </c>
      <c r="G489" s="228">
        <f>E489*F489</f>
        <v>6600</v>
      </c>
      <c r="H489" s="228">
        <v>760</v>
      </c>
      <c r="I489" s="229">
        <f>G489+H489</f>
        <v>7360</v>
      </c>
      <c r="J489" s="229">
        <f>I489*0.1</f>
        <v>736</v>
      </c>
      <c r="K489" s="227">
        <f>I489*0.9</f>
        <v>6624</v>
      </c>
      <c r="L489" s="228" t="s">
        <v>619</v>
      </c>
      <c r="N489" s="227">
        <v>60</v>
      </c>
      <c r="O489" s="245">
        <v>30</v>
      </c>
    </row>
    <row ht="15.75" r="490" spans="1:15" s="228" customFormat="1">
      <c r="A490" s="246">
        <v>472</v>
      </c>
      <c r="B490" s="202">
        <v>6177671</v>
      </c>
      <c r="C490" s="228" t="s">
        <v>1260</v>
      </c>
      <c r="D490" s="228" t="s">
        <v>1322</v>
      </c>
      <c r="E490" s="229">
        <v>160</v>
      </c>
      <c r="F490" s="227">
        <f>N490</f>
        <v>60</v>
      </c>
      <c r="G490" s="228">
        <f>E490*F490</f>
        <v>9600</v>
      </c>
      <c r="H490" s="228">
        <v>760</v>
      </c>
      <c r="I490" s="229">
        <f>G490+H490</f>
        <v>10360</v>
      </c>
      <c r="J490" s="229">
        <f>I490*0.1</f>
        <v>1036</v>
      </c>
      <c r="K490" s="227">
        <f>I490*0.9</f>
        <v>9324</v>
      </c>
      <c r="L490" s="228" t="s">
        <v>619</v>
      </c>
      <c r="N490" s="227">
        <v>60</v>
      </c>
      <c r="O490" s="245"/>
    </row>
    <row ht="15.75" r="491" spans="1:15" s="228" customFormat="1">
      <c r="A491" s="246">
        <v>473</v>
      </c>
      <c r="B491" s="202">
        <v>6198811</v>
      </c>
      <c r="C491" s="228" t="s">
        <v>1261</v>
      </c>
      <c r="D491" s="228" t="s">
        <v>1262</v>
      </c>
      <c r="E491" s="229">
        <v>238</v>
      </c>
      <c r="F491" s="227">
        <f>N491</f>
        <v>60</v>
      </c>
      <c r="G491" s="228">
        <f>E491*F491</f>
        <v>14280</v>
      </c>
      <c r="H491" s="228">
        <v>840</v>
      </c>
      <c r="I491" s="229">
        <f>G491+H491</f>
        <v>15120</v>
      </c>
      <c r="J491" s="229">
        <f>I491*0.1</f>
        <v>1512</v>
      </c>
      <c r="K491" s="227">
        <f>I491*0.9</f>
        <v>13608</v>
      </c>
      <c r="L491" s="228" t="s">
        <v>619</v>
      </c>
      <c r="N491" s="227">
        <v>60</v>
      </c>
      <c r="O491" s="228">
        <v>60</v>
      </c>
    </row>
    <row ht="15.75" r="492" spans="1:15" s="228" customFormat="1">
      <c r="A492" s="246">
        <v>474</v>
      </c>
      <c r="B492" s="202">
        <v>6195229</v>
      </c>
      <c r="C492" s="228" t="s">
        <v>1263</v>
      </c>
      <c r="D492" s="228" t="s">
        <v>1262</v>
      </c>
      <c r="E492" s="229">
        <v>238</v>
      </c>
      <c r="F492" s="227">
        <f>N492</f>
        <v>60</v>
      </c>
      <c r="G492" s="228">
        <f>E492*F492</f>
        <v>14280</v>
      </c>
      <c r="H492" s="228">
        <v>840</v>
      </c>
      <c r="I492" s="229">
        <f>G492+H492</f>
        <v>15120</v>
      </c>
      <c r="J492" s="229">
        <f>I492*0.1</f>
        <v>1512</v>
      </c>
      <c r="K492" s="227">
        <f>I492*0.9</f>
        <v>13608</v>
      </c>
      <c r="L492" s="228" t="s">
        <v>619</v>
      </c>
      <c r="N492" s="227">
        <v>60</v>
      </c>
      <c r="O492" s="228">
        <v>54</v>
      </c>
    </row>
    <row ht="15.75" r="493" spans="1:15" s="228" customFormat="1">
      <c r="A493" s="246">
        <v>475</v>
      </c>
      <c r="B493" s="202">
        <v>6182020</v>
      </c>
      <c r="C493" s="228" t="s">
        <v>1264</v>
      </c>
      <c r="D493" s="228" t="s">
        <v>1265</v>
      </c>
      <c r="E493" s="229">
        <v>150</v>
      </c>
      <c r="F493" s="227">
        <f>N493</f>
        <v>60</v>
      </c>
      <c r="G493" s="228">
        <f>E493*F493</f>
        <v>9000</v>
      </c>
      <c r="H493" s="228">
        <v>520</v>
      </c>
      <c r="I493" s="229">
        <f>G493+H493</f>
        <v>9520</v>
      </c>
      <c r="J493" s="229">
        <f>I493*0.1</f>
        <v>952</v>
      </c>
      <c r="K493" s="227">
        <f>I493*0.9</f>
        <v>8568</v>
      </c>
      <c r="L493" s="228" t="s">
        <v>619</v>
      </c>
      <c r="N493" s="227">
        <v>60</v>
      </c>
    </row>
    <row ht="15.75" r="494" spans="1:15" s="228" customFormat="1">
      <c r="A494" s="246">
        <v>476</v>
      </c>
      <c r="B494" s="202">
        <v>6197086</v>
      </c>
      <c r="C494" s="228" t="s">
        <v>1266</v>
      </c>
      <c r="D494" s="228" t="s">
        <v>1267</v>
      </c>
      <c r="E494" s="229">
        <v>160</v>
      </c>
      <c r="F494" s="227">
        <v>60</v>
      </c>
      <c r="G494" s="228">
        <f>E494*F494</f>
        <v>9600</v>
      </c>
      <c r="H494" s="228">
        <v>760</v>
      </c>
      <c r="I494" s="229">
        <f>G494+H494</f>
        <v>10360</v>
      </c>
      <c r="J494" s="229">
        <f>I494*0.1</f>
        <v>1036</v>
      </c>
      <c r="K494" s="227">
        <f>I494*0.9</f>
        <v>9324</v>
      </c>
      <c r="L494" s="228" t="s">
        <v>619</v>
      </c>
      <c r="N494" s="227">
        <v>60</v>
      </c>
    </row>
    <row ht="15.75" r="495" spans="1:15" s="228" customFormat="1">
      <c r="A495" s="246">
        <v>477</v>
      </c>
      <c r="B495" s="202">
        <v>6186203</v>
      </c>
      <c r="C495" s="228" t="s">
        <v>1268</v>
      </c>
      <c r="D495" s="228" t="s">
        <v>1267</v>
      </c>
      <c r="E495" s="229">
        <v>169</v>
      </c>
      <c r="F495" s="227">
        <v>60</v>
      </c>
      <c r="G495" s="228">
        <f>E495*F495</f>
        <v>10140</v>
      </c>
      <c r="H495" s="228">
        <v>760</v>
      </c>
      <c r="I495" s="229">
        <f>G495+H495</f>
        <v>10900</v>
      </c>
      <c r="J495" s="229">
        <f>I495*0.1</f>
        <v>1090</v>
      </c>
      <c r="K495" s="227">
        <f>I495*0.9</f>
        <v>9810</v>
      </c>
      <c r="L495" s="228" t="s">
        <v>619</v>
      </c>
      <c r="N495" s="227">
        <v>60</v>
      </c>
    </row>
    <row ht="15.75" r="496" spans="1:15" s="228" customFormat="1">
      <c r="A496" s="246">
        <v>478</v>
      </c>
      <c r="B496" s="202">
        <v>6192475</v>
      </c>
      <c r="C496" s="228" t="s">
        <v>1269</v>
      </c>
      <c r="D496" s="228" t="s">
        <v>1267</v>
      </c>
      <c r="E496" s="229">
        <v>179</v>
      </c>
      <c r="F496" s="227">
        <v>60</v>
      </c>
      <c r="G496" s="228">
        <f>E496*F496</f>
        <v>10740</v>
      </c>
      <c r="H496" s="228">
        <v>760</v>
      </c>
      <c r="I496" s="229">
        <f>G496+H496</f>
        <v>11500</v>
      </c>
      <c r="J496" s="229">
        <f>I496*0.1</f>
        <v>1150</v>
      </c>
      <c r="K496" s="227">
        <f>I496*0.9</f>
        <v>10350</v>
      </c>
      <c r="L496" s="228" t="s">
        <v>619</v>
      </c>
      <c r="N496" s="227">
        <v>60</v>
      </c>
    </row>
    <row ht="15.75" r="497" spans="1:21" s="228" customFormat="1">
      <c r="A497" s="246">
        <v>479</v>
      </c>
      <c r="B497" s="202">
        <v>6182640</v>
      </c>
      <c r="C497" s="228" t="s">
        <v>1270</v>
      </c>
      <c r="D497" s="228" t="s">
        <v>1265</v>
      </c>
      <c r="E497" s="229">
        <v>110</v>
      </c>
      <c r="F497" s="227">
        <v>60</v>
      </c>
      <c r="G497" s="228">
        <f>E497*F497</f>
        <v>6600</v>
      </c>
      <c r="H497" s="228">
        <v>500</v>
      </c>
      <c r="I497" s="229">
        <f>G497+H497</f>
        <v>7100</v>
      </c>
      <c r="J497" s="229">
        <f>I497*0.1</f>
        <v>710</v>
      </c>
      <c r="K497" s="227">
        <f>I497*0.9</f>
        <v>6390</v>
      </c>
      <c r="L497" s="228" t="s">
        <v>619</v>
      </c>
      <c r="N497" s="227">
        <v>60</v>
      </c>
    </row>
    <row ht="15.75" r="498" spans="1:21" s="228" customFormat="1">
      <c r="A498" s="246">
        <v>480</v>
      </c>
      <c r="B498" s="202">
        <v>6201770</v>
      </c>
      <c r="C498" s="228" t="s">
        <v>1271</v>
      </c>
      <c r="D498" s="228" t="s">
        <v>1272</v>
      </c>
      <c r="E498" s="229">
        <v>160</v>
      </c>
      <c r="F498" s="227">
        <v>60</v>
      </c>
      <c r="G498" s="228">
        <f>E498*F498</f>
        <v>9600</v>
      </c>
      <c r="H498" s="228">
        <v>720</v>
      </c>
      <c r="I498" s="229">
        <f>G498+H498</f>
        <v>10320</v>
      </c>
      <c r="J498" s="229">
        <f>I498*0.1</f>
        <v>1032</v>
      </c>
      <c r="K498" s="227">
        <f>I498*0.9</f>
        <v>9288</v>
      </c>
      <c r="L498" s="228" t="s">
        <v>619</v>
      </c>
      <c r="N498" s="227">
        <v>60</v>
      </c>
    </row>
    <row ht="15.75" r="499" spans="1:21" s="228" customFormat="1">
      <c r="A499" s="246">
        <v>481</v>
      </c>
      <c r="B499" s="202">
        <v>6176186</v>
      </c>
      <c r="C499" s="228" t="s">
        <v>1273</v>
      </c>
      <c r="D499" s="228" t="s">
        <v>1272</v>
      </c>
      <c r="E499" s="229">
        <v>132</v>
      </c>
      <c r="F499" s="227">
        <v>60</v>
      </c>
      <c r="G499" s="228">
        <f>E499*F499</f>
        <v>7920</v>
      </c>
      <c r="H499" s="228">
        <v>600</v>
      </c>
      <c r="I499" s="229">
        <f>G499+H499</f>
        <v>8520</v>
      </c>
      <c r="J499" s="229">
        <f>I499*0.1</f>
        <v>852</v>
      </c>
      <c r="K499" s="227">
        <f>I499*0.9</f>
        <v>7668</v>
      </c>
      <c r="L499" s="228" t="s">
        <v>619</v>
      </c>
      <c r="N499" s="227">
        <v>60</v>
      </c>
    </row>
    <row ht="15.75" r="500" spans="1:21" s="228" customFormat="1">
      <c r="A500" s="246">
        <v>482</v>
      </c>
      <c r="B500" s="202">
        <v>6198058</v>
      </c>
      <c r="C500" s="228" t="s">
        <v>1274</v>
      </c>
      <c r="D500" s="228" t="s">
        <v>1272</v>
      </c>
      <c r="E500" s="229">
        <v>160</v>
      </c>
      <c r="F500" s="227">
        <v>60</v>
      </c>
      <c r="G500" s="228">
        <f>E500*F500</f>
        <v>9600</v>
      </c>
      <c r="H500" s="228">
        <v>720</v>
      </c>
      <c r="I500" s="229">
        <f>G500+H500</f>
        <v>10320</v>
      </c>
      <c r="J500" s="229">
        <f>I500*0.1</f>
        <v>1032</v>
      </c>
      <c r="K500" s="227">
        <f>I500*0.9</f>
        <v>9288</v>
      </c>
      <c r="L500" s="228" t="s">
        <v>619</v>
      </c>
      <c r="N500" s="227">
        <v>60</v>
      </c>
    </row>
    <row ht="15.75" r="501" spans="1:21" s="228" customFormat="1">
      <c r="A501" s="246">
        <v>483</v>
      </c>
      <c r="B501" s="202">
        <v>6191118</v>
      </c>
      <c r="C501" s="228" t="s">
        <v>1275</v>
      </c>
      <c r="D501" s="228" t="s">
        <v>1272</v>
      </c>
      <c r="E501" s="229">
        <v>150</v>
      </c>
      <c r="F501" s="227">
        <v>60</v>
      </c>
      <c r="G501" s="228">
        <f>E501*F501</f>
        <v>9000</v>
      </c>
      <c r="H501" s="228">
        <v>660</v>
      </c>
      <c r="I501" s="229">
        <f>G501+H501</f>
        <v>9660</v>
      </c>
      <c r="J501" s="229">
        <f>I501*0.1</f>
        <v>966</v>
      </c>
      <c r="K501" s="227">
        <f>I501*0.9</f>
        <v>8694</v>
      </c>
      <c r="L501" s="228" t="s">
        <v>619</v>
      </c>
      <c r="N501" s="227">
        <v>60</v>
      </c>
    </row>
    <row ht="15.75" r="502" spans="1:21" s="228" customFormat="1">
      <c r="A502" s="246">
        <v>484</v>
      </c>
      <c r="B502" s="202">
        <v>6152503</v>
      </c>
      <c r="C502" s="228" t="s">
        <v>1276</v>
      </c>
      <c r="D502" s="228" t="s">
        <v>1265</v>
      </c>
      <c r="E502" s="229">
        <v>80</v>
      </c>
      <c r="F502" s="227">
        <v>60</v>
      </c>
      <c r="G502" s="228">
        <f>E502*F502</f>
        <v>4800</v>
      </c>
      <c r="H502" s="228">
        <v>500</v>
      </c>
      <c r="I502" s="229">
        <f>G502+H502</f>
        <v>5300</v>
      </c>
      <c r="J502" s="229">
        <f>I502*0.1</f>
        <v>530</v>
      </c>
      <c r="K502" s="227">
        <f>I502*0.9</f>
        <v>4770</v>
      </c>
      <c r="L502" s="228" t="s">
        <v>619</v>
      </c>
      <c r="N502" s="227">
        <v>60</v>
      </c>
    </row>
    <row ht="15.75" r="503" spans="1:21" s="228" customFormat="1">
      <c r="A503" s="246">
        <v>485</v>
      </c>
      <c r="B503" s="202">
        <v>6202246</v>
      </c>
      <c r="C503" s="228" t="s">
        <v>1277</v>
      </c>
      <c r="D503" s="228" t="s">
        <v>1278</v>
      </c>
      <c r="E503" s="229">
        <v>143</v>
      </c>
      <c r="F503" s="227">
        <f>N503</f>
        <v>60</v>
      </c>
      <c r="G503" s="228">
        <f>E503*F503</f>
        <v>8580</v>
      </c>
      <c r="H503" s="228">
        <v>760</v>
      </c>
      <c r="I503" s="229">
        <f>G503+H503</f>
        <v>9340</v>
      </c>
      <c r="J503" s="229">
        <f>I503*0.1</f>
        <v>934</v>
      </c>
      <c r="K503" s="227">
        <f>I503*0.9</f>
        <v>8406</v>
      </c>
      <c r="L503" s="228" t="s">
        <v>619</v>
      </c>
      <c r="N503" s="227">
        <v>60</v>
      </c>
      <c r="O503" s="228">
        <v>42</v>
      </c>
      <c r="U503" s="229"/>
    </row>
    <row ht="15.75" r="504" spans="1:21" s="228" customFormat="1">
      <c r="A504" s="246">
        <v>486</v>
      </c>
      <c r="B504" s="202">
        <v>6204145</v>
      </c>
      <c r="C504" s="228" t="s">
        <v>1279</v>
      </c>
      <c r="D504" s="228" t="s">
        <v>1278</v>
      </c>
      <c r="E504" s="229">
        <v>138</v>
      </c>
      <c r="F504" s="227">
        <f>N504</f>
        <v>60</v>
      </c>
      <c r="G504" s="228">
        <f>E504*F504</f>
        <v>8280</v>
      </c>
      <c r="H504" s="228">
        <v>600</v>
      </c>
      <c r="I504" s="229">
        <f>G504+H504</f>
        <v>8880</v>
      </c>
      <c r="J504" s="229">
        <f>I504*0.1</f>
        <v>888</v>
      </c>
      <c r="K504" s="227">
        <f>I504*0.9</f>
        <v>7992</v>
      </c>
      <c r="L504" s="228" t="s">
        <v>619</v>
      </c>
      <c r="N504" s="227">
        <v>60</v>
      </c>
      <c r="O504" s="245"/>
      <c r="U504" s="229"/>
    </row>
    <row ht="15.75" r="505" spans="1:21" s="228" customFormat="1">
      <c r="A505" s="246">
        <v>487</v>
      </c>
      <c r="B505" s="202">
        <v>6201761</v>
      </c>
      <c r="C505" s="228" t="s">
        <v>1280</v>
      </c>
      <c r="D505" s="228" t="s">
        <v>1278</v>
      </c>
      <c r="E505" s="229">
        <v>120</v>
      </c>
      <c r="F505" s="227">
        <f>N505</f>
        <v>60</v>
      </c>
      <c r="G505" s="228">
        <f>E505*F505</f>
        <v>7200</v>
      </c>
      <c r="H505" s="228">
        <v>500</v>
      </c>
      <c r="I505" s="229">
        <f>G505+H505</f>
        <v>7700</v>
      </c>
      <c r="J505" s="229">
        <f>I505*0.1</f>
        <v>770</v>
      </c>
      <c r="K505" s="227">
        <f>I505*0.9</f>
        <v>6930</v>
      </c>
      <c r="L505" s="228" t="s">
        <v>619</v>
      </c>
      <c r="N505" s="227">
        <v>60</v>
      </c>
      <c r="O505" s="245"/>
      <c r="U505" s="229"/>
    </row>
    <row ht="15.75" r="506" spans="1:21" s="228" customFormat="1">
      <c r="A506" s="246">
        <v>488</v>
      </c>
      <c r="B506" s="202">
        <v>6202156</v>
      </c>
      <c r="C506" s="228" t="s">
        <v>1281</v>
      </c>
      <c r="D506" s="228" t="s">
        <v>1278</v>
      </c>
      <c r="E506" s="229">
        <v>140</v>
      </c>
      <c r="F506" s="227">
        <f>N506</f>
        <v>60</v>
      </c>
      <c r="G506" s="228">
        <f>E506*F506</f>
        <v>8400</v>
      </c>
      <c r="H506" s="228">
        <v>720</v>
      </c>
      <c r="I506" s="229">
        <f>G506+H506</f>
        <v>9120</v>
      </c>
      <c r="J506" s="229">
        <f>I506*0.1</f>
        <v>912</v>
      </c>
      <c r="K506" s="227">
        <f>I506*0.9</f>
        <v>8208</v>
      </c>
      <c r="L506" s="228" t="s">
        <v>619</v>
      </c>
      <c r="N506" s="227">
        <v>60</v>
      </c>
      <c r="O506" s="245"/>
      <c r="U506" s="229"/>
    </row>
    <row ht="15.75" r="507" spans="1:21" s="228" customFormat="1">
      <c r="A507" s="246">
        <v>489</v>
      </c>
      <c r="B507" s="202">
        <v>6198392</v>
      </c>
      <c r="C507" s="228" t="s">
        <v>1282</v>
      </c>
      <c r="D507" s="228" t="s">
        <v>1278</v>
      </c>
      <c r="E507" s="229">
        <v>140</v>
      </c>
      <c r="F507" s="227">
        <f>N507</f>
        <v>60</v>
      </c>
      <c r="G507" s="228">
        <f>E507*F507</f>
        <v>8400</v>
      </c>
      <c r="H507" s="228">
        <v>720</v>
      </c>
      <c r="I507" s="229">
        <f>G507+H507</f>
        <v>9120</v>
      </c>
      <c r="J507" s="229">
        <f>I507*0.1</f>
        <v>912</v>
      </c>
      <c r="K507" s="227">
        <f>I507*0.9</f>
        <v>8208</v>
      </c>
      <c r="L507" s="228" t="s">
        <v>619</v>
      </c>
      <c r="N507" s="227">
        <v>60</v>
      </c>
      <c r="O507" s="228">
        <v>54</v>
      </c>
      <c r="U507" s="229"/>
    </row>
    <row ht="15.75" r="508" spans="1:21" s="228" customFormat="1">
      <c r="A508" s="246">
        <v>490</v>
      </c>
      <c r="B508" s="202">
        <v>6195300</v>
      </c>
      <c r="C508" s="228" t="s">
        <v>1283</v>
      </c>
      <c r="D508" s="228" t="s">
        <v>1278</v>
      </c>
      <c r="E508" s="229">
        <v>138</v>
      </c>
      <c r="F508" s="227">
        <f>N508</f>
        <v>60</v>
      </c>
      <c r="G508" s="228">
        <f>E508*F508</f>
        <v>8280</v>
      </c>
      <c r="H508" s="228">
        <v>760</v>
      </c>
      <c r="I508" s="229">
        <f>G508+H508</f>
        <v>9040</v>
      </c>
      <c r="J508" s="229">
        <f>I508*0.1</f>
        <v>904</v>
      </c>
      <c r="K508" s="227">
        <f>I508*0.9</f>
        <v>8136</v>
      </c>
      <c r="L508" s="228" t="s">
        <v>619</v>
      </c>
      <c r="N508" s="227">
        <v>60</v>
      </c>
      <c r="O508" s="245"/>
      <c r="U508" s="229"/>
    </row>
    <row ht="15.75" r="509" spans="1:21" s="228" customFormat="1">
      <c r="A509" s="246">
        <v>491</v>
      </c>
      <c r="B509" s="202">
        <v>6204830</v>
      </c>
      <c r="C509" s="228" t="s">
        <v>1284</v>
      </c>
      <c r="D509" s="228" t="s">
        <v>1278</v>
      </c>
      <c r="E509" s="229">
        <v>135</v>
      </c>
      <c r="F509" s="227">
        <f>N509</f>
        <v>60</v>
      </c>
      <c r="G509" s="228">
        <f>E509*F509</f>
        <v>8100</v>
      </c>
      <c r="H509" s="228">
        <v>600</v>
      </c>
      <c r="I509" s="229">
        <f>G509+H509</f>
        <v>8700</v>
      </c>
      <c r="J509" s="229">
        <f>I509*0.1</f>
        <v>870</v>
      </c>
      <c r="K509" s="227">
        <f>I509*0.9</f>
        <v>7830</v>
      </c>
      <c r="L509" s="228" t="s">
        <v>619</v>
      </c>
      <c r="N509" s="227">
        <v>60</v>
      </c>
      <c r="O509" s="245"/>
      <c r="U509" s="229"/>
    </row>
    <row ht="15.75" r="510" spans="1:21" s="228" customFormat="1">
      <c r="A510" s="246">
        <v>492</v>
      </c>
      <c r="B510" s="202">
        <v>6201463</v>
      </c>
      <c r="C510" s="228" t="s">
        <v>1285</v>
      </c>
      <c r="D510" s="228" t="s">
        <v>1278</v>
      </c>
      <c r="E510" s="229">
        <v>135</v>
      </c>
      <c r="F510" s="227">
        <v>60</v>
      </c>
      <c r="G510" s="228">
        <f>E510*F510</f>
        <v>8100</v>
      </c>
      <c r="H510" s="228">
        <v>600</v>
      </c>
      <c r="I510" s="229">
        <f>G510+H510</f>
        <v>8700</v>
      </c>
      <c r="J510" s="229">
        <f>I510*0.1</f>
        <v>870</v>
      </c>
      <c r="K510" s="227">
        <f>I510*0.9</f>
        <v>7830</v>
      </c>
      <c r="L510" s="228" t="s">
        <v>619</v>
      </c>
      <c r="N510" s="227">
        <v>60</v>
      </c>
      <c r="O510" s="245"/>
      <c r="U510" s="229"/>
    </row>
    <row ht="15.75" r="511" spans="1:21" s="228" customFormat="1">
      <c r="A511" s="246">
        <v>493</v>
      </c>
      <c r="B511" s="202">
        <v>6207837</v>
      </c>
      <c r="C511" s="228" t="s">
        <v>1286</v>
      </c>
      <c r="D511" s="228" t="s">
        <v>1278</v>
      </c>
      <c r="E511" s="229">
        <v>138</v>
      </c>
      <c r="F511" s="227">
        <f>N511</f>
        <v>60</v>
      </c>
      <c r="G511" s="228">
        <f>E511*F511</f>
        <v>8280</v>
      </c>
      <c r="H511" s="228">
        <v>700</v>
      </c>
      <c r="I511" s="229">
        <f>G511+H511</f>
        <v>8980</v>
      </c>
      <c r="J511" s="229">
        <f>I511*0.1</f>
        <v>898</v>
      </c>
      <c r="K511" s="227">
        <f>I511*0.9</f>
        <v>8082</v>
      </c>
      <c r="L511" s="228" t="s">
        <v>619</v>
      </c>
      <c r="N511" s="227">
        <v>60</v>
      </c>
      <c r="O511" s="245"/>
      <c r="U511" s="229"/>
    </row>
    <row ht="15.75" r="512" spans="1:21" s="228" customFormat="1">
      <c r="A512" s="246">
        <v>494</v>
      </c>
      <c r="B512" s="202">
        <v>6195237</v>
      </c>
      <c r="C512" s="228" t="s">
        <v>1389</v>
      </c>
      <c r="D512" s="228" t="s">
        <v>1287</v>
      </c>
      <c r="E512" s="229">
        <v>100</v>
      </c>
      <c r="F512" s="228">
        <v>60</v>
      </c>
      <c r="G512" s="228">
        <f>E512*F512</f>
        <v>6000</v>
      </c>
      <c r="H512" s="228">
        <v>600</v>
      </c>
      <c r="I512" s="229">
        <f>G512+H512</f>
        <v>6600</v>
      </c>
      <c r="J512" s="229">
        <f>I512*0.1</f>
        <v>660</v>
      </c>
      <c r="K512" s="227">
        <f>I512*0.9</f>
        <v>5940</v>
      </c>
      <c r="L512" s="228" t="s">
        <v>619</v>
      </c>
      <c r="N512" s="227">
        <v>60</v>
      </c>
      <c r="U512" s="229"/>
    </row>
    <row ht="15.75" r="513" spans="1:21" s="228" customFormat="1">
      <c r="A513" s="246">
        <v>496</v>
      </c>
      <c r="B513" s="202">
        <v>6188095</v>
      </c>
      <c r="C513" s="228" t="s">
        <v>1301</v>
      </c>
      <c r="D513" s="228" t="s">
        <v>1287</v>
      </c>
      <c r="E513" s="229">
        <v>100</v>
      </c>
      <c r="F513" s="228">
        <v>60</v>
      </c>
      <c r="G513" s="228">
        <f>E513*F513</f>
        <v>6000</v>
      </c>
      <c r="H513" s="228">
        <v>600</v>
      </c>
      <c r="I513" s="229">
        <f>G513+H513</f>
        <v>6600</v>
      </c>
      <c r="J513" s="229">
        <f>I513*0.1</f>
        <v>660</v>
      </c>
      <c r="K513" s="227">
        <f>I513*0.9</f>
        <v>5940</v>
      </c>
      <c r="L513" s="228" t="s">
        <v>619</v>
      </c>
      <c r="N513" s="227">
        <v>60</v>
      </c>
      <c r="U513" s="229"/>
    </row>
    <row ht="15.75" r="514" spans="1:21" s="228" customFormat="1">
      <c r="A514" s="246">
        <v>497</v>
      </c>
      <c r="B514" s="202">
        <v>6201067</v>
      </c>
      <c r="C514" s="228" t="s">
        <v>1290</v>
      </c>
      <c r="D514" s="228" t="s">
        <v>1291</v>
      </c>
      <c r="E514" s="229">
        <v>143</v>
      </c>
      <c r="F514" s="228">
        <v>60</v>
      </c>
      <c r="G514" s="228">
        <f>E514*F514</f>
        <v>8580</v>
      </c>
      <c r="H514" s="228">
        <v>760</v>
      </c>
      <c r="I514" s="229">
        <f>G514+H514</f>
        <v>9340</v>
      </c>
      <c r="J514" s="229">
        <f>I514*0.1</f>
        <v>934</v>
      </c>
      <c r="K514" s="227">
        <f>I514*0.9</f>
        <v>8406</v>
      </c>
      <c r="L514" s="228" t="s">
        <v>619</v>
      </c>
      <c r="N514" s="227">
        <v>60</v>
      </c>
      <c r="O514" s="245">
        <v>65</v>
      </c>
      <c r="U514" s="229"/>
    </row>
    <row ht="15.75" r="515" spans="1:21" s="228" customFormat="1">
      <c r="A515" s="246">
        <v>498</v>
      </c>
      <c r="B515" s="202">
        <v>6201996</v>
      </c>
      <c r="C515" s="228" t="s">
        <v>1292</v>
      </c>
      <c r="D515" s="228" t="s">
        <v>1291</v>
      </c>
      <c r="E515" s="229">
        <v>130</v>
      </c>
      <c r="F515" s="228">
        <v>60</v>
      </c>
      <c r="G515" s="228">
        <f>E515*F515</f>
        <v>7800</v>
      </c>
      <c r="H515" s="228">
        <v>600</v>
      </c>
      <c r="I515" s="229">
        <f>G515+H515</f>
        <v>8400</v>
      </c>
      <c r="J515" s="229">
        <f>I515*0.1</f>
        <v>840</v>
      </c>
      <c r="K515" s="227">
        <f>I515*0.9</f>
        <v>7560</v>
      </c>
      <c r="L515" s="228" t="s">
        <v>619</v>
      </c>
      <c r="N515" s="227">
        <v>60</v>
      </c>
      <c r="O515" s="245">
        <v>55</v>
      </c>
      <c r="U515" s="229"/>
    </row>
    <row ht="15.75" r="516" spans="1:21" s="228" customFormat="1">
      <c r="A516" s="246">
        <v>499</v>
      </c>
      <c r="B516" s="202">
        <v>6205190</v>
      </c>
      <c r="C516" s="228" t="s">
        <v>1293</v>
      </c>
      <c r="D516" s="228" t="s">
        <v>1291</v>
      </c>
      <c r="E516" s="229">
        <v>130</v>
      </c>
      <c r="F516" s="228">
        <v>60</v>
      </c>
      <c r="G516" s="228">
        <f>E516*F516</f>
        <v>7800</v>
      </c>
      <c r="H516" s="228">
        <v>600</v>
      </c>
      <c r="I516" s="229">
        <f>G516+H516</f>
        <v>8400</v>
      </c>
      <c r="J516" s="229">
        <f>I516*0.1</f>
        <v>840</v>
      </c>
      <c r="K516" s="227">
        <f>I516*0.9</f>
        <v>7560</v>
      </c>
      <c r="L516" s="228" t="s">
        <v>619</v>
      </c>
      <c r="N516" s="227">
        <v>60</v>
      </c>
      <c r="O516" s="245">
        <v>55</v>
      </c>
      <c r="U516" s="229"/>
    </row>
    <row ht="15.75" r="517" spans="1:21" s="228" customFormat="1">
      <c r="A517" s="246">
        <v>500</v>
      </c>
      <c r="B517" s="202">
        <v>6200761</v>
      </c>
      <c r="C517" s="228" t="s">
        <v>1390</v>
      </c>
      <c r="D517" s="228" t="s">
        <v>1278</v>
      </c>
      <c r="E517" s="229">
        <v>140</v>
      </c>
      <c r="F517" s="227">
        <f>N517</f>
        <v>60</v>
      </c>
      <c r="G517" s="228">
        <f>E517*F517</f>
        <v>8400</v>
      </c>
      <c r="H517" s="228">
        <v>600</v>
      </c>
      <c r="I517" s="229">
        <f>G517+H517</f>
        <v>9000</v>
      </c>
      <c r="J517" s="229">
        <f>I517*0.1</f>
        <v>900</v>
      </c>
      <c r="K517" s="227">
        <f>I517*0.9</f>
        <v>8100</v>
      </c>
      <c r="L517" s="228" t="s">
        <v>619</v>
      </c>
      <c r="N517" s="227">
        <v>60</v>
      </c>
      <c r="O517" s="228">
        <v>42</v>
      </c>
      <c r="U517" s="229"/>
    </row>
    <row ht="15.75" r="518" spans="1:21" s="228" customFormat="1">
      <c r="A518" s="246">
        <v>501</v>
      </c>
      <c r="B518" s="202">
        <v>6208222</v>
      </c>
      <c r="C518" s="228" t="s">
        <v>1391</v>
      </c>
      <c r="D518" s="228" t="s">
        <v>1278</v>
      </c>
      <c r="E518" s="229">
        <v>100</v>
      </c>
      <c r="F518" s="227">
        <f>N518</f>
        <v>60</v>
      </c>
      <c r="G518" s="228">
        <f>E518*F518</f>
        <v>6000</v>
      </c>
      <c r="H518" s="228">
        <v>400</v>
      </c>
      <c r="I518" s="229">
        <f>G518+H518</f>
        <v>6400</v>
      </c>
      <c r="J518" s="229">
        <f>I518*0.1</f>
        <v>640</v>
      </c>
      <c r="K518" s="227">
        <f>I518*0.9</f>
        <v>5760</v>
      </c>
      <c r="L518" s="228" t="s">
        <v>619</v>
      </c>
      <c r="N518" s="227">
        <v>60</v>
      </c>
      <c r="O518" s="228">
        <v>42</v>
      </c>
      <c r="U518" s="229"/>
    </row>
    <row ht="15.75" r="519" spans="1:21" s="228" customFormat="1">
      <c r="A519" s="246">
        <v>502</v>
      </c>
      <c r="B519" s="202">
        <v>6203551</v>
      </c>
      <c r="C519" s="228" t="s">
        <v>1294</v>
      </c>
      <c r="D519" s="228" t="s">
        <v>1278</v>
      </c>
      <c r="E519" s="229">
        <v>90</v>
      </c>
      <c r="F519" s="227">
        <f>N519</f>
        <v>60</v>
      </c>
      <c r="G519" s="228">
        <f>E519*F519</f>
        <v>5400</v>
      </c>
      <c r="H519" s="228">
        <v>400</v>
      </c>
      <c r="I519" s="229">
        <f>G519+H519</f>
        <v>5800</v>
      </c>
      <c r="J519" s="229">
        <f>I519*0.1</f>
        <v>580</v>
      </c>
      <c r="K519" s="227">
        <f>I519*0.9</f>
        <v>5220</v>
      </c>
      <c r="L519" s="228" t="s">
        <v>619</v>
      </c>
      <c r="N519" s="227">
        <v>60</v>
      </c>
      <c r="O519" s="228">
        <v>42</v>
      </c>
      <c r="U519" s="229"/>
    </row>
    <row ht="15.75" r="520" spans="1:21" s="228" customFormat="1">
      <c r="A520" s="246">
        <v>503</v>
      </c>
      <c r="B520" s="202">
        <v>6208250</v>
      </c>
      <c r="C520" s="228" t="s">
        <v>1295</v>
      </c>
      <c r="D520" s="228" t="s">
        <v>1278</v>
      </c>
      <c r="E520" s="229">
        <v>138</v>
      </c>
      <c r="F520" s="227">
        <f>N520</f>
        <v>60</v>
      </c>
      <c r="G520" s="228">
        <f>E520*F520</f>
        <v>8280</v>
      </c>
      <c r="H520" s="228">
        <v>600</v>
      </c>
      <c r="I520" s="229">
        <f>G520+H520</f>
        <v>8880</v>
      </c>
      <c r="J520" s="229">
        <f>I520*0.1</f>
        <v>888</v>
      </c>
      <c r="K520" s="227">
        <f>I520*0.9</f>
        <v>7992</v>
      </c>
      <c r="L520" s="228" t="s">
        <v>619</v>
      </c>
      <c r="N520" s="227">
        <v>60</v>
      </c>
      <c r="U520" s="229"/>
    </row>
    <row ht="15.75" customHeight="1" r="521" spans="1:21" s="228" customFormat="1">
      <c r="A521" s="246">
        <v>504</v>
      </c>
      <c r="B521" s="202">
        <v>6207873</v>
      </c>
      <c r="C521" s="228" t="s">
        <v>1296</v>
      </c>
      <c r="D521" s="228" t="s">
        <v>1278</v>
      </c>
      <c r="E521" s="229">
        <v>120</v>
      </c>
      <c r="F521" s="227">
        <f>N521</f>
        <v>60</v>
      </c>
      <c r="G521" s="228">
        <f>E521*F521</f>
        <v>7200</v>
      </c>
      <c r="H521" s="228">
        <v>600</v>
      </c>
      <c r="I521" s="229">
        <f>G521+H521</f>
        <v>7800</v>
      </c>
      <c r="J521" s="229">
        <f>I521*0.1</f>
        <v>780</v>
      </c>
      <c r="K521" s="227">
        <f>I521*0.9</f>
        <v>7020</v>
      </c>
      <c r="L521" s="228" t="s">
        <v>619</v>
      </c>
      <c r="N521" s="227">
        <v>60</v>
      </c>
      <c r="U521" s="229"/>
    </row>
    <row ht="15.75" r="522" spans="1:21" s="228" customFormat="1">
      <c r="A522" s="246">
        <v>505</v>
      </c>
      <c r="B522" s="202">
        <v>6201454</v>
      </c>
      <c r="C522" s="228" t="s">
        <v>1297</v>
      </c>
      <c r="D522" s="228" t="s">
        <v>1278</v>
      </c>
      <c r="E522" s="229">
        <v>140</v>
      </c>
      <c r="F522" s="227">
        <f>N522</f>
        <v>60</v>
      </c>
      <c r="G522" s="228">
        <f>E522*F522</f>
        <v>8400</v>
      </c>
      <c r="H522" s="228">
        <v>700</v>
      </c>
      <c r="I522" s="229">
        <f>G522+H522</f>
        <v>9100</v>
      </c>
      <c r="J522" s="229">
        <f>I522*0.1</f>
        <v>910</v>
      </c>
      <c r="K522" s="227">
        <f>I522*0.9</f>
        <v>8190</v>
      </c>
      <c r="L522" s="228" t="s">
        <v>619</v>
      </c>
      <c r="N522" s="227">
        <v>60</v>
      </c>
      <c r="U522" s="229"/>
    </row>
    <row ht="15.75" r="523" spans="1:21" s="228" customFormat="1">
      <c r="A523" s="246">
        <v>506</v>
      </c>
      <c r="B523" s="202">
        <v>6204867</v>
      </c>
      <c r="C523" s="228" t="s">
        <v>1298</v>
      </c>
      <c r="D523" s="228" t="s">
        <v>1278</v>
      </c>
      <c r="E523" s="228">
        <v>90</v>
      </c>
      <c r="F523" s="227">
        <f>N523</f>
        <v>60</v>
      </c>
      <c r="G523" s="228">
        <f>E523*F523</f>
        <v>5400</v>
      </c>
      <c r="H523" s="228">
        <v>400</v>
      </c>
      <c r="I523" s="229">
        <f>G523+H523</f>
        <v>5800</v>
      </c>
      <c r="J523" s="229">
        <f>I523*0.1</f>
        <v>580</v>
      </c>
      <c r="K523" s="227">
        <f>I523*0.9</f>
        <v>5220</v>
      </c>
      <c r="L523" s="228" t="s">
        <v>619</v>
      </c>
      <c r="N523" s="227">
        <v>60</v>
      </c>
      <c r="U523" s="229"/>
    </row>
    <row ht="15.75" r="524" spans="1:21" s="228" customFormat="1">
      <c r="A524" s="246">
        <v>507</v>
      </c>
      <c r="B524" s="202">
        <v>6204821</v>
      </c>
      <c r="C524" s="228" t="s">
        <v>1299</v>
      </c>
      <c r="D524" s="228" t="s">
        <v>1278</v>
      </c>
      <c r="E524" s="229">
        <v>138</v>
      </c>
      <c r="F524" s="227">
        <f>N524</f>
        <v>60</v>
      </c>
      <c r="G524" s="228">
        <f>E524*F524</f>
        <v>8280</v>
      </c>
      <c r="H524" s="228">
        <v>600</v>
      </c>
      <c r="I524" s="229">
        <f>G524+H524</f>
        <v>8880</v>
      </c>
      <c r="J524" s="229">
        <f>I524*0.1</f>
        <v>888</v>
      </c>
      <c r="K524" s="227">
        <f>I524*0.9</f>
        <v>7992</v>
      </c>
      <c r="L524" s="228" t="s">
        <v>619</v>
      </c>
      <c r="N524" s="227">
        <v>60</v>
      </c>
      <c r="U524" s="229"/>
    </row>
    <row ht="15.75" r="525" spans="1:21" s="228" customFormat="1">
      <c r="A525" s="246">
        <v>508</v>
      </c>
      <c r="B525" s="202">
        <v>6208520</v>
      </c>
      <c r="C525" s="228" t="s">
        <v>1300</v>
      </c>
      <c r="D525" s="228" t="s">
        <v>1278</v>
      </c>
      <c r="E525" s="229">
        <v>135</v>
      </c>
      <c r="F525" s="227">
        <f>N525</f>
        <v>60</v>
      </c>
      <c r="G525" s="228">
        <f>E525*F525</f>
        <v>8100</v>
      </c>
      <c r="H525" s="228">
        <v>600</v>
      </c>
      <c r="I525" s="229">
        <f>G525+H525</f>
        <v>8700</v>
      </c>
      <c r="J525" s="229">
        <f>I525*0.1</f>
        <v>870</v>
      </c>
      <c r="K525" s="227">
        <f>I525*0.9</f>
        <v>7830</v>
      </c>
      <c r="L525" s="228" t="s">
        <v>619</v>
      </c>
      <c r="N525" s="227">
        <v>60</v>
      </c>
      <c r="U525" s="229"/>
    </row>
    <row ht="15.75" r="526" spans="1:21" s="228" customFormat="1">
      <c r="A526" s="246">
        <v>509</v>
      </c>
      <c r="B526" s="202">
        <v>6199487</v>
      </c>
      <c r="C526" s="228" t="s">
        <v>540</v>
      </c>
      <c r="D526" s="228" t="s">
        <v>620</v>
      </c>
      <c r="E526" s="228">
        <v>114</v>
      </c>
      <c r="F526" s="228">
        <v>60</v>
      </c>
      <c r="G526" s="228">
        <f>E526*F526</f>
        <v>6840</v>
      </c>
      <c r="H526" s="228">
        <f>E526*20/3</f>
        <v>760</v>
      </c>
      <c r="I526" s="228">
        <f>G526+H526</f>
        <v>7600</v>
      </c>
      <c r="J526" s="229">
        <f>I526*0.1</f>
        <v>760</v>
      </c>
      <c r="K526" s="227">
        <f>I526*0.9</f>
        <v>6840</v>
      </c>
      <c r="L526" s="228" t="s">
        <v>619</v>
      </c>
      <c r="N526" s="227"/>
    </row>
    <row ht="15.75" r="527" spans="1:21" s="228" customFormat="1">
      <c r="A527" s="246">
        <v>510</v>
      </c>
      <c r="B527" s="202">
        <v>6198749</v>
      </c>
      <c r="C527" s="228" t="s">
        <v>561</v>
      </c>
      <c r="D527" s="228" t="s">
        <v>620</v>
      </c>
      <c r="E527" s="228">
        <v>69</v>
      </c>
      <c r="F527" s="228">
        <v>60</v>
      </c>
      <c r="G527" s="228">
        <f>E527*F527</f>
        <v>4140</v>
      </c>
      <c r="H527" s="228">
        <f>E527*20/3</f>
        <v>460</v>
      </c>
      <c r="I527" s="227">
        <v>4600</v>
      </c>
      <c r="J527" s="229">
        <f>I527*0.1</f>
        <v>460</v>
      </c>
      <c r="K527" s="227">
        <f>I527*0.9</f>
        <v>4140</v>
      </c>
      <c r="L527" s="228" t="s">
        <v>619</v>
      </c>
      <c r="N527" s="227"/>
    </row>
    <row ht="15.75" r="528" spans="1:21" s="228" customFormat="1">
      <c r="A528" s="246">
        <v>511</v>
      </c>
      <c r="B528" s="202">
        <v>6201553</v>
      </c>
      <c r="C528" s="228" t="s">
        <v>1134</v>
      </c>
      <c r="D528" s="228" t="s">
        <v>620</v>
      </c>
      <c r="E528" s="228">
        <v>90</v>
      </c>
      <c r="F528" s="228">
        <v>60</v>
      </c>
      <c r="G528" s="228">
        <f>E528*F528</f>
        <v>5400</v>
      </c>
      <c r="H528" s="228">
        <f>E528*20/3</f>
        <v>600</v>
      </c>
      <c r="I528" s="228">
        <f>G528+H528</f>
        <v>6000</v>
      </c>
      <c r="J528" s="229">
        <f>I528*0.1</f>
        <v>600</v>
      </c>
      <c r="K528" s="227">
        <f>I528*0.9</f>
        <v>5400</v>
      </c>
      <c r="L528" s="228" t="s">
        <v>619</v>
      </c>
      <c r="N528" s="227"/>
    </row>
    <row ht="15.75" r="529" spans="1:14" s="228" customFormat="1">
      <c r="A529" s="246">
        <v>512</v>
      </c>
      <c r="B529" s="202">
        <v>6204352</v>
      </c>
      <c r="C529" s="228" t="s">
        <v>495</v>
      </c>
      <c r="D529" s="228" t="s">
        <v>620</v>
      </c>
      <c r="E529" s="228">
        <v>102</v>
      </c>
      <c r="F529" s="228">
        <v>60</v>
      </c>
      <c r="G529" s="228">
        <f>E529*F529</f>
        <v>6120</v>
      </c>
      <c r="H529" s="228">
        <f>E529*20/3</f>
        <v>680</v>
      </c>
      <c r="I529" s="228">
        <f>G529+H529</f>
        <v>6800</v>
      </c>
      <c r="J529" s="229">
        <f>I529*0.1</f>
        <v>680</v>
      </c>
      <c r="K529" s="227">
        <f>I529*0.9</f>
        <v>6120</v>
      </c>
      <c r="L529" s="228" t="s">
        <v>619</v>
      </c>
      <c r="N529" s="227"/>
    </row>
    <row ht="15.75" r="530" spans="1:14" s="228" customFormat="1">
      <c r="A530" s="246">
        <v>513</v>
      </c>
      <c r="B530" s="202">
        <v>6206323</v>
      </c>
      <c r="C530" s="228" t="s">
        <v>479</v>
      </c>
      <c r="D530" s="228" t="s">
        <v>620</v>
      </c>
      <c r="E530" s="228">
        <v>84</v>
      </c>
      <c r="F530" s="227">
        <v>60</v>
      </c>
      <c r="G530" s="228">
        <f>E530*F530</f>
        <v>5040</v>
      </c>
      <c r="H530" s="228">
        <v>560</v>
      </c>
      <c r="I530" s="227">
        <v>5600</v>
      </c>
      <c r="J530" s="229">
        <f>I530*0.1</f>
        <v>560</v>
      </c>
      <c r="K530" s="227">
        <f>I530*0.9</f>
        <v>5040</v>
      </c>
      <c r="L530" s="228" t="s">
        <v>619</v>
      </c>
      <c r="N530" s="227"/>
    </row>
    <row ht="15.75" r="531" spans="1:14" s="228" customFormat="1">
      <c r="A531" s="246">
        <v>514</v>
      </c>
      <c r="B531" s="202">
        <v>6208098</v>
      </c>
      <c r="C531" s="228" t="s">
        <v>477</v>
      </c>
      <c r="D531" s="228" t="s">
        <v>620</v>
      </c>
      <c r="E531" s="228">
        <v>30</v>
      </c>
      <c r="F531" s="228">
        <v>60</v>
      </c>
      <c r="G531" s="228">
        <f>E531*F531</f>
        <v>1800</v>
      </c>
      <c r="H531" s="228">
        <f>E531*20/3</f>
        <v>200</v>
      </c>
      <c r="I531" s="228">
        <f>G531+H531</f>
        <v>2000</v>
      </c>
      <c r="J531" s="229">
        <f>I531*0.1</f>
        <v>200</v>
      </c>
      <c r="K531" s="227">
        <f>I531*0.9</f>
        <v>1800</v>
      </c>
      <c r="L531" s="228" t="s">
        <v>619</v>
      </c>
      <c r="N531" s="227"/>
    </row>
    <row ht="15.75" r="532" spans="1:14" s="228" customFormat="1">
      <c r="A532" s="246">
        <v>515</v>
      </c>
      <c r="B532" s="202">
        <v>6198350</v>
      </c>
      <c r="C532" s="228" t="s">
        <v>494</v>
      </c>
      <c r="D532" s="228" t="s">
        <v>620</v>
      </c>
      <c r="E532" s="228">
        <v>69</v>
      </c>
      <c r="F532" s="228">
        <v>60</v>
      </c>
      <c r="G532" s="228">
        <f>E532*F532</f>
        <v>4140</v>
      </c>
      <c r="H532" s="228">
        <f>E532*20/3</f>
        <v>460</v>
      </c>
      <c r="I532" s="228">
        <f>G532+H532</f>
        <v>4600</v>
      </c>
      <c r="J532" s="229">
        <f>I532*0.1</f>
        <v>460</v>
      </c>
      <c r="K532" s="227">
        <f>I532*0.9</f>
        <v>4140</v>
      </c>
      <c r="L532" s="228" t="s">
        <v>619</v>
      </c>
      <c r="N532" s="227"/>
    </row>
    <row ht="15.75" r="533" spans="1:14" s="228" customFormat="1">
      <c r="A533" s="246">
        <v>516</v>
      </c>
      <c r="B533" s="202">
        <v>6183239</v>
      </c>
      <c r="C533" s="228" t="s">
        <v>557</v>
      </c>
      <c r="D533" s="228" t="s">
        <v>620</v>
      </c>
      <c r="E533" s="228">
        <v>63</v>
      </c>
      <c r="F533" s="228">
        <v>60</v>
      </c>
      <c r="G533" s="228">
        <f>E533*F533</f>
        <v>3780</v>
      </c>
      <c r="H533" s="228">
        <f>E533*20/3</f>
        <v>420</v>
      </c>
      <c r="I533" s="228">
        <f>G533+H533</f>
        <v>4200</v>
      </c>
      <c r="J533" s="229">
        <f>I533*0.1</f>
        <v>420</v>
      </c>
      <c r="K533" s="227">
        <f>I533*0.9</f>
        <v>3780</v>
      </c>
      <c r="L533" s="228" t="s">
        <v>619</v>
      </c>
      <c r="N533" s="227"/>
    </row>
    <row ht="15.75" r="534" spans="1:14" s="228" customFormat="1">
      <c r="A534" s="246">
        <v>517</v>
      </c>
      <c r="B534" s="202">
        <v>6186297</v>
      </c>
      <c r="C534" s="228" t="s">
        <v>685</v>
      </c>
      <c r="D534" s="228" t="s">
        <v>620</v>
      </c>
      <c r="E534" s="228">
        <v>99</v>
      </c>
      <c r="F534" s="228">
        <v>60</v>
      </c>
      <c r="G534" s="228">
        <f>E534*F534</f>
        <v>5940</v>
      </c>
      <c r="H534" s="228">
        <f>E534*20/3</f>
        <v>660</v>
      </c>
      <c r="I534" s="228">
        <f>G534+H534</f>
        <v>6600</v>
      </c>
      <c r="J534" s="229">
        <f>I534*0.1</f>
        <v>660</v>
      </c>
      <c r="K534" s="227">
        <f>I534*0.9</f>
        <v>5940</v>
      </c>
      <c r="L534" s="228" t="s">
        <v>619</v>
      </c>
      <c r="N534" s="227"/>
    </row>
    <row ht="15.75" r="535" spans="1:14" s="228" customFormat="1">
      <c r="A535" s="246">
        <v>518</v>
      </c>
      <c r="B535" s="202">
        <v>6169520</v>
      </c>
      <c r="C535" s="228" t="s">
        <v>507</v>
      </c>
      <c r="D535" s="228" t="s">
        <v>620</v>
      </c>
      <c r="E535" s="228">
        <v>39</v>
      </c>
      <c r="F535" s="228">
        <v>60</v>
      </c>
      <c r="G535" s="228">
        <f>E535*F535</f>
        <v>2340</v>
      </c>
      <c r="H535" s="228">
        <f>E535*20/3</f>
        <v>260</v>
      </c>
      <c r="I535" s="228">
        <f>G535+H535</f>
        <v>2600</v>
      </c>
      <c r="J535" s="229">
        <f>I535*0.1</f>
        <v>260</v>
      </c>
      <c r="K535" s="227">
        <f>I535*0.9</f>
        <v>2340</v>
      </c>
      <c r="L535" s="228" t="s">
        <v>619</v>
      </c>
      <c r="N535" s="227"/>
    </row>
    <row ht="15.75" r="536" spans="1:14" s="228" customFormat="1">
      <c r="A536" s="246">
        <v>519</v>
      </c>
      <c r="B536" s="202">
        <v>6199397</v>
      </c>
      <c r="C536" s="228" t="s">
        <v>505</v>
      </c>
      <c r="D536" s="228" t="s">
        <v>620</v>
      </c>
      <c r="E536" s="228">
        <v>82</v>
      </c>
      <c r="F536" s="228">
        <v>60</v>
      </c>
      <c r="G536" s="228">
        <f>E536*F536</f>
        <v>4920</v>
      </c>
      <c r="H536" s="228">
        <v>600</v>
      </c>
      <c r="I536" s="228">
        <f>G536+H536</f>
        <v>5520</v>
      </c>
      <c r="J536" s="229">
        <f>I536*0.1</f>
        <v>552</v>
      </c>
      <c r="K536" s="227">
        <f>I536*0.9</f>
        <v>4968</v>
      </c>
      <c r="L536" s="228" t="s">
        <v>619</v>
      </c>
      <c r="N536" s="227"/>
    </row>
    <row ht="15.75" r="537" spans="1:14" s="228" customFormat="1">
      <c r="A537" s="246">
        <v>520</v>
      </c>
      <c r="B537" s="202">
        <v>6209881</v>
      </c>
      <c r="C537" s="228" t="s">
        <v>1392</v>
      </c>
      <c r="D537" s="228" t="s">
        <v>620</v>
      </c>
      <c r="E537" s="228">
        <v>48</v>
      </c>
      <c r="F537" s="228">
        <v>60</v>
      </c>
      <c r="G537" s="228">
        <f>E537*F537</f>
        <v>2880</v>
      </c>
      <c r="H537" s="228">
        <f>E537*20/3</f>
        <v>320</v>
      </c>
      <c r="I537" s="228">
        <f>G537+H537</f>
        <v>3200</v>
      </c>
      <c r="J537" s="229">
        <f>I537*0.1</f>
        <v>320</v>
      </c>
      <c r="K537" s="227">
        <f>I537*0.9</f>
        <v>2880</v>
      </c>
      <c r="L537" s="228" t="s">
        <v>619</v>
      </c>
      <c r="N537" s="227"/>
    </row>
    <row ht="15.75" r="538" spans="1:14" s="228" customFormat="1">
      <c r="A538" s="246">
        <v>521</v>
      </c>
      <c r="B538" s="202">
        <v>6209871</v>
      </c>
      <c r="C538" s="228" t="s">
        <v>718</v>
      </c>
      <c r="D538" s="228" t="s">
        <v>620</v>
      </c>
      <c r="E538" s="228">
        <v>106</v>
      </c>
      <c r="F538" s="228">
        <v>60</v>
      </c>
      <c r="G538" s="228">
        <f>E538*F538</f>
        <v>6360</v>
      </c>
      <c r="H538" s="228">
        <v>660</v>
      </c>
      <c r="I538" s="227">
        <f>G538+H538</f>
        <v>7020</v>
      </c>
      <c r="J538" s="229">
        <f>I538*0.1</f>
        <v>702</v>
      </c>
      <c r="K538" s="227">
        <f>I538*0.9</f>
        <v>6318</v>
      </c>
      <c r="L538" s="228" t="s">
        <v>619</v>
      </c>
      <c r="N538" s="227"/>
    </row>
    <row ht="15.75" r="539" spans="1:14" s="228" customFormat="1">
      <c r="A539" s="246">
        <v>522</v>
      </c>
      <c r="B539" s="202">
        <v>6191591</v>
      </c>
      <c r="C539" s="228" t="s">
        <v>524</v>
      </c>
      <c r="D539" s="228" t="s">
        <v>620</v>
      </c>
      <c r="E539" s="228">
        <v>39</v>
      </c>
      <c r="F539" s="228">
        <v>60</v>
      </c>
      <c r="G539" s="228">
        <f>E539*F539</f>
        <v>2340</v>
      </c>
      <c r="H539" s="228">
        <f>E539*20/3</f>
        <v>260</v>
      </c>
      <c r="I539" s="228">
        <f>G539+H539</f>
        <v>2600</v>
      </c>
      <c r="J539" s="229">
        <f>I539*0.1</f>
        <v>260</v>
      </c>
      <c r="K539" s="227">
        <f>I539*0.9</f>
        <v>2340</v>
      </c>
      <c r="L539" s="228" t="s">
        <v>619</v>
      </c>
      <c r="N539" s="227"/>
    </row>
    <row ht="15.75" r="540" spans="1:14" s="228" customFormat="1">
      <c r="A540" s="246">
        <v>523</v>
      </c>
      <c r="B540" s="202">
        <v>6196349</v>
      </c>
      <c r="C540" s="228" t="s">
        <v>560</v>
      </c>
      <c r="D540" s="228" t="s">
        <v>620</v>
      </c>
      <c r="E540" s="228">
        <v>18</v>
      </c>
      <c r="F540" s="228">
        <v>60</v>
      </c>
      <c r="G540" s="228">
        <f>E540*F540</f>
        <v>1080</v>
      </c>
      <c r="H540" s="228">
        <f>E540*20/3</f>
        <v>120</v>
      </c>
      <c r="I540" s="228">
        <f>G540+H540</f>
        <v>1200</v>
      </c>
      <c r="J540" s="229">
        <f>I540*0.1</f>
        <v>120</v>
      </c>
      <c r="K540" s="227">
        <f>I540*0.9</f>
        <v>1080</v>
      </c>
      <c r="L540" s="228" t="s">
        <v>619</v>
      </c>
      <c r="N540" s="227"/>
    </row>
    <row ht="15.75" r="541" spans="1:14" s="228" customFormat="1">
      <c r="A541" s="246">
        <v>524</v>
      </c>
      <c r="B541" s="202">
        <v>6207927</v>
      </c>
      <c r="C541" s="228" t="s">
        <v>559</v>
      </c>
      <c r="D541" s="228" t="s">
        <v>620</v>
      </c>
      <c r="E541" s="228">
        <v>107</v>
      </c>
      <c r="F541" s="228">
        <v>60</v>
      </c>
      <c r="G541" s="228">
        <f>E541*F541</f>
        <v>6420</v>
      </c>
      <c r="H541" s="228">
        <v>740</v>
      </c>
      <c r="I541" s="228">
        <f>G541+H541</f>
        <v>7160</v>
      </c>
      <c r="J541" s="229">
        <f>I541*0.1</f>
        <v>716</v>
      </c>
      <c r="K541" s="227">
        <f>I541*0.9</f>
        <v>6444</v>
      </c>
      <c r="L541" s="228" t="s">
        <v>619</v>
      </c>
      <c r="N541" s="227"/>
    </row>
    <row ht="15.75" r="542" spans="1:14" s="228" customFormat="1">
      <c r="A542" s="246">
        <v>525</v>
      </c>
      <c r="B542" s="202">
        <v>6192718</v>
      </c>
      <c r="C542" s="228" t="s">
        <v>536</v>
      </c>
      <c r="D542" s="228" t="s">
        <v>620</v>
      </c>
      <c r="E542" s="228">
        <v>42</v>
      </c>
      <c r="F542" s="228">
        <v>60</v>
      </c>
      <c r="G542" s="228">
        <f>E542*F542</f>
        <v>2520</v>
      </c>
      <c r="H542" s="228">
        <f>E542*20/3</f>
        <v>280</v>
      </c>
      <c r="I542" s="228">
        <f>G542+H542</f>
        <v>2800</v>
      </c>
      <c r="J542" s="229">
        <f>I542*0.1</f>
        <v>280</v>
      </c>
      <c r="K542" s="227">
        <f>I542*0.9</f>
        <v>2520</v>
      </c>
      <c r="L542" s="228" t="s">
        <v>619</v>
      </c>
      <c r="N542" s="227"/>
    </row>
    <row ht="15.75" r="543" spans="1:14" s="228" customFormat="1">
      <c r="A543" s="246">
        <v>526</v>
      </c>
      <c r="B543" s="202">
        <v>6198066</v>
      </c>
      <c r="C543" s="228" t="s">
        <v>538</v>
      </c>
      <c r="D543" s="228" t="s">
        <v>620</v>
      </c>
      <c r="E543" s="228">
        <v>45</v>
      </c>
      <c r="F543" s="228">
        <v>60</v>
      </c>
      <c r="G543" s="228">
        <f>E543*F543</f>
        <v>2700</v>
      </c>
      <c r="H543" s="228">
        <f>E543*20/3</f>
        <v>300</v>
      </c>
      <c r="I543" s="228">
        <f>G543+H543</f>
        <v>3000</v>
      </c>
      <c r="J543" s="229">
        <f>I543*0.1</f>
        <v>300</v>
      </c>
      <c r="K543" s="227">
        <f>I543*0.9</f>
        <v>2700</v>
      </c>
      <c r="L543" s="228" t="s">
        <v>619</v>
      </c>
      <c r="N543" s="227"/>
    </row>
    <row ht="15.75" r="544" spans="1:14" s="228" customFormat="1">
      <c r="A544" s="246">
        <v>527</v>
      </c>
      <c r="B544" s="202">
        <v>6155308</v>
      </c>
      <c r="C544" s="228" t="s">
        <v>554</v>
      </c>
      <c r="D544" s="228" t="s">
        <v>620</v>
      </c>
      <c r="E544" s="228">
        <v>36</v>
      </c>
      <c r="F544" s="228">
        <v>60</v>
      </c>
      <c r="G544" s="228">
        <f>E544*F544</f>
        <v>2160</v>
      </c>
      <c r="H544" s="228">
        <f>E544*20/3</f>
        <v>240</v>
      </c>
      <c r="I544" s="228">
        <f>G544+H544</f>
        <v>2400</v>
      </c>
      <c r="J544" s="229">
        <f>I544*0.1</f>
        <v>240</v>
      </c>
      <c r="K544" s="227">
        <f>I544*0.9</f>
        <v>2160</v>
      </c>
      <c r="L544" s="228" t="s">
        <v>619</v>
      </c>
      <c r="N544" s="227"/>
    </row>
    <row ht="15.75" r="545" spans="1:15" s="228" customFormat="1">
      <c r="A545" s="246">
        <v>528</v>
      </c>
      <c r="B545" s="202">
        <v>6191045</v>
      </c>
      <c r="C545" s="228" t="s">
        <v>1393</v>
      </c>
      <c r="D545" s="228" t="s">
        <v>620</v>
      </c>
      <c r="E545" s="228">
        <v>24</v>
      </c>
      <c r="F545" s="228">
        <v>60</v>
      </c>
      <c r="G545" s="228">
        <f>E545*F545</f>
        <v>1440</v>
      </c>
      <c r="H545" s="228">
        <f>E545*20/3</f>
        <v>160</v>
      </c>
      <c r="I545" s="228">
        <f>G545+H545</f>
        <v>1600</v>
      </c>
      <c r="J545" s="229">
        <f>I545*0.1</f>
        <v>160</v>
      </c>
      <c r="K545" s="227">
        <f>I545*0.9</f>
        <v>1440</v>
      </c>
      <c r="L545" s="228" t="s">
        <v>619</v>
      </c>
      <c r="N545" s="227"/>
    </row>
    <row ht="15.75" r="546" spans="1:15" s="228" customFormat="1">
      <c r="A546" s="246">
        <v>530</v>
      </c>
      <c r="B546" s="202">
        <v>6167626</v>
      </c>
      <c r="C546" s="228" t="s">
        <v>551</v>
      </c>
      <c r="D546" s="228" t="s">
        <v>620</v>
      </c>
      <c r="E546" s="228">
        <v>30</v>
      </c>
      <c r="F546" s="228">
        <v>60</v>
      </c>
      <c r="G546" s="228">
        <f>E546*F546</f>
        <v>1800</v>
      </c>
      <c r="H546" s="228">
        <f>E546*20/3</f>
        <v>200</v>
      </c>
      <c r="I546" s="228">
        <f>G546+H546</f>
        <v>2000</v>
      </c>
      <c r="J546" s="229">
        <f>I546*0.1</f>
        <v>200</v>
      </c>
      <c r="K546" s="227">
        <f>I546*0.9</f>
        <v>1800</v>
      </c>
      <c r="L546" s="228" t="s">
        <v>619</v>
      </c>
      <c r="N546" s="227"/>
    </row>
    <row ht="15.75" r="547" spans="1:15" s="228" customFormat="1">
      <c r="A547" s="246">
        <v>533</v>
      </c>
      <c r="B547" s="202">
        <v>6188788</v>
      </c>
      <c r="C547" s="228" t="s">
        <v>496</v>
      </c>
      <c r="D547" s="228" t="s">
        <v>620</v>
      </c>
      <c r="E547" s="228">
        <v>36</v>
      </c>
      <c r="F547" s="228">
        <v>60</v>
      </c>
      <c r="G547" s="228">
        <f>E547*F547</f>
        <v>2160</v>
      </c>
      <c r="H547" s="228">
        <f>E547*20/3</f>
        <v>240</v>
      </c>
      <c r="I547" s="228">
        <f>G547+H547</f>
        <v>2400</v>
      </c>
      <c r="J547" s="229">
        <f>I547*0.1</f>
        <v>240</v>
      </c>
      <c r="K547" s="227">
        <f>I547*0.9</f>
        <v>2160</v>
      </c>
      <c r="L547" s="228" t="s">
        <v>619</v>
      </c>
      <c r="N547" s="227"/>
    </row>
    <row ht="15.75" r="548" spans="1:15" s="228" customFormat="1">
      <c r="A548" s="246">
        <v>534</v>
      </c>
      <c r="B548" s="202">
        <v>6209916</v>
      </c>
      <c r="C548" s="228" t="s">
        <v>1394</v>
      </c>
      <c r="D548" s="228" t="s">
        <v>620</v>
      </c>
      <c r="E548" s="228">
        <v>39</v>
      </c>
      <c r="F548" s="228">
        <v>60</v>
      </c>
      <c r="G548" s="228">
        <f>E548*F548</f>
        <v>2340</v>
      </c>
      <c r="H548" s="228">
        <f>E548*20/3</f>
        <v>260</v>
      </c>
      <c r="I548" s="228">
        <f>G548+H548</f>
        <v>2600</v>
      </c>
      <c r="J548" s="229">
        <f>I548*0.1</f>
        <v>260</v>
      </c>
      <c r="K548" s="227">
        <f>I548*0.9</f>
        <v>2340</v>
      </c>
      <c r="L548" s="228" t="s">
        <v>619</v>
      </c>
      <c r="N548" s="227"/>
    </row>
    <row ht="15.75" r="549" spans="1:15" s="228" customFormat="1">
      <c r="A549" s="246">
        <v>535</v>
      </c>
      <c r="B549" s="202">
        <v>6208061</v>
      </c>
      <c r="C549" s="228" t="s">
        <v>485</v>
      </c>
      <c r="D549" s="228" t="s">
        <v>620</v>
      </c>
      <c r="E549" s="228">
        <v>48</v>
      </c>
      <c r="F549" s="227">
        <v>60</v>
      </c>
      <c r="G549" s="228">
        <f>E549*F549</f>
        <v>2880</v>
      </c>
      <c r="H549" s="228">
        <v>320</v>
      </c>
      <c r="I549" s="227">
        <f>G549+H549</f>
        <v>3200</v>
      </c>
      <c r="J549" s="229">
        <v>302</v>
      </c>
      <c r="K549" s="227">
        <f>I549*0.9</f>
        <v>2880</v>
      </c>
      <c r="L549" s="228" t="s">
        <v>619</v>
      </c>
      <c r="N549" s="227"/>
    </row>
    <row ht="15.75" r="550" spans="1:15" s="228" customFormat="1">
      <c r="A550" s="246">
        <v>536</v>
      </c>
      <c r="B550" s="202">
        <v>6189938</v>
      </c>
      <c r="C550" s="228" t="s">
        <v>478</v>
      </c>
      <c r="D550" s="228" t="s">
        <v>620</v>
      </c>
      <c r="E550" s="228">
        <v>24</v>
      </c>
      <c r="F550" s="228">
        <v>60</v>
      </c>
      <c r="G550" s="228">
        <f>E550*F550</f>
        <v>1440</v>
      </c>
      <c r="H550" s="228">
        <f>E550*20/3</f>
        <v>160</v>
      </c>
      <c r="I550" s="228">
        <f>G550+H550</f>
        <v>1600</v>
      </c>
      <c r="J550" s="229">
        <f>I550*0.1</f>
        <v>160</v>
      </c>
      <c r="K550" s="227">
        <f>I550*0.9</f>
        <v>1440</v>
      </c>
      <c r="L550" s="228" t="s">
        <v>619</v>
      </c>
      <c r="N550" s="227"/>
    </row>
    <row ht="15.75" r="551" spans="1:15" s="228" customFormat="1">
      <c r="A551" s="246">
        <v>537</v>
      </c>
      <c r="B551" s="202">
        <v>6185380</v>
      </c>
      <c r="C551" s="228" t="s">
        <v>461</v>
      </c>
      <c r="D551" s="228" t="s">
        <v>620</v>
      </c>
      <c r="E551" s="228">
        <v>45</v>
      </c>
      <c r="F551" s="228">
        <v>60</v>
      </c>
      <c r="G551" s="228">
        <f>E551*F551</f>
        <v>2700</v>
      </c>
      <c r="H551" s="228">
        <f>E551*20/3</f>
        <v>300</v>
      </c>
      <c r="I551" s="228">
        <f>G551+H551</f>
        <v>3000</v>
      </c>
      <c r="J551" s="229">
        <f>I551*0.1</f>
        <v>300</v>
      </c>
      <c r="K551" s="227">
        <f>I551*0.9</f>
        <v>2700</v>
      </c>
      <c r="L551" s="228" t="s">
        <v>619</v>
      </c>
      <c r="N551" s="227"/>
    </row>
    <row ht="15.75" r="552" spans="1:15" s="228" customFormat="1">
      <c r="A552" s="246">
        <v>538</v>
      </c>
      <c r="B552" s="202">
        <v>6184685</v>
      </c>
      <c r="C552" s="228" t="s">
        <v>1395</v>
      </c>
      <c r="D552" s="228" t="s">
        <v>620</v>
      </c>
      <c r="E552" s="228">
        <v>42</v>
      </c>
      <c r="F552" s="228">
        <v>60</v>
      </c>
      <c r="G552" s="228">
        <f>E552*F552</f>
        <v>2520</v>
      </c>
      <c r="H552" s="228">
        <f>E552*20/3</f>
        <v>280</v>
      </c>
      <c r="I552" s="228">
        <f>G552+H552</f>
        <v>2800</v>
      </c>
      <c r="J552" s="229">
        <f>I552*0.1</f>
        <v>280</v>
      </c>
      <c r="K552" s="227">
        <f>I552*0.9</f>
        <v>2520</v>
      </c>
      <c r="L552" s="228" t="s">
        <v>619</v>
      </c>
      <c r="N552" s="227"/>
    </row>
    <row ht="15.75" r="553" spans="1:15" s="228" customFormat="1">
      <c r="A553" s="246">
        <v>539</v>
      </c>
      <c r="B553" s="202">
        <v>6207828</v>
      </c>
      <c r="C553" s="228" t="s">
        <v>562</v>
      </c>
      <c r="D553" s="228" t="s">
        <v>620</v>
      </c>
      <c r="E553" s="228">
        <v>39</v>
      </c>
      <c r="F553" s="228">
        <v>60</v>
      </c>
      <c r="G553" s="228">
        <f>E553*F553</f>
        <v>2340</v>
      </c>
      <c r="H553" s="228">
        <f>E553*20/3</f>
        <v>260</v>
      </c>
      <c r="I553" s="228">
        <f>G553+H553</f>
        <v>2600</v>
      </c>
      <c r="J553" s="229">
        <f>I553*0.1</f>
        <v>260</v>
      </c>
      <c r="K553" s="227">
        <f>I553*0.9</f>
        <v>2340</v>
      </c>
      <c r="L553" s="228" t="s">
        <v>619</v>
      </c>
      <c r="N553" s="227"/>
      <c r="O553" s="245"/>
    </row>
    <row ht="15.75" r="554" spans="1:15" s="228" customFormat="1">
      <c r="A554" s="246">
        <v>540</v>
      </c>
      <c r="B554" s="202">
        <v>6181198</v>
      </c>
      <c r="C554" s="228" t="s">
        <v>516</v>
      </c>
      <c r="D554" s="228" t="s">
        <v>620</v>
      </c>
      <c r="E554" s="228">
        <v>30</v>
      </c>
      <c r="F554" s="228">
        <v>60</v>
      </c>
      <c r="G554" s="228">
        <f>E554*F554</f>
        <v>1800</v>
      </c>
      <c r="H554" s="228">
        <f>E554*20/3</f>
        <v>200</v>
      </c>
      <c r="I554" s="228">
        <f>G554+H554</f>
        <v>2000</v>
      </c>
      <c r="J554" s="229">
        <f>I554*0.1</f>
        <v>200</v>
      </c>
      <c r="K554" s="227">
        <f>I554*0.9</f>
        <v>1800</v>
      </c>
      <c r="L554" s="228" t="s">
        <v>619</v>
      </c>
      <c r="N554" s="227"/>
    </row>
    <row ht="15.75" r="555" spans="1:15" s="228" customFormat="1">
      <c r="A555" s="246">
        <v>541</v>
      </c>
      <c r="B555" s="202">
        <v>6189865</v>
      </c>
      <c r="C555" s="228" t="s">
        <v>501</v>
      </c>
      <c r="D555" s="228" t="s">
        <v>620</v>
      </c>
      <c r="E555" s="228">
        <v>51</v>
      </c>
      <c r="F555" s="228">
        <v>60</v>
      </c>
      <c r="G555" s="228">
        <f>E555*F555</f>
        <v>3060</v>
      </c>
      <c r="H555" s="228">
        <f>E555*20/3</f>
        <v>340</v>
      </c>
      <c r="I555" s="228">
        <f>G555+H555</f>
        <v>3400</v>
      </c>
      <c r="J555" s="229">
        <f>I555*0.1</f>
        <v>340</v>
      </c>
      <c r="K555" s="227">
        <f>I555*0.9</f>
        <v>3060</v>
      </c>
      <c r="L555" s="228" t="s">
        <v>619</v>
      </c>
      <c r="N555" s="227"/>
    </row>
    <row ht="15.75" r="556" spans="1:15" s="228" customFormat="1">
      <c r="A556" s="246">
        <v>542</v>
      </c>
      <c r="B556" s="202">
        <v>6185151</v>
      </c>
      <c r="C556" s="228" t="s">
        <v>504</v>
      </c>
      <c r="D556" s="228" t="s">
        <v>620</v>
      </c>
      <c r="E556" s="228">
        <v>48</v>
      </c>
      <c r="F556" s="228">
        <v>60</v>
      </c>
      <c r="G556" s="228">
        <f>E556*F556</f>
        <v>2880</v>
      </c>
      <c r="H556" s="228">
        <f>E556*20/3</f>
        <v>320</v>
      </c>
      <c r="I556" s="228">
        <f>G556+H556</f>
        <v>3200</v>
      </c>
      <c r="J556" s="229">
        <f>I556*0.1</f>
        <v>320</v>
      </c>
      <c r="K556" s="227">
        <f>I556*0.9</f>
        <v>2880</v>
      </c>
      <c r="L556" s="228" t="s">
        <v>619</v>
      </c>
      <c r="N556" s="227"/>
    </row>
    <row ht="15.75" r="557" spans="1:15" s="228" customFormat="1">
      <c r="A557" s="246">
        <v>543</v>
      </c>
      <c r="B557" s="202">
        <v>6190014</v>
      </c>
      <c r="C557" s="228" t="s">
        <v>545</v>
      </c>
      <c r="D557" s="228" t="s">
        <v>620</v>
      </c>
      <c r="E557" s="228">
        <v>18</v>
      </c>
      <c r="F557" s="228">
        <v>60</v>
      </c>
      <c r="G557" s="228">
        <f>E557*F557</f>
        <v>1080</v>
      </c>
      <c r="H557" s="228">
        <f>E557*20/3</f>
        <v>120</v>
      </c>
      <c r="I557" s="228">
        <f>G557+H557</f>
        <v>1200</v>
      </c>
      <c r="J557" s="229">
        <f>I557*0.1</f>
        <v>120</v>
      </c>
      <c r="K557" s="227">
        <f>I557*0.9</f>
        <v>1080</v>
      </c>
      <c r="L557" s="228" t="s">
        <v>619</v>
      </c>
      <c r="N557" s="227"/>
    </row>
    <row ht="15.75" r="558" spans="1:15" s="228" customFormat="1">
      <c r="A558" s="246">
        <v>544</v>
      </c>
      <c r="B558" s="202">
        <v>6179363</v>
      </c>
      <c r="C558" s="228" t="s">
        <v>542</v>
      </c>
      <c r="D558" s="228" t="s">
        <v>620</v>
      </c>
      <c r="E558" s="228">
        <v>21</v>
      </c>
      <c r="F558" s="228">
        <v>60</v>
      </c>
      <c r="G558" s="228">
        <f>E558*F558</f>
        <v>1260</v>
      </c>
      <c r="H558" s="228">
        <f>E558*20/3</f>
        <v>140</v>
      </c>
      <c r="I558" s="228">
        <f>G558+H558</f>
        <v>1400</v>
      </c>
      <c r="J558" s="229">
        <f>I558*0.1</f>
        <v>140</v>
      </c>
      <c r="K558" s="227">
        <f>I558*0.9</f>
        <v>1260</v>
      </c>
      <c r="L558" s="228" t="s">
        <v>619</v>
      </c>
      <c r="N558" s="227"/>
    </row>
    <row ht="15.75" r="559" spans="1:15" s="228" customFormat="1">
      <c r="A559" s="246">
        <v>545</v>
      </c>
      <c r="B559" s="202">
        <v>6208458</v>
      </c>
      <c r="C559" s="228" t="s">
        <v>1338</v>
      </c>
      <c r="D559" s="228" t="s">
        <v>620</v>
      </c>
      <c r="E559" s="228">
        <v>53</v>
      </c>
      <c r="F559" s="228">
        <v>60</v>
      </c>
      <c r="G559" s="228">
        <f>E559*F559</f>
        <v>3180</v>
      </c>
      <c r="H559" s="228">
        <v>360</v>
      </c>
      <c r="I559" s="228">
        <f>G559+H559</f>
        <v>3540</v>
      </c>
      <c r="J559" s="229">
        <f>I559*0.1</f>
        <v>354</v>
      </c>
      <c r="K559" s="227">
        <f>I559*0.9</f>
        <v>3186</v>
      </c>
      <c r="L559" s="228" t="s">
        <v>619</v>
      </c>
      <c r="N559" s="227"/>
    </row>
    <row ht="15.75" r="560" spans="1:15" s="228" customFormat="1">
      <c r="A560" s="246">
        <v>546</v>
      </c>
      <c r="B560" s="202">
        <v>6185266</v>
      </c>
      <c r="C560" s="228" t="s">
        <v>483</v>
      </c>
      <c r="D560" s="228" t="s">
        <v>620</v>
      </c>
      <c r="E560" s="228">
        <v>42</v>
      </c>
      <c r="F560" s="228">
        <v>60</v>
      </c>
      <c r="G560" s="228">
        <f>E560*F560</f>
        <v>2520</v>
      </c>
      <c r="H560" s="228">
        <f>E560*20/3</f>
        <v>280</v>
      </c>
      <c r="I560" s="228">
        <f>G560+H560</f>
        <v>2800</v>
      </c>
      <c r="J560" s="229">
        <f>I560*0.1</f>
        <v>280</v>
      </c>
      <c r="K560" s="227">
        <f>I560*0.9</f>
        <v>2520</v>
      </c>
      <c r="L560" s="228" t="s">
        <v>619</v>
      </c>
      <c r="N560" s="227"/>
    </row>
    <row ht="15.75" r="561" spans="1:15" s="228" customFormat="1">
      <c r="A561" s="246">
        <v>547</v>
      </c>
      <c r="B561" s="202">
        <v>6198121</v>
      </c>
      <c r="C561" s="228" t="s">
        <v>482</v>
      </c>
      <c r="D561" s="228" t="s">
        <v>620</v>
      </c>
      <c r="E561" s="228">
        <v>42</v>
      </c>
      <c r="F561" s="228">
        <v>60</v>
      </c>
      <c r="G561" s="228">
        <f>E561*F561</f>
        <v>2520</v>
      </c>
      <c r="H561" s="228">
        <f>E561*20/3</f>
        <v>280</v>
      </c>
      <c r="I561" s="228">
        <f>G561+H561</f>
        <v>2800</v>
      </c>
      <c r="J561" s="229">
        <f>I561*0.1</f>
        <v>280</v>
      </c>
      <c r="K561" s="227">
        <f>I561*0.9</f>
        <v>2520</v>
      </c>
      <c r="L561" s="228" t="s">
        <v>619</v>
      </c>
      <c r="N561" s="227"/>
      <c r="O561" s="245"/>
    </row>
    <row ht="15.75" r="562" spans="1:15" s="228" customFormat="1">
      <c r="A562" s="246">
        <v>549</v>
      </c>
      <c r="B562" s="202">
        <v>6205370</v>
      </c>
      <c r="C562" s="228" t="s">
        <v>1135</v>
      </c>
      <c r="D562" s="228" t="s">
        <v>620</v>
      </c>
      <c r="E562" s="228">
        <v>42</v>
      </c>
      <c r="F562" s="228">
        <v>60</v>
      </c>
      <c r="G562" s="228">
        <f>E562*F562</f>
        <v>2520</v>
      </c>
      <c r="H562" s="228">
        <f>E562*20/3</f>
        <v>280</v>
      </c>
      <c r="I562" s="228">
        <f>G562+H562</f>
        <v>2800</v>
      </c>
      <c r="J562" s="229">
        <f>I562*0.1</f>
        <v>280</v>
      </c>
      <c r="K562" s="227">
        <f>I562*0.9</f>
        <v>2520</v>
      </c>
      <c r="L562" s="228" t="s">
        <v>619</v>
      </c>
      <c r="N562" s="227"/>
      <c r="O562" s="245"/>
    </row>
    <row ht="15.75" r="563" spans="1:15" s="228" customFormat="1">
      <c r="A563" s="246">
        <v>550</v>
      </c>
      <c r="B563" s="202">
        <v>6204000</v>
      </c>
      <c r="C563" s="228" t="s">
        <v>547</v>
      </c>
      <c r="D563" s="228" t="s">
        <v>620</v>
      </c>
      <c r="E563" s="228">
        <v>42</v>
      </c>
      <c r="F563" s="227">
        <v>60</v>
      </c>
      <c r="G563" s="228">
        <f>E563*F563</f>
        <v>2520</v>
      </c>
      <c r="H563" s="228">
        <v>280</v>
      </c>
      <c r="I563" s="227">
        <f>G563+H563</f>
        <v>2800</v>
      </c>
      <c r="J563" s="229">
        <f>I563*0.1</f>
        <v>280</v>
      </c>
      <c r="K563" s="227">
        <f>I563*0.9</f>
        <v>2520</v>
      </c>
      <c r="L563" s="228" t="s">
        <v>619</v>
      </c>
      <c r="N563" s="227"/>
      <c r="O563" s="245"/>
    </row>
    <row ht="15.75" r="564" spans="1:15" s="228" customFormat="1">
      <c r="A564" s="246">
        <v>551</v>
      </c>
      <c r="B564" s="202">
        <v>6199521</v>
      </c>
      <c r="C564" s="228" t="s">
        <v>1136</v>
      </c>
      <c r="D564" s="228" t="s">
        <v>620</v>
      </c>
      <c r="E564" s="228">
        <v>30</v>
      </c>
      <c r="F564" s="228">
        <v>60</v>
      </c>
      <c r="G564" s="228">
        <f>E564*F564</f>
        <v>1800</v>
      </c>
      <c r="H564" s="228">
        <f>E564*20/3</f>
        <v>200</v>
      </c>
      <c r="I564" s="228">
        <f>G564+H564</f>
        <v>2000</v>
      </c>
      <c r="J564" s="229">
        <f>I564*0.1</f>
        <v>200</v>
      </c>
      <c r="K564" s="227">
        <f>I564*0.9</f>
        <v>1800</v>
      </c>
      <c r="L564" s="228" t="s">
        <v>619</v>
      </c>
      <c r="N564" s="227"/>
      <c r="O564" s="245"/>
    </row>
    <row ht="15.75" r="565" spans="1:15" s="228" customFormat="1">
      <c r="A565" s="246">
        <v>552</v>
      </c>
      <c r="B565" s="202">
        <v>6199611</v>
      </c>
      <c r="C565" s="228" t="s">
        <v>1137</v>
      </c>
      <c r="D565" s="228" t="s">
        <v>620</v>
      </c>
      <c r="E565" s="228">
        <v>69</v>
      </c>
      <c r="F565" s="228">
        <v>60</v>
      </c>
      <c r="G565" s="228">
        <f>E565*F565</f>
        <v>4140</v>
      </c>
      <c r="H565" s="228">
        <f>E565*20/3</f>
        <v>460</v>
      </c>
      <c r="I565" s="228">
        <f>G565+H565</f>
        <v>4600</v>
      </c>
      <c r="J565" s="229">
        <f>I565*0.1</f>
        <v>460</v>
      </c>
      <c r="K565" s="227">
        <f>I565*0.9</f>
        <v>4140</v>
      </c>
      <c r="L565" s="228" t="s">
        <v>619</v>
      </c>
      <c r="N565" s="227"/>
      <c r="O565" s="245"/>
    </row>
    <row ht="15.75" r="566" spans="1:15" s="228" customFormat="1">
      <c r="A566" s="246">
        <v>553</v>
      </c>
      <c r="B566" s="202">
        <v>6202110</v>
      </c>
      <c r="C566" s="228" t="s">
        <v>1396</v>
      </c>
      <c r="D566" s="228" t="s">
        <v>620</v>
      </c>
      <c r="E566" s="228">
        <v>36</v>
      </c>
      <c r="F566" s="228">
        <v>60</v>
      </c>
      <c r="G566" s="228">
        <f>E566*F566</f>
        <v>2160</v>
      </c>
      <c r="H566" s="228">
        <f>E566*20/3</f>
        <v>240</v>
      </c>
      <c r="I566" s="228">
        <f>G566+H566</f>
        <v>2400</v>
      </c>
      <c r="J566" s="229">
        <f>I566*0.1</f>
        <v>240</v>
      </c>
      <c r="K566" s="227">
        <f>I566*0.9</f>
        <v>2160</v>
      </c>
      <c r="L566" s="228" t="s">
        <v>619</v>
      </c>
      <c r="N566" s="227"/>
      <c r="O566" s="245"/>
    </row>
    <row ht="15.75" r="567" spans="1:15" s="228" customFormat="1">
      <c r="A567" s="246">
        <v>554</v>
      </c>
      <c r="B567" s="202">
        <v>6169864</v>
      </c>
      <c r="C567" s="228" t="s">
        <v>541</v>
      </c>
      <c r="D567" s="228" t="s">
        <v>620</v>
      </c>
      <c r="E567" s="228">
        <v>36</v>
      </c>
      <c r="F567" s="228">
        <v>60</v>
      </c>
      <c r="G567" s="228">
        <f>E567*F567</f>
        <v>2160</v>
      </c>
      <c r="H567" s="228">
        <f>E567*20/3</f>
        <v>240</v>
      </c>
      <c r="I567" s="228">
        <f>G567+H567</f>
        <v>2400</v>
      </c>
      <c r="J567" s="229">
        <f>I567*0.1</f>
        <v>240</v>
      </c>
      <c r="K567" s="227">
        <f>I567*0.9</f>
        <v>2160</v>
      </c>
      <c r="L567" s="228" t="s">
        <v>619</v>
      </c>
      <c r="N567" s="227"/>
    </row>
    <row ht="15.75" r="568" spans="1:15" s="228" customFormat="1">
      <c r="A568" s="246">
        <v>555</v>
      </c>
      <c r="B568" s="202">
        <v>6207846</v>
      </c>
      <c r="C568" s="228" t="s">
        <v>537</v>
      </c>
      <c r="D568" s="228" t="s">
        <v>620</v>
      </c>
      <c r="E568" s="228">
        <v>33</v>
      </c>
      <c r="F568" s="228">
        <v>60</v>
      </c>
      <c r="G568" s="228">
        <f>E568*F568</f>
        <v>1980</v>
      </c>
      <c r="H568" s="228">
        <f>E568*20/3</f>
        <v>220</v>
      </c>
      <c r="I568" s="228">
        <f>G568+H568</f>
        <v>2200</v>
      </c>
      <c r="J568" s="229">
        <f>I568*0.1</f>
        <v>220</v>
      </c>
      <c r="K568" s="227">
        <f>I568*0.9</f>
        <v>1980</v>
      </c>
      <c r="L568" s="228" t="s">
        <v>619</v>
      </c>
      <c r="N568" s="227"/>
      <c r="O568" s="245"/>
    </row>
    <row ht="15.75" r="569" spans="1:15" s="228" customFormat="1">
      <c r="A569" s="246">
        <v>557</v>
      </c>
      <c r="B569" s="202">
        <v>6208269</v>
      </c>
      <c r="C569" s="228" t="s">
        <v>1138</v>
      </c>
      <c r="D569" s="228" t="s">
        <v>620</v>
      </c>
      <c r="E569" s="228">
        <v>45</v>
      </c>
      <c r="F569" s="228">
        <v>60</v>
      </c>
      <c r="G569" s="228">
        <f>E569*F569</f>
        <v>2700</v>
      </c>
      <c r="H569" s="228">
        <f>E569*20/3</f>
        <v>300</v>
      </c>
      <c r="I569" s="228">
        <f>G569+H569</f>
        <v>3000</v>
      </c>
      <c r="J569" s="229">
        <f>I569*0.1</f>
        <v>300</v>
      </c>
      <c r="K569" s="227">
        <f>I569*0.9</f>
        <v>2700</v>
      </c>
      <c r="L569" s="228" t="s">
        <v>619</v>
      </c>
      <c r="N569" s="227"/>
      <c r="O569" s="245"/>
    </row>
    <row ht="15.75" r="570" spans="1:15" s="228" customFormat="1">
      <c r="A570" s="246">
        <v>558</v>
      </c>
      <c r="B570" s="202">
        <v>6209890</v>
      </c>
      <c r="C570" s="228" t="s">
        <v>533</v>
      </c>
      <c r="D570" s="228" t="s">
        <v>620</v>
      </c>
      <c r="E570" s="228">
        <v>105</v>
      </c>
      <c r="F570" s="228">
        <v>60</v>
      </c>
      <c r="G570" s="228">
        <f>E570*F570</f>
        <v>6300</v>
      </c>
      <c r="H570" s="228">
        <f>E570*20/3</f>
        <v>700</v>
      </c>
      <c r="I570" s="228">
        <f>G570+H570</f>
        <v>7000</v>
      </c>
      <c r="J570" s="229">
        <f>I570*0.1</f>
        <v>700</v>
      </c>
      <c r="K570" s="227">
        <f>I570*0.9</f>
        <v>6300</v>
      </c>
      <c r="L570" s="228" t="s">
        <v>619</v>
      </c>
      <c r="N570" s="227"/>
      <c r="O570" s="245"/>
    </row>
    <row ht="15.75" r="571" spans="1:15" s="228" customFormat="1">
      <c r="A571" s="246">
        <v>559</v>
      </c>
      <c r="B571" s="202">
        <v>6202001</v>
      </c>
      <c r="C571" s="228" t="s">
        <v>1397</v>
      </c>
      <c r="D571" s="228" t="s">
        <v>620</v>
      </c>
      <c r="E571" s="228">
        <v>81</v>
      </c>
      <c r="F571" s="228">
        <v>60</v>
      </c>
      <c r="G571" s="228">
        <f>E571*F571</f>
        <v>4860</v>
      </c>
      <c r="H571" s="228">
        <f>E571*20/3</f>
        <v>540</v>
      </c>
      <c r="I571" s="228">
        <f>G571+H571</f>
        <v>5400</v>
      </c>
      <c r="J571" s="229">
        <f>I571*0.1</f>
        <v>540</v>
      </c>
      <c r="K571" s="227">
        <f>I571*0.9</f>
        <v>4860</v>
      </c>
      <c r="L571" s="228" t="s">
        <v>619</v>
      </c>
      <c r="N571" s="227"/>
      <c r="O571" s="245"/>
    </row>
    <row ht="15.75" r="572" spans="1:15" s="228" customFormat="1">
      <c r="A572" s="246">
        <v>560</v>
      </c>
      <c r="B572" s="202">
        <v>6204073</v>
      </c>
      <c r="C572" s="228" t="s">
        <v>531</v>
      </c>
      <c r="D572" s="228" t="s">
        <v>620</v>
      </c>
      <c r="E572" s="228">
        <v>114</v>
      </c>
      <c r="F572" s="228">
        <v>60</v>
      </c>
      <c r="G572" s="228">
        <f>E572*F572</f>
        <v>6840</v>
      </c>
      <c r="H572" s="228">
        <f>E572*20/3</f>
        <v>760</v>
      </c>
      <c r="I572" s="228">
        <f>G572+H572</f>
        <v>7600</v>
      </c>
      <c r="J572" s="229">
        <f>I572*0.1</f>
        <v>760</v>
      </c>
      <c r="K572" s="227">
        <f>I572*0.9</f>
        <v>6840</v>
      </c>
      <c r="L572" s="228" t="s">
        <v>619</v>
      </c>
      <c r="N572" s="227"/>
      <c r="O572" s="245"/>
    </row>
    <row ht="15.75" r="573" spans="1:15" s="228" customFormat="1">
      <c r="A573" s="246">
        <v>561</v>
      </c>
      <c r="B573" s="202">
        <v>6204136</v>
      </c>
      <c r="C573" s="228" t="s">
        <v>1139</v>
      </c>
      <c r="D573" s="228" t="s">
        <v>620</v>
      </c>
      <c r="E573" s="228">
        <v>100</v>
      </c>
      <c r="F573" s="228">
        <v>60</v>
      </c>
      <c r="G573" s="228">
        <f>E573*F573</f>
        <v>6000</v>
      </c>
      <c r="H573" s="228">
        <v>680</v>
      </c>
      <c r="I573" s="228">
        <f>G573+H573</f>
        <v>6680</v>
      </c>
      <c r="J573" s="229">
        <f>I573*0.1</f>
        <v>668</v>
      </c>
      <c r="K573" s="227">
        <f>I573*0.9</f>
        <v>6012</v>
      </c>
      <c r="L573" s="228" t="s">
        <v>619</v>
      </c>
      <c r="N573" s="227"/>
      <c r="O573" s="245"/>
    </row>
    <row ht="15.75" r="574" spans="1:15" s="228" customFormat="1">
      <c r="A574" s="246">
        <v>562</v>
      </c>
      <c r="B574" s="202">
        <v>6166733</v>
      </c>
      <c r="C574" s="228" t="s">
        <v>528</v>
      </c>
      <c r="D574" s="228" t="s">
        <v>620</v>
      </c>
      <c r="E574" s="228">
        <v>42</v>
      </c>
      <c r="F574" s="228">
        <v>60</v>
      </c>
      <c r="G574" s="228">
        <f>E574*F574</f>
        <v>2520</v>
      </c>
      <c r="H574" s="228">
        <f>E574*20/3</f>
        <v>280</v>
      </c>
      <c r="I574" s="228">
        <f>G574+H574</f>
        <v>2800</v>
      </c>
      <c r="J574" s="229">
        <f>I574*0.1</f>
        <v>280</v>
      </c>
      <c r="K574" s="227">
        <f>I574*0.9</f>
        <v>2520</v>
      </c>
      <c r="L574" s="228" t="s">
        <v>619</v>
      </c>
      <c r="N574" s="227"/>
      <c r="O574" s="245"/>
    </row>
    <row ht="15.75" r="575" spans="1:15" s="228" customFormat="1">
      <c r="A575" s="246">
        <v>563</v>
      </c>
      <c r="B575" s="202">
        <v>6166407</v>
      </c>
      <c r="C575" s="228" t="s">
        <v>1148</v>
      </c>
      <c r="D575" s="228" t="s">
        <v>620</v>
      </c>
      <c r="E575" s="228">
        <v>18</v>
      </c>
      <c r="F575" s="228">
        <v>60</v>
      </c>
      <c r="G575" s="228">
        <f>E575*F575</f>
        <v>1080</v>
      </c>
      <c r="H575" s="228">
        <f>E575*20/3</f>
        <v>120</v>
      </c>
      <c r="I575" s="228">
        <f>G575+H575</f>
        <v>1200</v>
      </c>
      <c r="J575" s="229">
        <f>I575*0.1</f>
        <v>120</v>
      </c>
      <c r="K575" s="227">
        <f>I575*0.9</f>
        <v>1080</v>
      </c>
      <c r="L575" s="228" t="s">
        <v>619</v>
      </c>
      <c r="N575" s="227"/>
      <c r="O575" s="245"/>
    </row>
    <row ht="15.75" r="576" spans="1:15" s="228" customFormat="1">
      <c r="A576" s="246">
        <v>564</v>
      </c>
      <c r="B576" s="202">
        <v>6158790</v>
      </c>
      <c r="C576" s="228" t="s">
        <v>1147</v>
      </c>
      <c r="D576" s="228" t="s">
        <v>620</v>
      </c>
      <c r="E576" s="228">
        <v>45</v>
      </c>
      <c r="F576" s="228">
        <v>60</v>
      </c>
      <c r="G576" s="228">
        <f>E576*F576</f>
        <v>2700</v>
      </c>
      <c r="H576" s="228">
        <f>E576*20/3</f>
        <v>300</v>
      </c>
      <c r="I576" s="228">
        <f>G576+H576</f>
        <v>3000</v>
      </c>
      <c r="J576" s="229">
        <f>I576*0.1</f>
        <v>300</v>
      </c>
      <c r="K576" s="227">
        <f>I576*0.9</f>
        <v>2700</v>
      </c>
      <c r="L576" s="228" t="s">
        <v>619</v>
      </c>
      <c r="N576" s="227"/>
      <c r="O576" s="245"/>
    </row>
    <row ht="15.75" r="577" spans="1:15" s="228" customFormat="1">
      <c r="A577" s="246">
        <v>565</v>
      </c>
      <c r="B577" s="202">
        <v>6207936</v>
      </c>
      <c r="C577" s="228" t="s">
        <v>1398</v>
      </c>
      <c r="D577" s="228" t="s">
        <v>620</v>
      </c>
      <c r="E577" s="228">
        <v>33</v>
      </c>
      <c r="F577" s="228">
        <v>60</v>
      </c>
      <c r="G577" s="228">
        <f>E577*F577</f>
        <v>1980</v>
      </c>
      <c r="H577" s="228">
        <f>E577*20/3</f>
        <v>220</v>
      </c>
      <c r="I577" s="228">
        <f>G577+H577</f>
        <v>2200</v>
      </c>
      <c r="J577" s="229">
        <f>I577*0.1</f>
        <v>220</v>
      </c>
      <c r="K577" s="227">
        <f>I577*0.9</f>
        <v>1980</v>
      </c>
      <c r="L577" s="228" t="s">
        <v>619</v>
      </c>
      <c r="N577" s="227"/>
      <c r="O577" s="245"/>
    </row>
    <row ht="15.75" r="578" spans="1:15" s="228" customFormat="1">
      <c r="A578" s="246">
        <v>566</v>
      </c>
      <c r="B578" s="202">
        <v>6188320</v>
      </c>
      <c r="C578" s="228" t="s">
        <v>469</v>
      </c>
      <c r="D578" s="228" t="s">
        <v>620</v>
      </c>
      <c r="E578" s="228">
        <v>6</v>
      </c>
      <c r="F578" s="228">
        <v>60</v>
      </c>
      <c r="G578" s="228">
        <f>E578*F578</f>
        <v>360</v>
      </c>
      <c r="H578" s="228">
        <f>E578*20/3</f>
        <v>40</v>
      </c>
      <c r="I578" s="228">
        <f>G578+H578</f>
        <v>400</v>
      </c>
      <c r="J578" s="229">
        <f>I578*0.1</f>
        <v>40</v>
      </c>
      <c r="K578" s="227">
        <f>I578*0.9</f>
        <v>360</v>
      </c>
      <c r="L578" s="228" t="s">
        <v>619</v>
      </c>
      <c r="N578" s="227"/>
      <c r="O578" s="245"/>
    </row>
    <row ht="15.75" r="579" spans="1:15" s="228" customFormat="1">
      <c r="A579" s="246">
        <v>567</v>
      </c>
      <c r="B579" s="202">
        <v>6173081</v>
      </c>
      <c r="C579" s="228" t="s">
        <v>511</v>
      </c>
      <c r="D579" s="228" t="s">
        <v>620</v>
      </c>
      <c r="E579" s="228">
        <v>9</v>
      </c>
      <c r="F579" s="228">
        <v>60</v>
      </c>
      <c r="G579" s="228">
        <f>E579*F579</f>
        <v>540</v>
      </c>
      <c r="H579" s="228">
        <f>E579*20/3</f>
        <v>60</v>
      </c>
      <c r="I579" s="228">
        <f>G579+H579</f>
        <v>600</v>
      </c>
      <c r="J579" s="229">
        <f>I579*0.1</f>
        <v>60</v>
      </c>
      <c r="K579" s="227">
        <f>I579*0.9</f>
        <v>540</v>
      </c>
      <c r="L579" s="228" t="s">
        <v>619</v>
      </c>
      <c r="N579" s="227"/>
      <c r="O579" s="245"/>
    </row>
    <row ht="15.75" r="580" spans="1:15" s="228" customFormat="1">
      <c r="A580" s="246">
        <v>568</v>
      </c>
      <c r="B580" s="202">
        <v>6151957</v>
      </c>
      <c r="C580" s="228" t="s">
        <v>503</v>
      </c>
      <c r="D580" s="228" t="s">
        <v>620</v>
      </c>
      <c r="E580" s="228">
        <v>39</v>
      </c>
      <c r="F580" s="228">
        <v>60</v>
      </c>
      <c r="G580" s="228">
        <f>E580*F580</f>
        <v>2340</v>
      </c>
      <c r="H580" s="228">
        <f>E580*20/3</f>
        <v>260</v>
      </c>
      <c r="I580" s="228">
        <f>G580+H580</f>
        <v>2600</v>
      </c>
      <c r="J580" s="229">
        <f>I580*0.1</f>
        <v>260</v>
      </c>
      <c r="K580" s="227">
        <f>I580*0.9</f>
        <v>2340</v>
      </c>
      <c r="L580" s="228" t="s">
        <v>619</v>
      </c>
      <c r="N580" s="227"/>
      <c r="O580" s="245"/>
    </row>
    <row ht="15.75" r="581" spans="1:15" s="228" customFormat="1">
      <c r="A581" s="246">
        <v>569</v>
      </c>
      <c r="B581" s="202">
        <v>6206332</v>
      </c>
      <c r="C581" s="228" t="s">
        <v>1140</v>
      </c>
      <c r="D581" s="228" t="s">
        <v>620</v>
      </c>
      <c r="E581" s="228">
        <v>51</v>
      </c>
      <c r="F581" s="228">
        <v>60</v>
      </c>
      <c r="G581" s="228">
        <f>E581*F581</f>
        <v>3060</v>
      </c>
      <c r="H581" s="228">
        <f>E581*20/3</f>
        <v>340</v>
      </c>
      <c r="I581" s="228">
        <f>G581+H581</f>
        <v>3400</v>
      </c>
      <c r="J581" s="229">
        <f>I581*0.1</f>
        <v>340</v>
      </c>
      <c r="K581" s="227">
        <f>I581*0.9</f>
        <v>3060</v>
      </c>
      <c r="L581" s="228" t="s">
        <v>619</v>
      </c>
      <c r="N581" s="227"/>
      <c r="O581" s="245"/>
    </row>
    <row ht="15.75" r="582" spans="1:15" s="228" customFormat="1">
      <c r="A582" s="246">
        <v>570</v>
      </c>
      <c r="B582" s="202">
        <v>6188338</v>
      </c>
      <c r="C582" s="228" t="s">
        <v>459</v>
      </c>
      <c r="D582" s="228" t="s">
        <v>620</v>
      </c>
      <c r="E582" s="228">
        <v>27</v>
      </c>
      <c r="F582" s="228">
        <v>60</v>
      </c>
      <c r="G582" s="228">
        <f>E582*F582</f>
        <v>1620</v>
      </c>
      <c r="H582" s="228">
        <f>E582*20/3</f>
        <v>180</v>
      </c>
      <c r="I582" s="228">
        <f>G582+H582</f>
        <v>1800</v>
      </c>
      <c r="J582" s="229">
        <f>I582*0.1</f>
        <v>180</v>
      </c>
      <c r="K582" s="227">
        <f>I582*0.9</f>
        <v>1620</v>
      </c>
      <c r="L582" s="228" t="s">
        <v>619</v>
      </c>
      <c r="N582" s="227"/>
      <c r="O582" s="245"/>
    </row>
    <row ht="15.75" r="583" spans="1:15" s="228" customFormat="1">
      <c r="A583" s="246">
        <v>571</v>
      </c>
      <c r="B583" s="202">
        <v>6208312</v>
      </c>
      <c r="C583" s="228" t="s">
        <v>1399</v>
      </c>
      <c r="D583" s="228" t="s">
        <v>620</v>
      </c>
      <c r="E583" s="228">
        <v>42</v>
      </c>
      <c r="F583" s="228">
        <v>60</v>
      </c>
      <c r="G583" s="228">
        <f>E583*F583</f>
        <v>2520</v>
      </c>
      <c r="H583" s="228">
        <f>E583*20/3</f>
        <v>280</v>
      </c>
      <c r="I583" s="228">
        <f>G583+H583</f>
        <v>2800</v>
      </c>
      <c r="J583" s="229">
        <f>I583*0.1</f>
        <v>280</v>
      </c>
      <c r="K583" s="227">
        <f>I583*0.9</f>
        <v>2520</v>
      </c>
      <c r="L583" s="228" t="s">
        <v>619</v>
      </c>
      <c r="N583" s="227"/>
      <c r="O583" s="245"/>
    </row>
    <row ht="15.75" r="584" spans="1:15" s="228" customFormat="1">
      <c r="A584" s="246">
        <v>572</v>
      </c>
      <c r="B584" s="202">
        <v>6208557</v>
      </c>
      <c r="C584" s="228" t="s">
        <v>464</v>
      </c>
      <c r="D584" s="228" t="s">
        <v>620</v>
      </c>
      <c r="E584" s="228">
        <v>18</v>
      </c>
      <c r="F584" s="228">
        <v>60</v>
      </c>
      <c r="G584" s="228">
        <f>E584*F584</f>
        <v>1080</v>
      </c>
      <c r="H584" s="228">
        <f>E584*20/3</f>
        <v>120</v>
      </c>
      <c r="I584" s="228">
        <f>G584+H584</f>
        <v>1200</v>
      </c>
      <c r="J584" s="229">
        <f>I584*0.1</f>
        <v>120</v>
      </c>
      <c r="K584" s="227">
        <f>I584*0.9</f>
        <v>1080</v>
      </c>
      <c r="L584" s="228" t="s">
        <v>619</v>
      </c>
      <c r="N584" s="227"/>
      <c r="O584" s="245"/>
    </row>
    <row ht="15.75" r="585" spans="1:15" s="228" customFormat="1">
      <c r="A585" s="246">
        <v>573</v>
      </c>
      <c r="B585" s="202">
        <v>6208539</v>
      </c>
      <c r="C585" s="228" t="s">
        <v>687</v>
      </c>
      <c r="D585" s="228" t="s">
        <v>620</v>
      </c>
      <c r="E585" s="228">
        <v>36</v>
      </c>
      <c r="F585" s="228">
        <v>60</v>
      </c>
      <c r="G585" s="228">
        <f>E585*F585</f>
        <v>2160</v>
      </c>
      <c r="H585" s="228">
        <f>E585*20/3</f>
        <v>240</v>
      </c>
      <c r="I585" s="228">
        <f>G585+H585</f>
        <v>2400</v>
      </c>
      <c r="J585" s="229">
        <f>I585*0.1</f>
        <v>240</v>
      </c>
      <c r="K585" s="227">
        <f>I585*0.9</f>
        <v>2160</v>
      </c>
      <c r="L585" s="228" t="s">
        <v>619</v>
      </c>
      <c r="N585" s="227"/>
      <c r="O585" s="245"/>
    </row>
    <row ht="15.75" r="586" spans="1:15" s="228" customFormat="1">
      <c r="A586" s="246">
        <v>574</v>
      </c>
      <c r="B586" s="202">
        <v>6207819</v>
      </c>
      <c r="C586" s="228" t="s">
        <v>1141</v>
      </c>
      <c r="D586" s="228" t="s">
        <v>620</v>
      </c>
      <c r="E586" s="228">
        <v>39</v>
      </c>
      <c r="F586" s="228">
        <v>60</v>
      </c>
      <c r="G586" s="228">
        <f>E586*F586</f>
        <v>2340</v>
      </c>
      <c r="H586" s="228">
        <f>E586*20/3</f>
        <v>260</v>
      </c>
      <c r="I586" s="228">
        <f>G586+H586</f>
        <v>2600</v>
      </c>
      <c r="J586" s="229">
        <f>I586*0.1</f>
        <v>260</v>
      </c>
      <c r="K586" s="227">
        <f>I586*0.9</f>
        <v>2340</v>
      </c>
      <c r="L586" s="228" t="s">
        <v>619</v>
      </c>
      <c r="N586" s="227"/>
      <c r="O586" s="245"/>
    </row>
    <row ht="15.75" r="587" spans="1:15" s="228" customFormat="1">
      <c r="A587" s="246">
        <v>575</v>
      </c>
      <c r="B587" s="202">
        <v>6146708</v>
      </c>
      <c r="C587" s="228" t="s">
        <v>548</v>
      </c>
      <c r="D587" s="228" t="s">
        <v>620</v>
      </c>
      <c r="E587" s="228">
        <v>18</v>
      </c>
      <c r="F587" s="228">
        <v>60</v>
      </c>
      <c r="G587" s="228">
        <f>E587*F587</f>
        <v>1080</v>
      </c>
      <c r="H587" s="228">
        <f>E587*20/3</f>
        <v>120</v>
      </c>
      <c r="I587" s="228">
        <f>G587+H587</f>
        <v>1200</v>
      </c>
      <c r="J587" s="229">
        <f>I587*0.1</f>
        <v>120</v>
      </c>
      <c r="K587" s="227">
        <f>I587*0.9</f>
        <v>1080</v>
      </c>
      <c r="L587" s="228" t="s">
        <v>619</v>
      </c>
      <c r="N587" s="227"/>
      <c r="O587" s="245"/>
    </row>
    <row ht="15.75" r="588" spans="1:15" s="228" customFormat="1">
      <c r="A588" s="246">
        <v>577</v>
      </c>
      <c r="B588" s="202">
        <v>6162061</v>
      </c>
      <c r="C588" s="228" t="s">
        <v>1146</v>
      </c>
      <c r="D588" s="228" t="s">
        <v>620</v>
      </c>
      <c r="E588" s="228">
        <v>30</v>
      </c>
      <c r="F588" s="228">
        <v>60</v>
      </c>
      <c r="G588" s="228">
        <f>E588*F588</f>
        <v>1800</v>
      </c>
      <c r="H588" s="228">
        <f>E588*20/3</f>
        <v>200</v>
      </c>
      <c r="I588" s="228">
        <f>G588+H588</f>
        <v>2000</v>
      </c>
      <c r="J588" s="229">
        <f>I588*0.1</f>
        <v>200</v>
      </c>
      <c r="K588" s="227">
        <f>I588*0.9</f>
        <v>1800</v>
      </c>
      <c r="L588" s="228" t="s">
        <v>619</v>
      </c>
      <c r="N588" s="227"/>
      <c r="O588" s="245"/>
    </row>
    <row ht="15.75" r="589" spans="1:15" s="228" customFormat="1">
      <c r="A589" s="246">
        <v>578</v>
      </c>
      <c r="B589" s="202">
        <v>6180566</v>
      </c>
      <c r="C589" s="228" t="s">
        <v>470</v>
      </c>
      <c r="D589" s="228" t="s">
        <v>620</v>
      </c>
      <c r="E589" s="228">
        <v>39</v>
      </c>
      <c r="F589" s="228">
        <v>60</v>
      </c>
      <c r="G589" s="228">
        <f>E589*F589</f>
        <v>2340</v>
      </c>
      <c r="H589" s="228">
        <f>E589*20/3</f>
        <v>260</v>
      </c>
      <c r="I589" s="228">
        <f>G589+H589</f>
        <v>2600</v>
      </c>
      <c r="J589" s="229">
        <f>I589*0.1</f>
        <v>260</v>
      </c>
      <c r="K589" s="227">
        <f>I589*0.9</f>
        <v>2340</v>
      </c>
      <c r="L589" s="228" t="s">
        <v>619</v>
      </c>
      <c r="N589" s="227"/>
      <c r="O589" s="245"/>
    </row>
    <row ht="15.75" r="590" spans="1:15" s="228" customFormat="1">
      <c r="A590" s="246">
        <v>579</v>
      </c>
      <c r="B590" s="202">
        <v>6179100</v>
      </c>
      <c r="C590" s="228" t="s">
        <v>502</v>
      </c>
      <c r="D590" s="228" t="s">
        <v>620</v>
      </c>
      <c r="E590" s="228">
        <v>36</v>
      </c>
      <c r="F590" s="228">
        <v>60</v>
      </c>
      <c r="G590" s="228">
        <f>E590*F590</f>
        <v>2160</v>
      </c>
      <c r="H590" s="228">
        <f>E590*20/3</f>
        <v>240</v>
      </c>
      <c r="I590" s="228">
        <f>G590+H590</f>
        <v>2400</v>
      </c>
      <c r="J590" s="229">
        <f>I590*0.1</f>
        <v>240</v>
      </c>
      <c r="K590" s="227">
        <f>I590*0.9</f>
        <v>2160</v>
      </c>
      <c r="L590" s="228" t="s">
        <v>619</v>
      </c>
      <c r="N590" s="227"/>
      <c r="O590" s="245"/>
    </row>
    <row ht="15.75" r="591" spans="1:15" s="228" customFormat="1">
      <c r="A591" s="246">
        <v>581</v>
      </c>
      <c r="B591" s="202">
        <v>6172741</v>
      </c>
      <c r="C591" s="228" t="s">
        <v>520</v>
      </c>
      <c r="D591" s="228" t="s">
        <v>620</v>
      </c>
      <c r="E591" s="228">
        <v>30</v>
      </c>
      <c r="F591" s="228">
        <v>60</v>
      </c>
      <c r="G591" s="228">
        <f>E591*F591</f>
        <v>1800</v>
      </c>
      <c r="H591" s="228">
        <f>E591*20/3</f>
        <v>200</v>
      </c>
      <c r="I591" s="228">
        <f>G591+H591</f>
        <v>2000</v>
      </c>
      <c r="J591" s="229">
        <f>I591*0.1</f>
        <v>200</v>
      </c>
      <c r="K591" s="227">
        <f>I591*0.9</f>
        <v>1800</v>
      </c>
      <c r="L591" s="228" t="s">
        <v>619</v>
      </c>
      <c r="N591" s="227"/>
      <c r="O591" s="245"/>
    </row>
    <row ht="15.75" r="592" spans="1:15" s="228" customFormat="1">
      <c r="A592" s="246">
        <v>583</v>
      </c>
      <c r="B592" s="228">
        <v>6167691</v>
      </c>
      <c r="C592" s="228" t="s">
        <v>523</v>
      </c>
      <c r="D592" s="228" t="s">
        <v>620</v>
      </c>
      <c r="E592" s="228">
        <v>27</v>
      </c>
      <c r="F592" s="228">
        <v>60</v>
      </c>
      <c r="G592" s="228">
        <f>E592*F592</f>
        <v>1620</v>
      </c>
      <c r="H592" s="228">
        <f>E592*20/3</f>
        <v>180</v>
      </c>
      <c r="I592" s="228">
        <f>G592+H592</f>
        <v>1800</v>
      </c>
      <c r="J592" s="229">
        <f>I592*0.1</f>
        <v>180</v>
      </c>
      <c r="K592" s="227">
        <f>I592*0.9</f>
        <v>1620</v>
      </c>
      <c r="L592" s="228" t="s">
        <v>619</v>
      </c>
      <c r="N592" s="227"/>
      <c r="O592" s="245"/>
    </row>
    <row ht="15.75" r="593" spans="1:19" s="228" customFormat="1">
      <c r="A593" s="246">
        <v>584</v>
      </c>
      <c r="B593" s="202">
        <v>6105564</v>
      </c>
      <c r="C593" s="228" t="s">
        <v>508</v>
      </c>
      <c r="D593" s="228" t="s">
        <v>620</v>
      </c>
      <c r="E593" s="228">
        <v>30</v>
      </c>
      <c r="F593" s="228">
        <v>60</v>
      </c>
      <c r="G593" s="228">
        <f>E593*F593</f>
        <v>1800</v>
      </c>
      <c r="H593" s="228">
        <f>E593*20/3</f>
        <v>200</v>
      </c>
      <c r="I593" s="228">
        <f>G593+H593</f>
        <v>2000</v>
      </c>
      <c r="J593" s="229">
        <f>I593*0.1</f>
        <v>200</v>
      </c>
      <c r="K593" s="227">
        <f>I593*0.9</f>
        <v>1800</v>
      </c>
      <c r="L593" s="228" t="s">
        <v>619</v>
      </c>
      <c r="N593" s="227"/>
      <c r="O593" s="245"/>
    </row>
    <row ht="15.75" r="594" spans="1:19" s="228" customFormat="1">
      <c r="A594" s="246">
        <v>586</v>
      </c>
      <c r="B594" s="202">
        <v>6169783</v>
      </c>
      <c r="C594" s="228" t="s">
        <v>1143</v>
      </c>
      <c r="D594" s="228" t="s">
        <v>620</v>
      </c>
      <c r="E594" s="228">
        <v>54</v>
      </c>
      <c r="F594" s="228">
        <v>60</v>
      </c>
      <c r="G594" s="228">
        <f>E594*F594</f>
        <v>3240</v>
      </c>
      <c r="H594" s="228">
        <f>E594*20/3</f>
        <v>360</v>
      </c>
      <c r="I594" s="228">
        <f>G594+H594</f>
        <v>3600</v>
      </c>
      <c r="J594" s="229">
        <f>I594*0.1</f>
        <v>360</v>
      </c>
      <c r="K594" s="227">
        <f>I594*0.9</f>
        <v>3240</v>
      </c>
      <c r="L594" s="228" t="s">
        <v>619</v>
      </c>
      <c r="N594" s="227"/>
      <c r="O594" s="245"/>
    </row>
    <row ht="15.75" r="595" spans="1:19" s="228" customFormat="1">
      <c r="A595" s="246">
        <v>589</v>
      </c>
      <c r="B595" s="202">
        <v>6171494</v>
      </c>
      <c r="C595" s="228" t="s">
        <v>527</v>
      </c>
      <c r="D595" s="228" t="s">
        <v>620</v>
      </c>
      <c r="E595" s="228">
        <v>27</v>
      </c>
      <c r="F595" s="228">
        <v>60</v>
      </c>
      <c r="G595" s="228">
        <f>E595*F595</f>
        <v>1620</v>
      </c>
      <c r="H595" s="228">
        <f>E595*20/3</f>
        <v>180</v>
      </c>
      <c r="I595" s="228">
        <f>G595+H595</f>
        <v>1800</v>
      </c>
      <c r="J595" s="229">
        <f>I595*0.1</f>
        <v>180</v>
      </c>
      <c r="K595" s="227">
        <f>I595*0.9</f>
        <v>1620</v>
      </c>
      <c r="L595" s="228" t="s">
        <v>619</v>
      </c>
      <c r="N595" s="227"/>
      <c r="O595" s="245"/>
    </row>
    <row ht="15.75" r="596" spans="1:19" s="228" customFormat="1">
      <c r="A596" s="246">
        <v>590</v>
      </c>
      <c r="B596" s="202">
        <v>6156142</v>
      </c>
      <c r="C596" s="228" t="s">
        <v>526</v>
      </c>
      <c r="D596" s="228" t="s">
        <v>620</v>
      </c>
      <c r="E596" s="228">
        <v>30</v>
      </c>
      <c r="F596" s="228">
        <v>60</v>
      </c>
      <c r="G596" s="228">
        <f>E596*F596</f>
        <v>1800</v>
      </c>
      <c r="H596" s="228">
        <f>E596*20/3</f>
        <v>200</v>
      </c>
      <c r="I596" s="228">
        <f>G596+H596</f>
        <v>2000</v>
      </c>
      <c r="J596" s="229">
        <f>I596*0.1</f>
        <v>200</v>
      </c>
      <c r="K596" s="227">
        <f>I596*0.9</f>
        <v>1800</v>
      </c>
      <c r="L596" s="228" t="s">
        <v>619</v>
      </c>
      <c r="N596" s="227"/>
      <c r="O596" s="245"/>
    </row>
    <row ht="15.75" r="597" spans="1:19" s="228" customFormat="1">
      <c r="A597" s="246">
        <v>591</v>
      </c>
      <c r="B597" s="202">
        <v>6174523</v>
      </c>
      <c r="C597" s="228" t="s">
        <v>497</v>
      </c>
      <c r="D597" s="228" t="s">
        <v>620</v>
      </c>
      <c r="E597" s="228">
        <v>33</v>
      </c>
      <c r="F597" s="228">
        <v>60</v>
      </c>
      <c r="G597" s="228">
        <f>E597*F597</f>
        <v>1980</v>
      </c>
      <c r="H597" s="228">
        <f>E597*20/3</f>
        <v>220</v>
      </c>
      <c r="I597" s="228">
        <f>G597+H597</f>
        <v>2200</v>
      </c>
      <c r="J597" s="229">
        <f>I597*0.1</f>
        <v>220</v>
      </c>
      <c r="K597" s="227">
        <f>I597*0.9</f>
        <v>1980</v>
      </c>
      <c r="L597" s="228" t="s">
        <v>619</v>
      </c>
      <c r="N597" s="227"/>
      <c r="O597" s="245"/>
    </row>
    <row ht="15.75" r="598" spans="1:19" s="228" customFormat="1">
      <c r="A598" s="246">
        <v>592</v>
      </c>
      <c r="B598" s="202">
        <v>6145035</v>
      </c>
      <c r="C598" s="228" t="s">
        <v>493</v>
      </c>
      <c r="D598" s="228" t="s">
        <v>620</v>
      </c>
      <c r="E598" s="228">
        <v>27</v>
      </c>
      <c r="F598" s="228">
        <v>60</v>
      </c>
      <c r="G598" s="228">
        <f>E598*F598</f>
        <v>1620</v>
      </c>
      <c r="H598" s="228">
        <f>E598*20/3</f>
        <v>180</v>
      </c>
      <c r="I598" s="228">
        <f>G598+H598</f>
        <v>1800</v>
      </c>
      <c r="J598" s="229">
        <f>I598*0.1</f>
        <v>180</v>
      </c>
      <c r="K598" s="227">
        <f>I598*0.9</f>
        <v>1620</v>
      </c>
      <c r="L598" s="228" t="s">
        <v>619</v>
      </c>
      <c r="N598" s="227"/>
      <c r="O598" s="245"/>
    </row>
    <row ht="15.75" r="599" spans="1:19" s="228" customFormat="1">
      <c r="A599" s="246">
        <v>593</v>
      </c>
      <c r="B599" s="228">
        <v>6134980</v>
      </c>
      <c r="C599" s="228" t="s">
        <v>1144</v>
      </c>
      <c r="D599" s="228" t="s">
        <v>620</v>
      </c>
      <c r="E599" s="228">
        <v>27</v>
      </c>
      <c r="F599" s="228">
        <v>60</v>
      </c>
      <c r="G599" s="228">
        <f>E599*F599</f>
        <v>1620</v>
      </c>
      <c r="H599" s="228">
        <f>E599*20/3</f>
        <v>180</v>
      </c>
      <c r="I599" s="228">
        <f>G599+H599</f>
        <v>1800</v>
      </c>
      <c r="J599" s="229">
        <f>I599*0.1</f>
        <v>180</v>
      </c>
      <c r="K599" s="227">
        <f>I599*0.9</f>
        <v>1620</v>
      </c>
      <c r="L599" s="228" t="s">
        <v>619</v>
      </c>
      <c r="N599" s="227"/>
      <c r="O599" s="245"/>
    </row>
    <row ht="15.75" r="600" spans="1:19" s="228" customFormat="1">
      <c r="A600" s="246">
        <v>594</v>
      </c>
      <c r="B600" s="202">
        <v>6202011</v>
      </c>
      <c r="C600" s="228" t="s">
        <v>1342</v>
      </c>
      <c r="D600" s="228" t="s">
        <v>620</v>
      </c>
      <c r="E600" s="228">
        <v>7.5</v>
      </c>
      <c r="F600" s="228">
        <v>60</v>
      </c>
      <c r="G600" s="228">
        <f>E600*F600</f>
        <v>450</v>
      </c>
      <c r="H600" s="228">
        <f>PRODUCT(20*E600)</f>
        <v>150</v>
      </c>
      <c r="I600" s="228">
        <f>SUM(G600,H600)</f>
        <v>600</v>
      </c>
      <c r="J600" s="229">
        <f>I600*0.1</f>
        <v>60</v>
      </c>
      <c r="K600" s="227">
        <f>I600*0.9</f>
        <v>540</v>
      </c>
      <c r="L600" s="228" t="s">
        <v>619</v>
      </c>
      <c r="N600" s="227"/>
      <c r="O600" s="245"/>
    </row>
    <row ht="15.75" r="601" spans="1:19" s="228" customFormat="1">
      <c r="A601" s="246">
        <v>595</v>
      </c>
      <c r="B601" s="202">
        <v>6149359</v>
      </c>
      <c r="C601" s="228" t="s">
        <v>500</v>
      </c>
      <c r="D601" s="228" t="s">
        <v>620</v>
      </c>
      <c r="E601" s="228">
        <v>24</v>
      </c>
      <c r="F601" s="228">
        <v>60</v>
      </c>
      <c r="G601" s="228">
        <f>E601*F601</f>
        <v>1440</v>
      </c>
      <c r="H601" s="228">
        <f>E601*20/3</f>
        <v>160</v>
      </c>
      <c r="I601" s="228">
        <f>G601+H601</f>
        <v>1600</v>
      </c>
      <c r="J601" s="229">
        <f>I601*0.1</f>
        <v>160</v>
      </c>
      <c r="K601" s="227">
        <f>I601*0.9</f>
        <v>1440</v>
      </c>
      <c r="L601" s="228" t="s">
        <v>619</v>
      </c>
      <c r="N601" s="227"/>
      <c r="O601" s="245"/>
    </row>
    <row ht="15.75" r="602" spans="1:19" s="262" customFormat="1">
      <c r="A602" s="249"/>
      <c r="B602" s="249"/>
      <c r="C602" s="249"/>
      <c r="D602" s="249"/>
      <c r="E602" s="250"/>
      <c r="F602" s="249"/>
      <c r="G602" s="428" t="s">
        <v>594</v>
      </c>
      <c r="H602" s="428"/>
      <c r="I602" s="256">
        <f>SUM(I6:I574)</f>
        <v>1462490</v>
      </c>
      <c r="J602" s="256">
        <f>SUM(J6:J574)</f>
        <v>146231</v>
      </c>
      <c r="K602" s="256">
        <f>SUM(K6:K574)</f>
        <v>1316241</v>
      </c>
      <c r="L602" s="249"/>
      <c r="M602" s="257"/>
      <c r="N602" s="258"/>
      <c r="O602" s="259"/>
      <c r="P602" s="260"/>
      <c r="Q602" s="260"/>
      <c r="R602" s="260"/>
      <c r="S602" s="261"/>
    </row>
    <row r="603" spans="1:19">
      <c r="B603" s="263"/>
      <c r="C603" s="173"/>
      <c r="G603" s="212"/>
      <c r="H603" s="216"/>
      <c r="I603" s="214"/>
      <c r="J603" s="215"/>
      <c r="K603" s="214"/>
    </row>
    <row ht="15" r="604" spans="1:19">
      <c r="I604" s="213"/>
      <c r="K604" s="213"/>
    </row>
    <row r="606" spans="1:19">
      <c r="D606" s="266"/>
    </row>
    <row r="607" spans="1:19">
      <c r="I607" s="212"/>
      <c r="J607" s="212"/>
      <c r="K607" s="212"/>
    </row>
    <row r="612" spans="6:6">
      <c r="F612" s="212"/>
    </row>
  </sheetData>
  <mergeCells count="5">
    <mergeCell ref="A1:L1"/>
    <mergeCell ref="A2:L2"/>
    <mergeCell ref="A3:L3"/>
    <mergeCell ref="A4:L4"/>
    <mergeCell ref="G602:H602"/>
  </mergeCells>
  <conditionalFormatting sqref="H388:H408 H176:H184 H186 H101:H104 H18:H99 H106:H174">
    <cfRule type="cellIs" dxfId="193" priority="147" operator="equal">
      <formula>0</formula>
    </cfRule>
  </conditionalFormatting>
  <conditionalFormatting sqref="C8">
    <cfRule type="duplicateValues" dxfId="192" priority="137"/>
  </conditionalFormatting>
  <conditionalFormatting sqref="C9">
    <cfRule type="duplicateValues" dxfId="191" priority="138"/>
  </conditionalFormatting>
  <conditionalFormatting sqref="C26 C10:C17">
    <cfRule type="duplicateValues" dxfId="190" priority="139"/>
  </conditionalFormatting>
  <conditionalFormatting sqref="C26 C7:C17">
    <cfRule type="duplicateValues" dxfId="189" priority="140"/>
  </conditionalFormatting>
  <conditionalFormatting sqref="C26 C7:C17">
    <cfRule type="duplicateValues" dxfId="188" priority="141"/>
    <cfRule type="duplicateValues" dxfId="187" priority="142"/>
    <cfRule type="duplicateValues" dxfId="186" priority="143"/>
  </conditionalFormatting>
  <conditionalFormatting sqref="C26 C7:C17">
    <cfRule type="duplicateValues" dxfId="185" priority="144"/>
    <cfRule type="duplicateValues" dxfId="184" priority="145"/>
  </conditionalFormatting>
  <conditionalFormatting sqref="C7">
    <cfRule type="duplicateValues" dxfId="183" priority="146"/>
  </conditionalFormatting>
  <conditionalFormatting sqref="H387">
    <cfRule type="cellIs" dxfId="182" priority="125" operator="equal">
      <formula>0</formula>
    </cfRule>
  </conditionalFormatting>
  <conditionalFormatting sqref="C424:C425 C387">
    <cfRule type="duplicateValues" dxfId="181" priority="126"/>
  </conditionalFormatting>
  <conditionalFormatting sqref="C424">
    <cfRule type="duplicateValues" dxfId="180" priority="127"/>
    <cfRule type="duplicateValues" dxfId="179" priority="128"/>
    <cfRule type="duplicateValues" dxfId="178" priority="129"/>
  </conditionalFormatting>
  <conditionalFormatting sqref="C424">
    <cfRule type="duplicateValues" dxfId="177" priority="130"/>
    <cfRule type="duplicateValues" dxfId="176" priority="131"/>
  </conditionalFormatting>
  <conditionalFormatting sqref="C425 C387">
    <cfRule type="duplicateValues" dxfId="175" priority="132"/>
    <cfRule type="duplicateValues" dxfId="174" priority="133"/>
    <cfRule type="duplicateValues" dxfId="173" priority="134"/>
  </conditionalFormatting>
  <conditionalFormatting sqref="C425 C387">
    <cfRule type="duplicateValues" dxfId="172" priority="135"/>
    <cfRule type="duplicateValues" dxfId="171" priority="136"/>
  </conditionalFormatting>
  <conditionalFormatting sqref="C330">
    <cfRule type="duplicateValues" dxfId="170" priority="113"/>
  </conditionalFormatting>
  <conditionalFormatting sqref="C330">
    <cfRule type="duplicateValues" dxfId="169" priority="114"/>
    <cfRule type="duplicateValues" dxfId="168" priority="115"/>
    <cfRule type="duplicateValues" dxfId="167" priority="116"/>
  </conditionalFormatting>
  <conditionalFormatting sqref="C330">
    <cfRule type="duplicateValues" dxfId="166" priority="117"/>
    <cfRule type="duplicateValues" dxfId="165" priority="118"/>
  </conditionalFormatting>
  <conditionalFormatting sqref="C465 C380 C356:C357 C352:C354 C221 C463">
    <cfRule type="duplicateValues" dxfId="164" priority="154"/>
  </conditionalFormatting>
  <conditionalFormatting sqref="C465 C380 C356:C357 C352:C354 C221 C463">
    <cfRule type="duplicateValues" dxfId="163" priority="155"/>
    <cfRule type="duplicateValues" dxfId="162" priority="156"/>
    <cfRule type="duplicateValues" dxfId="161" priority="157"/>
  </conditionalFormatting>
  <conditionalFormatting sqref="C465 C380 C356:C357 C352:C354 C221 C463">
    <cfRule type="duplicateValues" dxfId="160" priority="158"/>
    <cfRule type="duplicateValues" dxfId="159" priority="159"/>
  </conditionalFormatting>
  <conditionalFormatting sqref="C27">
    <cfRule type="duplicateValues" dxfId="158" priority="160"/>
  </conditionalFormatting>
  <conditionalFormatting sqref="C27">
    <cfRule type="duplicateValues" dxfId="157" priority="161"/>
    <cfRule type="duplicateValues" dxfId="156" priority="162"/>
    <cfRule type="duplicateValues" dxfId="155" priority="163"/>
  </conditionalFormatting>
  <conditionalFormatting sqref="C27">
    <cfRule type="duplicateValues" dxfId="154" priority="164"/>
    <cfRule type="duplicateValues" dxfId="153" priority="165"/>
  </conditionalFormatting>
  <conditionalFormatting sqref="C462 C368:C375 C331:C334 C378:C379">
    <cfRule type="duplicateValues" dxfId="152" priority="172"/>
  </conditionalFormatting>
  <conditionalFormatting sqref="C462 C368:C375 C331:C334 C378:C379">
    <cfRule type="duplicateValues" dxfId="151" priority="173"/>
    <cfRule type="duplicateValues" dxfId="150" priority="174"/>
    <cfRule type="duplicateValues" dxfId="149" priority="175"/>
  </conditionalFormatting>
  <conditionalFormatting sqref="C462 C368:C375 C331:C334 C378:C379">
    <cfRule type="duplicateValues" dxfId="148" priority="176"/>
    <cfRule type="duplicateValues" dxfId="147" priority="177"/>
  </conditionalFormatting>
  <conditionalFormatting sqref="C466:C474 C381 C365 C341 C385 C383 C351 C367">
    <cfRule type="duplicateValues" dxfId="146" priority="178"/>
  </conditionalFormatting>
  <conditionalFormatting sqref="C466:C474 C381 C365 C341 C385 C383 C351 C367">
    <cfRule type="duplicateValues" dxfId="145" priority="179"/>
    <cfRule type="duplicateValues" dxfId="144" priority="180"/>
    <cfRule type="duplicateValues" dxfId="143" priority="181"/>
  </conditionalFormatting>
  <conditionalFormatting sqref="C466:C474 C381 C365 C341 C385 C383 C351 C367">
    <cfRule type="duplicateValues" dxfId="142" priority="182"/>
    <cfRule type="duplicateValues" dxfId="141" priority="183"/>
  </conditionalFormatting>
  <conditionalFormatting sqref="C18:C25">
    <cfRule type="duplicateValues" dxfId="140" priority="461"/>
  </conditionalFormatting>
  <conditionalFormatting sqref="C18:C25">
    <cfRule type="duplicateValues" dxfId="139" priority="463"/>
    <cfRule type="duplicateValues" dxfId="138" priority="464"/>
    <cfRule type="duplicateValues" dxfId="137" priority="465"/>
  </conditionalFormatting>
  <conditionalFormatting sqref="C18:C25">
    <cfRule type="duplicateValues" dxfId="136" priority="469"/>
    <cfRule type="duplicateValues" dxfId="135" priority="470"/>
  </conditionalFormatting>
  <conditionalFormatting sqref="C388:C389">
    <cfRule type="duplicateValues" dxfId="134" priority="473"/>
    <cfRule type="duplicateValues" dxfId="133" priority="474"/>
    <cfRule type="duplicateValues" dxfId="132" priority="475"/>
  </conditionalFormatting>
  <conditionalFormatting sqref="C388:C389">
    <cfRule type="duplicateValues" dxfId="131" priority="479"/>
    <cfRule type="duplicateValues" dxfId="130" priority="480"/>
  </conditionalFormatting>
  <conditionalFormatting sqref="C361">
    <cfRule type="duplicateValues" dxfId="129" priority="101"/>
  </conditionalFormatting>
  <conditionalFormatting sqref="C361">
    <cfRule type="duplicateValues" dxfId="128" priority="102"/>
    <cfRule type="duplicateValues" dxfId="127" priority="103"/>
    <cfRule type="duplicateValues" dxfId="126" priority="104"/>
  </conditionalFormatting>
  <conditionalFormatting sqref="C361">
    <cfRule type="duplicateValues" dxfId="125" priority="105"/>
    <cfRule type="duplicateValues" dxfId="124" priority="106"/>
  </conditionalFormatting>
  <conditionalFormatting sqref="C362">
    <cfRule type="duplicateValues" dxfId="123" priority="95"/>
  </conditionalFormatting>
  <conditionalFormatting sqref="C362">
    <cfRule type="duplicateValues" dxfId="122" priority="96"/>
    <cfRule type="duplicateValues" dxfId="121" priority="97"/>
    <cfRule type="duplicateValues" dxfId="120" priority="98"/>
  </conditionalFormatting>
  <conditionalFormatting sqref="C362">
    <cfRule type="duplicateValues" dxfId="119" priority="99"/>
    <cfRule type="duplicateValues" dxfId="118" priority="100"/>
  </conditionalFormatting>
  <conditionalFormatting sqref="C366">
    <cfRule type="duplicateValues" dxfId="117" priority="89"/>
  </conditionalFormatting>
  <conditionalFormatting sqref="C366">
    <cfRule type="duplicateValues" dxfId="116" priority="90"/>
    <cfRule type="duplicateValues" dxfId="115" priority="91"/>
    <cfRule type="duplicateValues" dxfId="114" priority="92"/>
  </conditionalFormatting>
  <conditionalFormatting sqref="C366">
    <cfRule type="duplicateValues" dxfId="113" priority="93"/>
    <cfRule type="duplicateValues" dxfId="112" priority="94"/>
  </conditionalFormatting>
  <conditionalFormatting sqref="C376">
    <cfRule type="duplicateValues" dxfId="111" priority="83"/>
  </conditionalFormatting>
  <conditionalFormatting sqref="C376">
    <cfRule type="duplicateValues" dxfId="110" priority="84"/>
    <cfRule type="duplicateValues" dxfId="109" priority="85"/>
    <cfRule type="duplicateValues" dxfId="108" priority="86"/>
  </conditionalFormatting>
  <conditionalFormatting sqref="C376">
    <cfRule type="duplicateValues" dxfId="107" priority="87"/>
    <cfRule type="duplicateValues" dxfId="106" priority="88"/>
  </conditionalFormatting>
  <conditionalFormatting sqref="C363">
    <cfRule type="duplicateValues" dxfId="105" priority="77"/>
  </conditionalFormatting>
  <conditionalFormatting sqref="C363">
    <cfRule type="duplicateValues" dxfId="104" priority="78"/>
    <cfRule type="duplicateValues" dxfId="103" priority="79"/>
    <cfRule type="duplicateValues" dxfId="102" priority="80"/>
  </conditionalFormatting>
  <conditionalFormatting sqref="C363">
    <cfRule type="duplicateValues" dxfId="101" priority="81"/>
    <cfRule type="duplicateValues" dxfId="100" priority="82"/>
  </conditionalFormatting>
  <conditionalFormatting sqref="C358">
    <cfRule type="duplicateValues" dxfId="99" priority="71"/>
  </conditionalFormatting>
  <conditionalFormatting sqref="C358">
    <cfRule type="duplicateValues" dxfId="98" priority="72"/>
    <cfRule type="duplicateValues" dxfId="97" priority="73"/>
    <cfRule type="duplicateValues" dxfId="96" priority="74"/>
  </conditionalFormatting>
  <conditionalFormatting sqref="C358">
    <cfRule type="duplicateValues" dxfId="95" priority="75"/>
    <cfRule type="duplicateValues" dxfId="94" priority="76"/>
  </conditionalFormatting>
  <conditionalFormatting sqref="C359">
    <cfRule type="duplicateValues" dxfId="93" priority="65"/>
  </conditionalFormatting>
  <conditionalFormatting sqref="C359">
    <cfRule type="duplicateValues" dxfId="92" priority="66"/>
    <cfRule type="duplicateValues" dxfId="91" priority="67"/>
    <cfRule type="duplicateValues" dxfId="90" priority="68"/>
  </conditionalFormatting>
  <conditionalFormatting sqref="C359">
    <cfRule type="duplicateValues" dxfId="89" priority="69"/>
    <cfRule type="duplicateValues" dxfId="88" priority="70"/>
  </conditionalFormatting>
  <conditionalFormatting sqref="C364">
    <cfRule type="duplicateValues" dxfId="87" priority="59"/>
  </conditionalFormatting>
  <conditionalFormatting sqref="C364">
    <cfRule type="duplicateValues" dxfId="86" priority="60"/>
    <cfRule type="duplicateValues" dxfId="85" priority="61"/>
    <cfRule type="duplicateValues" dxfId="84" priority="62"/>
  </conditionalFormatting>
  <conditionalFormatting sqref="C364">
    <cfRule type="duplicateValues" dxfId="83" priority="63"/>
    <cfRule type="duplicateValues" dxfId="82" priority="64"/>
  </conditionalFormatting>
  <conditionalFormatting sqref="C360">
    <cfRule type="duplicateValues" dxfId="81" priority="53"/>
  </conditionalFormatting>
  <conditionalFormatting sqref="C360">
    <cfRule type="duplicateValues" dxfId="80" priority="54"/>
    <cfRule type="duplicateValues" dxfId="79" priority="55"/>
    <cfRule type="duplicateValues" dxfId="78" priority="56"/>
  </conditionalFormatting>
  <conditionalFormatting sqref="C360">
    <cfRule type="duplicateValues" dxfId="77" priority="57"/>
    <cfRule type="duplicateValues" dxfId="76" priority="58"/>
  </conditionalFormatting>
  <conditionalFormatting sqref="C377">
    <cfRule type="duplicateValues" dxfId="75" priority="47"/>
  </conditionalFormatting>
  <conditionalFormatting sqref="C377">
    <cfRule type="duplicateValues" dxfId="74" priority="48"/>
    <cfRule type="duplicateValues" dxfId="73" priority="49"/>
    <cfRule type="duplicateValues" dxfId="72" priority="50"/>
  </conditionalFormatting>
  <conditionalFormatting sqref="C377">
    <cfRule type="duplicateValues" dxfId="71" priority="51"/>
    <cfRule type="duplicateValues" dxfId="70" priority="52"/>
  </conditionalFormatting>
  <conditionalFormatting sqref="C475">
    <cfRule type="duplicateValues" dxfId="69" priority="41"/>
  </conditionalFormatting>
  <conditionalFormatting sqref="C475">
    <cfRule type="duplicateValues" dxfId="68" priority="42"/>
    <cfRule type="duplicateValues" dxfId="67" priority="43"/>
    <cfRule type="duplicateValues" dxfId="66" priority="44"/>
  </conditionalFormatting>
  <conditionalFormatting sqref="C475">
    <cfRule type="duplicateValues" dxfId="65" priority="45"/>
    <cfRule type="duplicateValues" dxfId="64" priority="46"/>
  </conditionalFormatting>
  <conditionalFormatting sqref="H175">
    <cfRule type="cellIs" dxfId="63" priority="39" operator="equal">
      <formula>0</formula>
    </cfRule>
  </conditionalFormatting>
  <conditionalFormatting sqref="H100">
    <cfRule type="cellIs" dxfId="62" priority="38" operator="equal">
      <formula>0</formula>
    </cfRule>
  </conditionalFormatting>
  <conditionalFormatting sqref="H185">
    <cfRule type="cellIs" dxfId="61" priority="37" operator="equal">
      <formula>0</formula>
    </cfRule>
  </conditionalFormatting>
  <conditionalFormatting sqref="C31:C48">
    <cfRule type="duplicateValues" dxfId="60" priority="561"/>
  </conditionalFormatting>
  <conditionalFormatting sqref="C31:C48">
    <cfRule type="duplicateValues" dxfId="59" priority="563"/>
    <cfRule type="duplicateValues" dxfId="58" priority="564"/>
    <cfRule type="duplicateValues" dxfId="57" priority="565"/>
  </conditionalFormatting>
  <conditionalFormatting sqref="C31:C48">
    <cfRule type="duplicateValues" dxfId="56" priority="569"/>
    <cfRule type="duplicateValues" dxfId="55" priority="570"/>
  </conditionalFormatting>
  <conditionalFormatting sqref="H105">
    <cfRule type="cellIs" dxfId="54" priority="29" operator="equal">
      <formula>0</formula>
    </cfRule>
  </conditionalFormatting>
  <conditionalFormatting sqref="C310">
    <cfRule type="duplicateValues" dxfId="53" priority="19"/>
  </conditionalFormatting>
  <conditionalFormatting sqref="C310">
    <cfRule type="duplicateValues" dxfId="52" priority="20"/>
    <cfRule type="duplicateValues" dxfId="51" priority="21"/>
    <cfRule type="duplicateValues" dxfId="50" priority="22"/>
  </conditionalFormatting>
  <conditionalFormatting sqref="C310">
    <cfRule type="duplicateValues" dxfId="49" priority="23"/>
    <cfRule type="duplicateValues" dxfId="48" priority="24"/>
  </conditionalFormatting>
  <conditionalFormatting sqref="C309">
    <cfRule type="duplicateValues" dxfId="47" priority="13"/>
  </conditionalFormatting>
  <conditionalFormatting sqref="C309">
    <cfRule type="duplicateValues" dxfId="46" priority="14"/>
    <cfRule type="duplicateValues" dxfId="45" priority="15"/>
    <cfRule type="duplicateValues" dxfId="44" priority="16"/>
  </conditionalFormatting>
  <conditionalFormatting sqref="C309">
    <cfRule type="duplicateValues" dxfId="43" priority="17"/>
    <cfRule type="duplicateValues" dxfId="42" priority="18"/>
  </conditionalFormatting>
  <conditionalFormatting sqref="C308">
    <cfRule type="duplicateValues" dxfId="41" priority="7"/>
  </conditionalFormatting>
  <conditionalFormatting sqref="C308">
    <cfRule type="duplicateValues" dxfId="40" priority="8"/>
    <cfRule type="duplicateValues" dxfId="39" priority="9"/>
    <cfRule type="duplicateValues" dxfId="38" priority="10"/>
  </conditionalFormatting>
  <conditionalFormatting sqref="C308">
    <cfRule type="duplicateValues" dxfId="37" priority="11"/>
    <cfRule type="duplicateValues" dxfId="36" priority="12"/>
  </conditionalFormatting>
  <conditionalFormatting sqref="C311:C313">
    <cfRule type="duplicateValues" dxfId="35" priority="1"/>
  </conditionalFormatting>
  <conditionalFormatting sqref="C311:C313">
    <cfRule type="duplicateValues" dxfId="34" priority="2"/>
    <cfRule type="duplicateValues" dxfId="33" priority="3"/>
    <cfRule type="duplicateValues" dxfId="32" priority="4"/>
  </conditionalFormatting>
  <conditionalFormatting sqref="C311:C313">
    <cfRule type="duplicateValues" dxfId="31" priority="5"/>
    <cfRule type="duplicateValues" dxfId="30" priority="6"/>
  </conditionalFormatting>
  <conditionalFormatting sqref="C476:C477 C386 C349:C350">
    <cfRule type="duplicateValues" dxfId="29" priority="729"/>
  </conditionalFormatting>
  <conditionalFormatting sqref="C476:C477 C386 C349:C350">
    <cfRule type="duplicateValues" dxfId="28" priority="732"/>
    <cfRule type="duplicateValues" dxfId="27" priority="733"/>
    <cfRule type="duplicateValues" dxfId="26" priority="734"/>
  </conditionalFormatting>
  <conditionalFormatting sqref="C476:C477 C386 C349:C350">
    <cfRule type="duplicateValues" dxfId="25" priority="741"/>
    <cfRule type="duplicateValues" dxfId="24" priority="742"/>
  </conditionalFormatting>
  <pageMargins left="0.25" right="0.25" top="0.75" bottom="0.75" header="0.3" footer="0.3"/>
  <pageSetup paperSize="9" scale="75" fitToHeight="0" orientation="landscape" r:id="rId1"/>
  <rowBreaks count="11" manualBreakCount="11">
    <brk id="53" max="11" man="1"/>
    <brk id="82" max="11" man="1"/>
    <brk id="114" max="11" man="1"/>
    <brk id="145" max="11" man="1"/>
    <brk id="411" max="11" man="1"/>
    <brk id="225" max="11" man="1"/>
    <brk id="295" max="11" man="1"/>
    <brk id="444" max="11" man="1"/>
    <brk id="467" max="11" man="1"/>
    <brk id="331" max="11" man="1"/>
    <brk id="532" max="11" man="1"/>
  </rowBreaks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001F-8A66-42DB-9CFC-DBC60DDB45E2}">
  <sheetViews>
    <sheetView zoomScale="120" workbookViewId="0" view="pageBreakPreview" zoomScaleNormal="145" zoomScaleSheetLayoutView="120">
      <selection pane="topLeft" activeCell="L20" sqref="L20"/>
    </sheetView>
  </sheetViews>
  <sheetFormatPr baseColWidth="8" defaultRowHeight="14"/>
  <cols>
    <col min="1" max="1" width="4.75" style="92" customWidth="1"/>
    <col min="2" max="2" width="31.625" style="92" bestFit="1" customWidth="1"/>
    <col min="3" max="3" width="12.75" style="92" customWidth="1"/>
    <col min="4" max="4" width="9" style="92" customWidth="1"/>
    <col min="5" max="7" width="6.25" style="92" customWidth="1"/>
    <col min="8" max="8" width="10.5" style="92" bestFit="1" customWidth="1"/>
    <col min="9" max="9" width="10.25" style="92" customWidth="1"/>
    <col min="10" max="10" width="14.875" style="92" customWidth="1"/>
    <col min="11" max="16384" width="9" style="92" customWidth="1"/>
  </cols>
  <sheetData>
    <row ht="15" customHeight="1" r="1" spans="1:12">
      <c r="A1" s="429" t="s">
        <v>1058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</row>
    <row ht="15" customHeight="1" r="2" spans="1:12">
      <c r="A2" s="429" t="s">
        <v>737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</row>
    <row ht="14.25" customHeight="1" r="3" spans="1:12">
      <c r="A3" s="429" t="s">
        <v>1243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</row>
    <row ht="15.75" customHeight="1" r="4" spans="1:12">
      <c r="A4" s="429" t="s">
        <v>1057</v>
      </c>
      <c r="B4" s="429"/>
      <c r="C4" s="429"/>
      <c r="D4" s="429"/>
      <c r="E4" s="429"/>
      <c r="F4" s="429"/>
      <c r="G4" s="429"/>
      <c r="H4" s="429"/>
      <c r="I4" s="429"/>
      <c r="J4" s="429"/>
      <c r="K4" s="429"/>
      <c r="L4" s="429"/>
    </row>
    <row r="5" spans="1:12">
      <c r="A5" s="198"/>
      <c r="B5" s="198"/>
      <c r="C5" s="198"/>
      <c r="D5" s="198"/>
      <c r="E5" s="198"/>
      <c r="F5" s="198"/>
      <c r="G5" s="198"/>
      <c r="H5" s="198"/>
      <c r="I5" s="198"/>
      <c r="J5" s="198"/>
    </row>
    <row ht="38.25" r="6" spans="1:12">
      <c r="A6" s="218" t="s">
        <v>735</v>
      </c>
      <c r="B6" s="218" t="s">
        <v>734</v>
      </c>
      <c r="C6" s="218" t="s">
        <v>1056</v>
      </c>
      <c r="D6" s="218" t="s">
        <v>732</v>
      </c>
      <c r="E6" s="218" t="s">
        <v>731</v>
      </c>
      <c r="F6" s="218" t="s">
        <v>1055</v>
      </c>
      <c r="G6" s="218" t="s">
        <v>1054</v>
      </c>
      <c r="H6" s="218" t="s">
        <v>1053</v>
      </c>
      <c r="I6" s="218" t="s">
        <v>729</v>
      </c>
      <c r="J6" s="218" t="s">
        <v>728</v>
      </c>
      <c r="K6" s="218" t="s">
        <v>727</v>
      </c>
      <c r="L6" s="4"/>
    </row>
    <row ht="15" r="7" spans="1:12">
      <c r="A7" s="4">
        <v>1</v>
      </c>
      <c r="B7" s="196" t="s">
        <v>1067</v>
      </c>
      <c r="C7" s="196" t="s">
        <v>620</v>
      </c>
      <c r="D7" s="217">
        <v>195</v>
      </c>
      <c r="E7" s="211">
        <v>60</v>
      </c>
      <c r="F7" s="211">
        <f>D7*E7</f>
        <v>11700</v>
      </c>
      <c r="G7" s="211">
        <v>600</v>
      </c>
      <c r="H7" s="217">
        <f>F7+G7</f>
        <v>12300</v>
      </c>
      <c r="I7" s="196">
        <f>H7*0.1</f>
        <v>1230</v>
      </c>
      <c r="J7" s="221">
        <f>H7-I7</f>
        <v>11070</v>
      </c>
      <c r="K7" s="211" t="s">
        <v>619</v>
      </c>
      <c r="L7" s="4"/>
    </row>
    <row ht="15" r="8" spans="1:12">
      <c r="A8" s="222">
        <v>2</v>
      </c>
      <c r="B8" s="196" t="s">
        <v>1066</v>
      </c>
      <c r="C8" s="196" t="s">
        <v>620</v>
      </c>
      <c r="D8" s="217">
        <v>130</v>
      </c>
      <c r="E8" s="211">
        <v>60</v>
      </c>
      <c r="F8" s="211">
        <f>D8*E8</f>
        <v>7800</v>
      </c>
      <c r="G8" s="211">
        <v>500</v>
      </c>
      <c r="H8" s="217">
        <f>F8+G8</f>
        <v>8300</v>
      </c>
      <c r="I8" s="196">
        <f>H8*0.1</f>
        <v>830</v>
      </c>
      <c r="J8" s="221">
        <f>H8-I8</f>
        <v>7470</v>
      </c>
      <c r="K8" s="211" t="s">
        <v>619</v>
      </c>
      <c r="L8" s="4"/>
    </row>
    <row ht="15" r="9" spans="1:12">
      <c r="A9" s="222">
        <v>3</v>
      </c>
      <c r="B9" s="196" t="s">
        <v>1065</v>
      </c>
      <c r="C9" s="196" t="s">
        <v>620</v>
      </c>
      <c r="D9" s="217">
        <v>130</v>
      </c>
      <c r="E9" s="211">
        <v>60</v>
      </c>
      <c r="F9" s="211">
        <f>D9*E9</f>
        <v>7800</v>
      </c>
      <c r="G9" s="211">
        <v>500</v>
      </c>
      <c r="H9" s="217">
        <f>F9+G9</f>
        <v>8300</v>
      </c>
      <c r="I9" s="196">
        <f>H9*0.1</f>
        <v>830</v>
      </c>
      <c r="J9" s="221">
        <f>H9-I9</f>
        <v>7470</v>
      </c>
      <c r="K9" s="211" t="s">
        <v>619</v>
      </c>
      <c r="L9" s="4"/>
    </row>
    <row ht="15" r="10" spans="1:12">
      <c r="A10" s="222">
        <v>4</v>
      </c>
      <c r="B10" s="4" t="s">
        <v>1064</v>
      </c>
      <c r="C10" s="196" t="s">
        <v>1061</v>
      </c>
      <c r="D10" s="217">
        <v>148</v>
      </c>
      <c r="E10" s="211">
        <v>60</v>
      </c>
      <c r="F10" s="211">
        <f>D10*E10</f>
        <v>8880</v>
      </c>
      <c r="G10" s="211">
        <v>600</v>
      </c>
      <c r="H10" s="217">
        <f>F10+G10</f>
        <v>9480</v>
      </c>
      <c r="I10" s="196">
        <f>H10*0.1</f>
        <v>948</v>
      </c>
      <c r="J10" s="221">
        <f>H10-I10</f>
        <v>8532</v>
      </c>
      <c r="K10" s="211" t="s">
        <v>619</v>
      </c>
      <c r="L10" s="4"/>
    </row>
    <row ht="15" r="11" spans="1:12">
      <c r="A11" s="4">
        <v>5</v>
      </c>
      <c r="B11" s="4" t="s">
        <v>1063</v>
      </c>
      <c r="C11" s="196" t="s">
        <v>1061</v>
      </c>
      <c r="D11" s="217">
        <v>148</v>
      </c>
      <c r="E11" s="211">
        <v>60</v>
      </c>
      <c r="F11" s="211">
        <f>D11*E11</f>
        <v>8880</v>
      </c>
      <c r="G11" s="211">
        <v>600</v>
      </c>
      <c r="H11" s="217">
        <f>F11+G11</f>
        <v>9480</v>
      </c>
      <c r="I11" s="196">
        <f>H11*0.1</f>
        <v>948</v>
      </c>
      <c r="J11" s="221">
        <f>H11-I11</f>
        <v>8532</v>
      </c>
      <c r="K11" s="211" t="s">
        <v>619</v>
      </c>
      <c r="L11" s="4"/>
    </row>
    <row ht="15" r="12" spans="1:12">
      <c r="A12" s="4">
        <v>6</v>
      </c>
      <c r="B12" s="4" t="s">
        <v>1062</v>
      </c>
      <c r="C12" s="196" t="s">
        <v>1061</v>
      </c>
      <c r="D12" s="217">
        <v>148</v>
      </c>
      <c r="E12" s="211">
        <v>60</v>
      </c>
      <c r="F12" s="211">
        <f>D12*E12</f>
        <v>8880</v>
      </c>
      <c r="G12" s="211">
        <v>600</v>
      </c>
      <c r="H12" s="217">
        <f>F12+G12</f>
        <v>9480</v>
      </c>
      <c r="I12" s="196">
        <f>H12*0.1</f>
        <v>948</v>
      </c>
      <c r="J12" s="221">
        <f>H12-I12</f>
        <v>8532</v>
      </c>
      <c r="K12" s="211" t="s">
        <v>619</v>
      </c>
      <c r="L12" s="4"/>
    </row>
    <row ht="15" r="13" spans="1:12">
      <c r="A13" s="220"/>
      <c r="E13" s="430" t="s">
        <v>1060</v>
      </c>
      <c r="F13" s="431"/>
      <c r="G13" s="432"/>
      <c r="H13" s="219">
        <f>SUM(H7:H12)</f>
        <v>57340</v>
      </c>
      <c r="I13" s="219">
        <f>SUM(I7:I12)</f>
        <v>5734</v>
      </c>
      <c r="J13" s="219">
        <f>SUM(J7:J12)</f>
        <v>51606</v>
      </c>
    </row>
    <row r="14" spans="1:12">
      <c r="B14" s="92" t="s">
        <v>1059</v>
      </c>
    </row>
  </sheetData>
  <mergeCells count="5">
    <mergeCell ref="A1:L1"/>
    <mergeCell ref="A2:L2"/>
    <mergeCell ref="A3:L3"/>
    <mergeCell ref="A4:L4"/>
    <mergeCell ref="E13:G13"/>
  </mergeCells>
  <pageMargins left="0.7" right="0.7" top="0.75" bottom="0.75" header="0.3" footer="0.3"/>
  <pageSetup paperSize="9" scale="90" orientation="landscape" r:id="rId1"/>
  <colBreaks count="1" manualBreakCount="1">
    <brk id="11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39</vt:i4>
      </vt:variant>
    </vt:vector>
  </HeadingPairs>
  <TitlesOfParts>
    <vt:vector size="47" baseType="lpstr">
      <vt:lpstr>TT</vt:lpstr>
      <vt:lpstr>Lecturers</vt:lpstr>
      <vt:lpstr>TALLY</vt:lpstr>
      <vt:lpstr>WATER</vt:lpstr>
      <vt:lpstr>ROOMS</vt:lpstr>
      <vt:lpstr>cenG_PROJECT (2nd Sem)</vt:lpstr>
      <vt:lpstr>Invigilation + Meals(2nd Sem)</vt:lpstr>
      <vt:lpstr>supp</vt:lpstr>
      <vt:lpstr>'cenG_PROJECT (2nd Sem)'!Print_Area</vt:lpstr>
      <vt:lpstr>'Invigilation + Meals(2nd Sem)'!Print_Area</vt:lpstr>
      <vt:lpstr>ROOMS!Print_Area</vt:lpstr>
      <vt:lpstr>supp!Print_Area</vt:lpstr>
      <vt:lpstr>TT!Print_Area</vt:lpstr>
      <vt:lpstr>WATER!Print_Area</vt:lpstr>
      <vt:lpstr>Total_F1_1</vt:lpstr>
      <vt:lpstr>Total_F1_3</vt:lpstr>
      <vt:lpstr>Total_F3_1</vt:lpstr>
      <vt:lpstr>Total_H2_1</vt:lpstr>
      <vt:lpstr>Total_H2_2</vt:lpstr>
      <vt:lpstr>Total_H2_3</vt:lpstr>
      <vt:lpstr>Total_H3_1</vt:lpstr>
      <vt:lpstr>Total_H3_2</vt:lpstr>
      <vt:lpstr>Total_H3_3</vt:lpstr>
      <vt:lpstr>Total_M1_1</vt:lpstr>
      <vt:lpstr>Total_M1_2</vt:lpstr>
      <vt:lpstr>Total_M1_3</vt:lpstr>
      <vt:lpstr>Total_M2_1</vt:lpstr>
      <vt:lpstr>Total_M2_2</vt:lpstr>
      <vt:lpstr>Total_M2_3</vt:lpstr>
      <vt:lpstr>Total_M3_1</vt:lpstr>
      <vt:lpstr>Total_M3_2</vt:lpstr>
      <vt:lpstr>Total_M3_3</vt:lpstr>
      <vt:lpstr>Total_T1_1</vt:lpstr>
      <vt:lpstr>Total_T1_2</vt:lpstr>
      <vt:lpstr>Total_T1_3</vt:lpstr>
      <vt:lpstr>Total_T2_1</vt:lpstr>
      <vt:lpstr>Total_T2_2</vt:lpstr>
      <vt:lpstr>Total_T2_3</vt:lpstr>
      <vt:lpstr>Total_W1_1</vt:lpstr>
      <vt:lpstr>Total_W1_2</vt:lpstr>
      <vt:lpstr>Total_W1_3</vt:lpstr>
      <vt:lpstr>Total_W2_1</vt:lpstr>
      <vt:lpstr>Total_W2_2</vt:lpstr>
      <vt:lpstr>Total_W2_3</vt:lpstr>
      <vt:lpstr>Total_W3_1</vt:lpstr>
      <vt:lpstr>Total_W3_2</vt:lpstr>
      <vt:lpstr>Total_W3_3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EXAMINATIONS OFFICE</cp:lastModifiedBy>
  <cp:lastPrinted>2026-03-28T15:40:57Z</cp:lastPrinted>
  <dcterms:created xsi:type="dcterms:W3CDTF">2019-10-06T15:11:28Z</dcterms:created>
  <dcterms:modified xsi:type="dcterms:W3CDTF">2026-03-29T17:19:11Z</dcterms:modified>
</cp:coreProperties>
</file>